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Input_Raw_Products" sheetId="2" r:id="rId2"/>
    <sheet name="02_Output_Magento_Import" sheetId="3" r:id="rId3"/>
    <sheet name="03_Validation_Report" sheetId="4" r:id="rId4"/>
    <sheet name="10_Master_Gem_Types" sheetId="5" r:id="rId5"/>
    <sheet name="11_Master_Gemstone2" sheetId="6" r:id="rId6"/>
    <sheet name="12_Color_Mapping" sheetId="7" r:id="rId7"/>
    <sheet name="13_Certification_Stickers" sheetId="8" r:id="rId8"/>
    <sheet name="14_Shipping_Rules" sheetId="9" r:id="rId9"/>
    <sheet name="15_Calibration_Rules" sheetId="10" r:id="rId10"/>
    <sheet name="16_Astro_Flags" sheetId="11" r:id="rId11"/>
    <sheet name="17_Physical_Properties" sheetId="12" r:id="rId12"/>
    <sheet name="18_Valid_Values" sheetId="13" r:id="rId13"/>
    <sheet name="19_Naming_Rules" sheetId="14" r:id="rId14"/>
    <sheet name="20_Admin_Config" sheetId="15" r:id="rId15"/>
    <sheet name="21_Field_Map" sheetId="16" r:id="rId16"/>
    <sheet name="22_QA_Checklist" sheetId="17" r:id="rId1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<sst xmlns="http://schemas.openxmlformats.org/spreadsheetml/2006/main" count="1018" uniqueCount="426">
  <si>
    <t>GemPundit Magento Catalog Automation Workbook</t>
  </si>
  <si>
    <t>Use this workbook as the normalized reference structure for loose gemstone catalogue enrichment, validation, and Magento import generation.</t>
  </si>
  <si>
    <t>Section</t>
  </si>
  <si>
    <t>Description</t>
  </si>
  <si>
    <t>Purpose</t>
  </si>
  <si>
    <t>Convert raw vendor/product catalogue rows into validated Magento-ready rows using reference sheets instead of manual copy-paste madness.</t>
  </si>
  <si>
    <t>Primary input</t>
  </si>
  <si>
    <t>01_Input_Raw_Products. Paste raw product rows here or let the Python CLI read a separate raw workbook.</t>
  </si>
  <si>
    <t>Primary output</t>
  </si>
  <si>
    <t>02_Output_Magento_Import. Formula view for business users. The Python code also generates a hard-value Magento import file.</t>
  </si>
  <si>
    <t>Manual review</t>
  </si>
  <si>
    <t>03_Validation_Report highlights missing SKU, missing lookup, missing tax/classification/URL, price problems, duplicate SKUs, and unresolved mappings.</t>
  </si>
  <si>
    <t>Reference masters</t>
  </si>
  <si>
    <t>10-19 sheets hold gemstone, colour, certification, shipping, calibration, astro, physical property, and naming rules.</t>
  </si>
  <si>
    <t>Admin/config</t>
  </si>
  <si>
    <t>20_Admin_Config and 21_Field_Map define defaults and field-level source logic.</t>
  </si>
  <si>
    <t>Operational rule</t>
  </si>
  <si>
    <t>Do not edit output columns manually. Fix raw input or master lookup sheets, then regenerate.</t>
  </si>
  <si>
    <t>Version</t>
  </si>
  <si>
    <t>v1.0 generated on 2026-04-27</t>
  </si>
  <si>
    <t>Old Workbook → New Structure</t>
  </si>
  <si>
    <t>Migration intent</t>
  </si>
  <si>
    <t>Valid Values</t>
  </si>
  <si>
    <t>Split into 18_Valid_Values plus dropdown validations on input/admin sheets.</t>
  </si>
  <si>
    <t>Gem_Type</t>
  </si>
  <si>
    <t>Normalize into 10_Master_Gem_Types as the main source of truth.</t>
  </si>
  <si>
    <t>sku_Gem_type</t>
  </si>
  <si>
    <t>Use only as optional historical SKU mapping, not direct product truth without cleanup.</t>
  </si>
  <si>
    <t>shipping &amp; Dispatch</t>
  </si>
  <si>
    <t>Move to 14_Shipping_Rules.</t>
  </si>
  <si>
    <t>J_Colour / Special Colour / Vivid in Colour</t>
  </si>
  <si>
    <t>Merge into 12_Color_Mapping with raw colour, normalized j_colour, display colour, and Google colour.</t>
  </si>
  <si>
    <t>specific_gravity</t>
  </si>
  <si>
    <t>Move to 17_Physical_Properties.</t>
  </si>
  <si>
    <t>Sticker</t>
  </si>
  <si>
    <t>Move to 13_Certification_Stickers.</t>
  </si>
  <si>
    <t>naming</t>
  </si>
  <si>
    <t>Move to 19_Naming_Rules.</t>
  </si>
  <si>
    <t>Calibrated + shape for calibrate</t>
  </si>
  <si>
    <t>Move to 15_Calibration_Rules.</t>
  </si>
  <si>
    <t>astronon astro</t>
  </si>
  <si>
    <t>Move to 16_Astro_Flags.</t>
  </si>
  <si>
    <t>gemstone2_wise</t>
  </si>
  <si>
    <t>Move to 11_Master_Gemstone2 as defaults only, not final truth.</t>
  </si>
  <si>
    <t>01_Input_Raw_Products</t>
  </si>
  <si>
    <t>Paste/import raw catalogue data here. Yellow columns are manual input. Red/orange columns should be corrected before automation.</t>
  </si>
  <si>
    <t>row_id</t>
  </si>
  <si>
    <t>sku</t>
  </si>
  <si>
    <t>vendor_sku</t>
  </si>
  <si>
    <t>gemstone_raw</t>
  </si>
  <si>
    <t>gemstone2_raw</t>
  </si>
  <si>
    <t>gem_type_raw</t>
  </si>
  <si>
    <t>origin_raw</t>
  </si>
  <si>
    <t>treatment_raw</t>
  </si>
  <si>
    <t>shape_raw</t>
  </si>
  <si>
    <t>cutting_style_raw</t>
  </si>
  <si>
    <t>certificate_colour_raw</t>
  </si>
  <si>
    <t>certification_lab</t>
  </si>
  <si>
    <t>product_type</t>
  </si>
  <si>
    <t>carat_weight</t>
  </si>
  <si>
    <t>ratti_weight</t>
  </si>
  <si>
    <t>dimensions</t>
  </si>
  <si>
    <t>price</t>
  </si>
  <si>
    <t>special_price</t>
  </si>
  <si>
    <t>shipping_days</t>
  </si>
  <si>
    <t>stock_status</t>
  </si>
  <si>
    <t>vendor_id</t>
  </si>
  <si>
    <t>certificate_no</t>
  </si>
  <si>
    <t>image_folder</t>
  </si>
  <si>
    <t>manual_url_key</t>
  </si>
  <si>
    <t>notes</t>
  </si>
  <si>
    <t>GP-RUBY-0001</t>
  </si>
  <si>
    <t>VND-RB-001</t>
  </si>
  <si>
    <t>Ruby</t>
  </si>
  <si>
    <t>Mozambique Ruby</t>
  </si>
  <si>
    <t>Mozambique</t>
  </si>
  <si>
    <t>Heated</t>
  </si>
  <si>
    <t>Oval</t>
  </si>
  <si>
    <t>Faceted</t>
  </si>
  <si>
    <t>Vivid Red</t>
  </si>
  <si>
    <t>IGI Certified</t>
  </si>
  <si>
    <t>Single Stone</t>
  </si>
  <si>
    <t>8.1 x 6.2 x 3.4</t>
  </si>
  <si>
    <t>In Stock</t>
  </si>
  <si>
    <t>V001</t>
  </si>
  <si>
    <t>IGI12345</t>
  </si>
  <si>
    <t>/images/ruby/</t>
  </si>
  <si>
    <t>Sample raw row</t>
  </si>
  <si>
    <t>GP-BS-0002</t>
  </si>
  <si>
    <t>VND-BS-002</t>
  </si>
  <si>
    <t>Blue Sapphire</t>
  </si>
  <si>
    <t>Ceylon Blue Sapphire</t>
  </si>
  <si>
    <t>Royal Blue Sapphire</t>
  </si>
  <si>
    <t>Sri Lanka</t>
  </si>
  <si>
    <t>Cushion</t>
  </si>
  <si>
    <t>Royal Blue</t>
  </si>
  <si>
    <t>GRS Certified</t>
  </si>
  <si>
    <t>7.8 x 6.9 x 4.0</t>
  </si>
  <si>
    <t>V002</t>
  </si>
  <si>
    <t>GRS9988</t>
  </si>
  <si>
    <t>/images/blue-sapphire/</t>
  </si>
  <si>
    <t>Ratti given; carat auto-derived</t>
  </si>
  <si>
    <t>GP-EM-0003</t>
  </si>
  <si>
    <t>VND-EM-003</t>
  </si>
  <si>
    <t>Emerald</t>
  </si>
  <si>
    <t>Zambian Emerald</t>
  </si>
  <si>
    <t>Minor Oil Emerald</t>
  </si>
  <si>
    <t>Zambia</t>
  </si>
  <si>
    <t>Minor Oil</t>
  </si>
  <si>
    <t>Emerald Cut</t>
  </si>
  <si>
    <t>Green</t>
  </si>
  <si>
    <t>AIGS Certified</t>
  </si>
  <si>
    <t>7.0 x 5.1 x 3.2</t>
  </si>
  <si>
    <t>V003</t>
  </si>
  <si>
    <t>AIGS777</t>
  </si>
  <si>
    <t>/images/emerald/</t>
  </si>
  <si>
    <t>Check shipping rule</t>
  </si>
  <si>
    <t>02_Output_Magento_Import</t>
  </si>
  <si>
    <t>Formula preview of Magento import rows. The Python CLI writes a clean hard-value import workbook for upload.</t>
  </si>
  <si>
    <t>attribute_set_id</t>
  </si>
  <si>
    <t>name</t>
  </si>
  <si>
    <t>meta_title</t>
  </si>
  <si>
    <t>url_key</t>
  </si>
  <si>
    <t>sku_for_vendor_product</t>
  </si>
  <si>
    <t>treatment</t>
  </si>
  <si>
    <t>classification</t>
  </si>
  <si>
    <t>cutting_style</t>
  </si>
  <si>
    <t>j_colour</t>
  </si>
  <si>
    <t>name2</t>
  </si>
  <si>
    <t>offers</t>
  </si>
  <si>
    <t>weight_ratti</t>
  </si>
  <si>
    <t>hsn_code</t>
  </si>
  <si>
    <t>weight_carats</t>
  </si>
  <si>
    <t>origin</t>
  </si>
  <si>
    <t>gem_composition</t>
  </si>
  <si>
    <t>tax_class_id</t>
  </si>
  <si>
    <t>certification_sticker</t>
  </si>
  <si>
    <t>dispatch_days</t>
  </si>
  <si>
    <t>astro_status</t>
  </si>
  <si>
    <t>product_visibility</t>
  </si>
  <si>
    <t>validation_status</t>
  </si>
  <si>
    <t>validation_notes</t>
  </si>
  <si>
    <t>03_Validation_Report</t>
  </si>
  <si>
    <t>Use this sheet for manual-review queue and QA sign-off.</t>
  </si>
  <si>
    <t>severity</t>
  </si>
  <si>
    <t>field</t>
  </si>
  <si>
    <t>issue</t>
  </si>
  <si>
    <t>recommended_fix</t>
  </si>
  <si>
    <t>status</t>
  </si>
  <si>
    <t>owner</t>
  </si>
  <si>
    <t>resolved_date</t>
  </si>
  <si>
    <t>Info</t>
  </si>
  <si>
    <t>all</t>
  </si>
  <si>
    <t>Sample row passes core lookup</t>
  </si>
  <si>
    <t>No action</t>
  </si>
  <si>
    <t>Open</t>
  </si>
  <si>
    <t>Generated sample</t>
  </si>
  <si>
    <t>Warning</t>
  </si>
  <si>
    <t>Ratti provided; carat will be derived</t>
  </si>
  <si>
    <t>Verify conversion</t>
  </si>
  <si>
    <t>1 ratti = 0.91 carat</t>
  </si>
  <si>
    <t>Shipping day 14 should be verified against business rule</t>
  </si>
  <si>
    <t>Confirm dispatch text</t>
  </si>
  <si>
    <t>Known source-data risk</t>
  </si>
  <si>
    <t>10_Master_Gem_Types</t>
  </si>
  <si>
    <t>Normalized lookup/configuration sheet. Maintain this instead of fragile helper formulas scattered across the old workbook.</t>
  </si>
  <si>
    <t>gem_type</t>
  </si>
  <si>
    <t>gemstone2</t>
  </si>
  <si>
    <t>gemstone</t>
  </si>
  <si>
    <t>gemstone_benefits</t>
  </si>
  <si>
    <t>gemstone2_type</t>
  </si>
  <si>
    <t>is_active</t>
  </si>
  <si>
    <t>priority</t>
  </si>
  <si>
    <t>Astrological and luxury gemstone</t>
  </si>
  <si>
    <t>71039120</t>
  </si>
  <si>
    <t>2</t>
  </si>
  <si>
    <t>Natural</t>
  </si>
  <si>
    <t>Precious</t>
  </si>
  <si>
    <t>ruby</t>
  </si>
  <si>
    <t>TRUE</t>
  </si>
  <si>
    <t>Sample</t>
  </si>
  <si>
    <t>Blue (Royal Blue)</t>
  </si>
  <si>
    <t>Astrological premium gemstone</t>
  </si>
  <si>
    <t>blue-sapphire</t>
  </si>
  <si>
    <t>blue-sapphire-neelam</t>
  </si>
  <si>
    <t>emerald</t>
  </si>
  <si>
    <t>emerald-panna</t>
  </si>
  <si>
    <t>Brazilian Amethyst</t>
  </si>
  <si>
    <t>Amethyst</t>
  </si>
  <si>
    <t>Unheated</t>
  </si>
  <si>
    <t>Purple</t>
  </si>
  <si>
    <t>Semi-precious healing gemstone</t>
  </si>
  <si>
    <t>71039990</t>
  </si>
  <si>
    <t>Brazil</t>
  </si>
  <si>
    <t>Semi-Precious</t>
  </si>
  <si>
    <t>amethyst</t>
  </si>
  <si>
    <t>Opal</t>
  </si>
  <si>
    <t>Australian Opal</t>
  </si>
  <si>
    <t>Untreated</t>
  </si>
  <si>
    <t>Cabochon</t>
  </si>
  <si>
    <t>White</t>
  </si>
  <si>
    <t>Beauty and healing gemstone</t>
  </si>
  <si>
    <t>Australia</t>
  </si>
  <si>
    <t>opal</t>
  </si>
  <si>
    <t>11_Master_Gemstone2</t>
  </si>
  <si>
    <t>default_treatment</t>
  </si>
  <si>
    <t>default_cutting_style</t>
  </si>
  <si>
    <t>default_hsn_code</t>
  </si>
  <si>
    <t>default_tax_class_id</t>
  </si>
  <si>
    <t>default_composition</t>
  </si>
  <si>
    <t>default_classification</t>
  </si>
  <si>
    <t>default_url_key</t>
  </si>
  <si>
    <t>default_origin</t>
  </si>
  <si>
    <t>default_product_type</t>
  </si>
  <si>
    <t>Default only; final rule should use gem_type</t>
  </si>
  <si>
    <t>Default only</t>
  </si>
  <si>
    <t>12_Color_Mapping</t>
  </si>
  <si>
    <t>display_colour</t>
  </si>
  <si>
    <t>google_colour</t>
  </si>
  <si>
    <t>vivid_normalized</t>
  </si>
  <si>
    <t>special_colour_name</t>
  </si>
  <si>
    <t>Vivid Red (Pigeon Blood Red)</t>
  </si>
  <si>
    <t>Pigeon Blood Red</t>
  </si>
  <si>
    <t>Red</t>
  </si>
  <si>
    <t>Premium ruby wording</t>
  </si>
  <si>
    <t>Blue</t>
  </si>
  <si>
    <t>Blue sapphire wording</t>
  </si>
  <si>
    <t>Default</t>
  </si>
  <si>
    <t>Deep Blue</t>
  </si>
  <si>
    <t>Deep Blue (Royal Blue)</t>
  </si>
  <si>
    <t>Deep Royal Blue</t>
  </si>
  <si>
    <t>Golden Yellow</t>
  </si>
  <si>
    <t>Yellow</t>
  </si>
  <si>
    <t>13_Certification_Stickers</t>
  </si>
  <si>
    <t>certificate_type</t>
  </si>
  <si>
    <t>sticker_slug</t>
  </si>
  <si>
    <t>display_text</t>
  </si>
  <si>
    <t>Lab Certificate</t>
  </si>
  <si>
    <t>igi-certified</t>
  </si>
  <si>
    <t>grs</t>
  </si>
  <si>
    <t>aigs</t>
  </si>
  <si>
    <t>GIA Certified</t>
  </si>
  <si>
    <t>gia-certified</t>
  </si>
  <si>
    <t>Extra cost/turnaround if requested</t>
  </si>
  <si>
    <t>Uncertified</t>
  </si>
  <si>
    <t>None</t>
  </si>
  <si>
    <t>14_Shipping_Rules</t>
  </si>
  <si>
    <t>dispatch_text</t>
  </si>
  <si>
    <t>jewelry_extra_days</t>
  </si>
  <si>
    <t>bracelet_gold_extra_days</t>
  </si>
  <si>
    <t>Ready to Ship</t>
  </si>
  <si>
    <t>+5 days for typical Jewellery</t>
  </si>
  <si>
    <t>+14 days for Bracelet/Gold/CZ/Diamond Items</t>
  </si>
  <si>
    <t>3 Business Days</t>
  </si>
  <si>
    <t>7 Business Days</t>
  </si>
  <si>
    <t>9 Business Days</t>
  </si>
  <si>
    <t>Verify: source sheet mapped 14 to 9 business days</t>
  </si>
  <si>
    <t>15_Calibration_Rules</t>
  </si>
  <si>
    <t>calibration_group</t>
  </si>
  <si>
    <t>min_length_mm</t>
  </si>
  <si>
    <t>max_length_mm</t>
  </si>
  <si>
    <t>min_width_mm</t>
  </si>
  <si>
    <t>max_width_mm</t>
  </si>
  <si>
    <t>calibrated_label</t>
  </si>
  <si>
    <t>Oval+Emerald+cushion</t>
  </si>
  <si>
    <t>Calibrated Oval Family</t>
  </si>
  <si>
    <t>Round</t>
  </si>
  <si>
    <t>Round+Square</t>
  </si>
  <si>
    <t>Calibrated Round/Square</t>
  </si>
  <si>
    <t>Exception: pearl round may map to Pearl</t>
  </si>
  <si>
    <t>Pear</t>
  </si>
  <si>
    <t>Calibrated Pear</t>
  </si>
  <si>
    <t>Marquise</t>
  </si>
  <si>
    <t>Marquise+Baguette+Rectangle</t>
  </si>
  <si>
    <t>Calibrated Long Shape</t>
  </si>
  <si>
    <t>16_Astro_Flags</t>
  </si>
  <si>
    <t>consultation_required</t>
  </si>
  <si>
    <t>default_pitch</t>
  </si>
  <si>
    <t>Astro</t>
  </si>
  <si>
    <t>Yes</t>
  </si>
  <si>
    <t>Can be used for Sun-related astrological purposes.</t>
  </si>
  <si>
    <t>Premium gemstone</t>
  </si>
  <si>
    <t>Can be used for Saturn-related astrological purposes.</t>
  </si>
  <si>
    <t>Can be used for Mercury-related astrological purposes.</t>
  </si>
  <si>
    <t>Optional</t>
  </si>
  <si>
    <t>Often used as an alternative gemstone.</t>
  </si>
  <si>
    <t>Semi-precious</t>
  </si>
  <si>
    <t>Agate</t>
  </si>
  <si>
    <t>Non-Astro</t>
  </si>
  <si>
    <t>No</t>
  </si>
  <si>
    <t>Beauty/healing gemstone.</t>
  </si>
  <si>
    <t>Non-astro</t>
  </si>
  <si>
    <t>17_Physical_Properties</t>
  </si>
  <si>
    <t>specific_gravity_min</t>
  </si>
  <si>
    <t>specific_gravity_max</t>
  </si>
  <si>
    <t>refractive_index_min</t>
  </si>
  <si>
    <t>refractive_index_max</t>
  </si>
  <si>
    <t>hardness_mohs</t>
  </si>
  <si>
    <t>Reference values; verify lab-level exceptions</t>
  </si>
  <si>
    <t>Corundum</t>
  </si>
  <si>
    <t>Beryl</t>
  </si>
  <si>
    <t>Quartz</t>
  </si>
  <si>
    <t>Hydrated silica</t>
  </si>
  <si>
    <t>18_Valid_Values</t>
  </si>
  <si>
    <t>category</t>
  </si>
  <si>
    <t>value</t>
  </si>
  <si>
    <t>Pair</t>
  </si>
  <si>
    <t>Set</t>
  </si>
  <si>
    <t>Beads</t>
  </si>
  <si>
    <t>Carving</t>
  </si>
  <si>
    <t>Rough</t>
  </si>
  <si>
    <t>Jewellery</t>
  </si>
  <si>
    <t>Sold Out</t>
  </si>
  <si>
    <t>Reserved</t>
  </si>
  <si>
    <t>Draft</t>
  </si>
  <si>
    <t>Disabled</t>
  </si>
  <si>
    <t>Mid-Precious</t>
  </si>
  <si>
    <t>Ultra-Luxury</t>
  </si>
  <si>
    <t>Synthetic</t>
  </si>
  <si>
    <t>Cultured</t>
  </si>
  <si>
    <t>Assembled</t>
  </si>
  <si>
    <t>Carved</t>
  </si>
  <si>
    <t>Dyed</t>
  </si>
  <si>
    <t>Glass Filled</t>
  </si>
  <si>
    <t>Irradiated</t>
  </si>
  <si>
    <t>manual_review_reason</t>
  </si>
  <si>
    <t>Missing gem_type lookup</t>
  </si>
  <si>
    <t>Missing url_key</t>
  </si>
  <si>
    <t>Missing j_colour</t>
  </si>
  <si>
    <t>Missing hsn_code</t>
  </si>
  <si>
    <t>Duplicate SKU</t>
  </si>
  <si>
    <t>Invalid price</t>
  </si>
  <si>
    <t>Shipping rule missing</t>
  </si>
  <si>
    <t>19_Naming_Rules</t>
  </si>
  <si>
    <t>rule_id</t>
  </si>
  <si>
    <t>condition_field</t>
  </si>
  <si>
    <t>condition_value</t>
  </si>
  <si>
    <t>name_template</t>
  </si>
  <si>
    <t>meta_title_template</t>
  </si>
  <si>
    <t>meta_description_template</t>
  </si>
  <si>
    <t>DEFAULT_SINGLE</t>
  </si>
  <si>
    <t>{carat_weight} Ct {gem_type} {shape_raw} Gemstone</t>
  </si>
  <si>
    <t>Buy {carat_weight} Ct {gem_type} Online | GemPundit</t>
  </si>
  <si>
    <t>Buy certified {gem_type} gemstone with trusted quality and secure shipping.</t>
  </si>
  <si>
    <t>PAIR</t>
  </si>
  <si>
    <t>{carat_weight} Ct {gem_type} Pair</t>
  </si>
  <si>
    <t>Buy {gem_type} Pair Online | GemPundit</t>
  </si>
  <si>
    <t>Buy certified {gem_type} pair online.</t>
  </si>
  <si>
    <t>BEADS</t>
  </si>
  <si>
    <t>{gem_type} Beads Strand</t>
  </si>
  <si>
    <t>Buy {gem_type} Beads Online | GemPundit</t>
  </si>
  <si>
    <t>Buy gemstone beads online.</t>
  </si>
  <si>
    <t>20_Admin_Config</t>
  </si>
  <si>
    <t>key</t>
  </si>
  <si>
    <t>description</t>
  </si>
  <si>
    <t>default_attribute_set_id</t>
  </si>
  <si>
    <t>20</t>
  </si>
  <si>
    <t>Magento attribute set ID for loose gemstone products</t>
  </si>
  <si>
    <t>default_product_visibility</t>
  </si>
  <si>
    <t>Catalog, Search</t>
  </si>
  <si>
    <t>Magento visibility</t>
  </si>
  <si>
    <t>ratti_to_carat</t>
  </si>
  <si>
    <t>0.91</t>
  </si>
  <si>
    <t>carat_to_ratti</t>
  </si>
  <si>
    <t>1.1</t>
  </si>
  <si>
    <t>1 carat = 1.1 ratti</t>
  </si>
  <si>
    <t>Fallback only; prefer Gem_Type lookup</t>
  </si>
  <si>
    <t>manual_review_on_missing_lookup</t>
  </si>
  <si>
    <t>Do not silently upload unresolved mapped products</t>
  </si>
  <si>
    <t>url_utm_suffix</t>
  </si>
  <si>
    <t>Optional campaign suffix, not used for product URL key</t>
  </si>
  <si>
    <t>21_Field_Map</t>
  </si>
  <si>
    <t>raw_field</t>
  </si>
  <si>
    <t>normalized_field</t>
  </si>
  <si>
    <t>magento_field</t>
  </si>
  <si>
    <t>source_type</t>
  </si>
  <si>
    <t>source_sheet</t>
  </si>
  <si>
    <t>required</t>
  </si>
  <si>
    <t>rule</t>
  </si>
  <si>
    <t>default_value</t>
  </si>
  <si>
    <t>raw</t>
  </si>
  <si>
    <t>Required and unique</t>
  </si>
  <si>
    <t>Blocker if missing/duplicate</t>
  </si>
  <si>
    <t>lookup</t>
  </si>
  <si>
    <t>Exact normalized match first</t>
  </si>
  <si>
    <t>Manual review if no match</t>
  </si>
  <si>
    <t>Colour mapping then gem_type fallback</t>
  </si>
  <si>
    <t>Integer/string normalized match</t>
  </si>
  <si>
    <t>Certification mapping</t>
  </si>
  <si>
    <t>carat_weight/ratti_weight</t>
  </si>
  <si>
    <t>weight</t>
  </si>
  <si>
    <t>carat_weight, weight_ratti</t>
  </si>
  <si>
    <t>formula</t>
  </si>
  <si>
    <t>1 ratti = 0.91 carat; 1 carat = 1.1 ratti</t>
  </si>
  <si>
    <t>override</t>
  </si>
  <si>
    <t>Manual override beats lookup</t>
  </si>
  <si>
    <t>22_QA_Checklist</t>
  </si>
  <si>
    <t>check_id</t>
  </si>
  <si>
    <t>area</t>
  </si>
  <si>
    <t>check</t>
  </si>
  <si>
    <t>QA-001</t>
  </si>
  <si>
    <t>SKU</t>
  </si>
  <si>
    <t>No duplicate SKU in raw input</t>
  </si>
  <si>
    <t>Blocker</t>
  </si>
  <si>
    <t>QA-002</t>
  </si>
  <si>
    <t>Lookup</t>
  </si>
  <si>
    <t>Every active row resolves gem_type or gemstone2</t>
  </si>
  <si>
    <t>QA-003</t>
  </si>
  <si>
    <t>Tax</t>
  </si>
  <si>
    <t>HSN and tax class generated for every upload row</t>
  </si>
  <si>
    <t>QA-004</t>
  </si>
  <si>
    <t>Colour</t>
  </si>
  <si>
    <t>j_colour resolved through colour mapping or gem_type fallback</t>
  </si>
  <si>
    <t>Error</t>
  </si>
  <si>
    <t>QA-005</t>
  </si>
  <si>
    <t>URL</t>
  </si>
  <si>
    <t>url_key exists and is slug-safe</t>
  </si>
  <si>
    <t>QA-006</t>
  </si>
  <si>
    <t>Price</t>
  </si>
  <si>
    <t>price &gt; 0 and special_price &lt;= price</t>
  </si>
  <si>
    <t>QA-007</t>
  </si>
  <si>
    <t>Shipping</t>
  </si>
  <si>
    <t>shipping_days exists in Shipping Rules</t>
  </si>
  <si>
    <t>QA-008</t>
  </si>
  <si>
    <t>Certification</t>
  </si>
  <si>
    <t>Sticker mapping exists for certification lab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</si>
</sst>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0"/>
      <color rgb="FF24406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5" fillId="0" borderId="0" xfId="0" applyFont="1" applyAlignment="1">
      <alignment vertical="top" wrapText="1"/>
    </xf>
    <xf numFmtId="0" fontId="0" fillId="6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7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Relationship Id="rId21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RawProductsTable" displayName="RawProductsTable" ref="A3:Y503" totalsRowShown="0">
  <autoFilter ref="A3:Y503"/>
  <tableColumns count="25">
    <tableColumn id="1" name="row_id"/>
    <tableColumn id="2" name="sku"/>
    <tableColumn id="3" name="vendor_sku"/>
    <tableColumn id="4" name="gemstone_raw"/>
    <tableColumn id="5" name="gemstone2_raw"/>
    <tableColumn id="6" name="gem_type_raw"/>
    <tableColumn id="7" name="origin_raw"/>
    <tableColumn id="8" name="treatment_raw"/>
    <tableColumn id="9" name="shape_raw"/>
    <tableColumn id="10" name="cutting_style_raw"/>
    <tableColumn id="11" name="certificate_colour_raw"/>
    <tableColumn id="12" name="certification_lab"/>
    <tableColumn id="13" name="product_type"/>
    <tableColumn id="14" name="carat_weight"/>
    <tableColumn id="15" name="ratti_weight"/>
    <tableColumn id="16" name="dimensions"/>
    <tableColumn id="17" name="price"/>
    <tableColumn id="18" name="special_price"/>
    <tableColumn id="19" name="shipping_days"/>
    <tableColumn id="20" name="stock_status"/>
    <tableColumn id="21" name="vendor_id"/>
    <tableColumn id="22" name="certificate_no"/>
    <tableColumn id="23" name="image_folder"/>
    <tableColumn id="24" name="manual_url_key"/>
    <tableColumn id="25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MagentoOutputTable" displayName="MagentoOutputTable" ref="A3:AE503" totalsRowShown="0">
  <autoFilter ref="A3:AE503"/>
  <tableColumns count="31">
    <tableColumn id="1" name="attribute_set_id"/>
    <tableColumn id="2" name="product_type"/>
    <tableColumn id="3" name="sku"/>
    <tableColumn id="4" name="name"/>
    <tableColumn id="5" name="meta_title"/>
    <tableColumn id="6" name="url_key"/>
    <tableColumn id="7" name="sku_for_vendor_product"/>
    <tableColumn id="8" name="treatment"/>
    <tableColumn id="9" name="carat_weight"/>
    <tableColumn id="10" name="classification"/>
    <tableColumn id="11" name="cutting_style"/>
    <tableColumn id="12" name="dimensions"/>
    <tableColumn id="13" name="j_colour"/>
    <tableColumn id="14" name="name2"/>
    <tableColumn id="15" name="offers"/>
    <tableColumn id="16" name="vendor_id"/>
    <tableColumn id="17" name="weight_ratti"/>
    <tableColumn id="18" name="shipping_days"/>
    <tableColumn id="19" name="hsn_code"/>
    <tableColumn id="20" name="price"/>
    <tableColumn id="21" name="special_price"/>
    <tableColumn id="22" name="weight_carats"/>
    <tableColumn id="23" name="origin"/>
    <tableColumn id="24" name="gem_composition"/>
    <tableColumn id="25" name="tax_class_id"/>
    <tableColumn id="26" name="certification_sticker"/>
    <tableColumn id="27" name="dispatch_days"/>
    <tableColumn id="28" name="astro_status"/>
    <tableColumn id="29" name="product_visibility"/>
    <tableColumn id="30" name="validation_status"/>
    <tableColumn id="31" name="validation_note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ValidationReportTable" displayName="ValidationReportTable" ref="A3:J503" totalsRowShown="0">
  <autoFilter ref="A3:J503"/>
  <tableColumns count="10">
    <tableColumn id="1" name="row_id"/>
    <tableColumn id="2" name="sku"/>
    <tableColumn id="3" name="severity"/>
    <tableColumn id="4" name="field"/>
    <tableColumn id="5" name="issue"/>
    <tableColumn id="6" name="recommended_fix"/>
    <tableColumn id="7" name="status"/>
    <tableColumn id="8" name="owner"/>
    <tableColumn id="9" name="resolved_date"/>
    <tableColumn id="10" name="not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GemTypesTable" displayName="GemTypesTable" ref="A3:R504" totalsRowShown="0">
  <autoFilter ref="A3:R504"/>
  <tableColumns count="18">
    <tableColumn id="1" name="gem_type"/>
    <tableColumn id="2" name="gemstone2"/>
    <tableColumn id="3" name="gemstone"/>
    <tableColumn id="4" name="treatment"/>
    <tableColumn id="5" name="cutting_style"/>
    <tableColumn id="6" name="j_colour"/>
    <tableColumn id="7" name="gemstone_benefits"/>
    <tableColumn id="8" name="hsn_code"/>
    <tableColumn id="9" name="tax_class_id"/>
    <tableColumn id="10" name="gem_composition"/>
    <tableColumn id="11" name="product_type"/>
    <tableColumn id="12" name="origin"/>
    <tableColumn id="13" name="gemstone2_type"/>
    <tableColumn id="14" name="classification"/>
    <tableColumn id="15" name="url_key"/>
    <tableColumn id="16" name="is_active"/>
    <tableColumn id="17" name="priority"/>
    <tableColumn id="1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emstone2Table" displayName="Gemstone2Table" ref="A3:M504" totalsRowShown="0">
  <autoFilter ref="A3:M504"/>
  <tableColumns count="13">
    <tableColumn id="1" name="gemstone2"/>
    <tableColumn id="2" name="gemstone"/>
    <tableColumn id="3" name="default_treatment"/>
    <tableColumn id="4" name="default_cutting_style"/>
    <tableColumn id="5" name="default_hsn_code"/>
    <tableColumn id="6" name="default_tax_class_id"/>
    <tableColumn id="7" name="default_composition"/>
    <tableColumn id="8" name="default_classification"/>
    <tableColumn id="9" name="default_url_key"/>
    <tableColumn id="10" name="gemstone2_type"/>
    <tableColumn id="11" name="default_origin"/>
    <tableColumn id="12" name="default_product_type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lorMappingTable" displayName="ColorMappingTable" ref="A3:I504" totalsRowShown="0">
  <autoFilter ref="A3:I504"/>
  <tableColumns count="9">
    <tableColumn id="1" name="certificate_colour_raw"/>
    <tableColumn id="2" name="j_colour"/>
    <tableColumn id="3" name="display_colour"/>
    <tableColumn id="4" name="google_colour"/>
    <tableColumn id="5" name="vivid_normalized"/>
    <tableColumn id="6" name="special_colour_name"/>
    <tableColumn id="7" name="priority"/>
    <tableColumn id="8" name="is_active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ertificationStickersTable" displayName="CertificationStickersTable" ref="A3:F504" totalsRowShown="0">
  <autoFilter ref="A3:F504"/>
  <tableColumns count="6">
    <tableColumn id="1" name="certification_lab"/>
    <tableColumn id="2" name="certificate_type"/>
    <tableColumn id="3" name="sticker_slug"/>
    <tableColumn id="4" name="display_text"/>
    <tableColumn id="5" name="is_active"/>
    <tableColumn id="6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hippingRulesTable" displayName="ShippingRulesTable" ref="A3:G504" totalsRowShown="0">
  <autoFilter ref="A3:G504"/>
  <tableColumns count="7">
    <tableColumn id="1" name="shipping_days"/>
    <tableColumn id="2" name="dispatch_text"/>
    <tableColumn id="3" name="jewelry_extra_days"/>
    <tableColumn id="4" name="bracelet_gold_extra_days"/>
    <tableColumn id="5" name="priority"/>
    <tableColumn id="6" name="is_active"/>
    <tableColumn id="7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alibrationRulesTable" displayName="CalibrationRulesTable" ref="A3:I504" totalsRowShown="0">
  <autoFilter ref="A3:I504"/>
  <tableColumns count="9">
    <tableColumn id="1" name="shape_raw"/>
    <tableColumn id="2" name="calibration_group"/>
    <tableColumn id="3" name="min_length_mm"/>
    <tableColumn id="4" name="max_length_mm"/>
    <tableColumn id="5" name="min_width_mm"/>
    <tableColumn id="6" name="max_width_mm"/>
    <tableColumn id="7" name="calibrated_label"/>
    <tableColumn id="8" name="is_active"/>
    <tableColumn id="9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AstroFlagsTable" displayName="AstroFlagsTable" ref="A3:E504" totalsRowShown="0">
  <autoFilter ref="A3:E504"/>
  <tableColumns count="5">
    <tableColumn id="1" name="gemstone"/>
    <tableColumn id="2" name="astro_status"/>
    <tableColumn id="3" name="consultation_required"/>
    <tableColumn id="4" name="default_pitch"/>
    <tableColumn id="5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hysicalPropertiesTable" displayName="PhysicalPropertiesTable" ref="A3:G504" totalsRowShown="0">
  <autoFilter ref="A3:G504"/>
  <tableColumns count="7">
    <tableColumn id="1" name="gemstone"/>
    <tableColumn id="2" name="specific_gravity_min"/>
    <tableColumn id="3" name="specific_gravity_max"/>
    <tableColumn id="4" name="refractive_index_min"/>
    <tableColumn id="5" name="refractive_index_max"/>
    <tableColumn id="6" name="hardness_mohs"/>
    <tableColumn id="7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ValidValuesTable" displayName="ValidValuesTable" ref="A3:D504" totalsRowShown="0">
  <autoFilter ref="A3:D504"/>
  <tableColumns count="4">
    <tableColumn id="1" name="category"/>
    <tableColumn id="2" name="value"/>
    <tableColumn id="3" name="is_active"/>
    <tableColumn id="4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NamingRulesTable" displayName="NamingRulesTable" ref="A3:I504" totalsRowShown="0">
  <autoFilter ref="A3:I504"/>
  <tableColumns count="9">
    <tableColumn id="1" name="rule_id"/>
    <tableColumn id="2" name="condition_field"/>
    <tableColumn id="3" name="condition_value"/>
    <tableColumn id="4" name="name_template"/>
    <tableColumn id="5" name="meta_title_template"/>
    <tableColumn id="6" name="meta_description_template"/>
    <tableColumn id="7" name="priority"/>
    <tableColumn id="8" name="is_active"/>
    <tableColumn id="9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AdminConfigTable" displayName="AdminConfigTable" ref="A3:C504" totalsRowShown="0">
  <autoFilter ref="A3:C504"/>
  <tableColumns count="3">
    <tableColumn id="1" name="key"/>
    <tableColumn id="2" name="value"/>
    <tableColumn id="3" name="descrip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ieldMapTable" displayName="FieldMapTable" ref="A3:I504" totalsRowShown="0">
  <autoFilter ref="A3:I504"/>
  <tableColumns count="9">
    <tableColumn id="1" name="raw_field"/>
    <tableColumn id="2" name="normalized_field"/>
    <tableColumn id="3" name="magento_field"/>
    <tableColumn id="4" name="source_type"/>
    <tableColumn id="5" name="source_sheet"/>
    <tableColumn id="6" name="required"/>
    <tableColumn id="7" name="rule"/>
    <tableColumn id="8" name="default_value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QAChecklistTable" displayName="QAChecklistTable" ref="A3:G504" totalsRowShown="0">
  <autoFilter ref="A3:G504"/>
  <tableColumns count="7">
    <tableColumn id="1" name="check_id"/>
    <tableColumn id="2" name="area"/>
    <tableColumn id="3" name="check"/>
    <tableColumn id="4" name="severity"/>
    <tableColumn id="5" name="owner"/>
    <tableColumn id="6" name="status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showGridLines="0" tabSelected="1" workbookViewId="0"/>
  </sheetViews>
  <sheetFormatPr defaultRowHeight="15"/>
  <cols>
    <col min="1" max="1" width="24.7109375" customWidth="1"/>
    <col min="2" max="2" width="100.7109375" customWidth="1"/>
  </cols>
  <sheetData>
    <row r="1" spans="1:2" ht="30" customHeight="1">
      <c r="A1" s="1" t="s">
        <v>0</v>
      </c>
      <c r="B1" s="1"/>
    </row>
    <row r="2" spans="1:2" ht="36" customHeight="1">
      <c r="A2" s="2" t="s">
        <v>1</v>
      </c>
      <c r="B2" s="2"/>
    </row>
    <row r="4" spans="1:2">
      <c r="A4" s="3" t="s">
        <v>2</v>
      </c>
      <c r="B4" s="3" t="s">
        <v>3</v>
      </c>
    </row>
    <row r="5" spans="1:2">
      <c r="A5" s="4" t="s">
        <v>4</v>
      </c>
      <c r="B5" s="5" t="s">
        <v>5</v>
      </c>
    </row>
    <row r="6" spans="1:2">
      <c r="A6" s="5" t="s">
        <v>6</v>
      </c>
      <c r="B6" s="5" t="s">
        <v>7</v>
      </c>
    </row>
    <row r="7" spans="1:2">
      <c r="A7" s="5" t="s">
        <v>8</v>
      </c>
      <c r="B7" s="5" t="s">
        <v>9</v>
      </c>
    </row>
    <row r="8" spans="1:2">
      <c r="A8" s="5" t="s">
        <v>10</v>
      </c>
      <c r="B8" s="5" t="s">
        <v>11</v>
      </c>
    </row>
    <row r="9" spans="1:2">
      <c r="A9" s="5" t="s">
        <v>12</v>
      </c>
      <c r="B9" s="5" t="s">
        <v>13</v>
      </c>
    </row>
    <row r="10" spans="1:2">
      <c r="A10" s="5" t="s">
        <v>14</v>
      </c>
      <c r="B10" s="5" t="s">
        <v>15</v>
      </c>
    </row>
    <row r="11" spans="1:2">
      <c r="A11" s="5" t="s">
        <v>16</v>
      </c>
      <c r="B11" s="5" t="s">
        <v>17</v>
      </c>
    </row>
    <row r="12" spans="1:2">
      <c r="A12" s="5" t="s">
        <v>18</v>
      </c>
      <c r="B12" s="5" t="s">
        <v>19</v>
      </c>
    </row>
    <row r="15" spans="1:2">
      <c r="A15" s="3" t="s">
        <v>20</v>
      </c>
      <c r="B15" s="3" t="s">
        <v>21</v>
      </c>
    </row>
    <row r="16" spans="1:2">
      <c r="A16" s="5" t="s">
        <v>22</v>
      </c>
      <c r="B16" s="5" t="s">
        <v>23</v>
      </c>
    </row>
    <row r="17" spans="1:2">
      <c r="A17" s="5" t="s">
        <v>24</v>
      </c>
      <c r="B17" s="5" t="s">
        <v>25</v>
      </c>
    </row>
    <row r="18" spans="1:2">
      <c r="A18" s="5" t="s">
        <v>26</v>
      </c>
      <c r="B18" s="5" t="s">
        <v>27</v>
      </c>
    </row>
    <row r="19" spans="1:2">
      <c r="A19" s="5" t="s">
        <v>28</v>
      </c>
      <c r="B19" s="5" t="s">
        <v>29</v>
      </c>
    </row>
    <row r="20" spans="1:2">
      <c r="A20" s="5" t="s">
        <v>30</v>
      </c>
      <c r="B20" s="5" t="s">
        <v>31</v>
      </c>
    </row>
    <row r="21" spans="1:2">
      <c r="A21" s="5" t="s">
        <v>32</v>
      </c>
      <c r="B21" s="5" t="s">
        <v>33</v>
      </c>
    </row>
    <row r="22" spans="1:2">
      <c r="A22" s="5" t="s">
        <v>34</v>
      </c>
      <c r="B22" s="5" t="s">
        <v>35</v>
      </c>
    </row>
    <row r="23" spans="1:2">
      <c r="A23" s="5" t="s">
        <v>36</v>
      </c>
      <c r="B23" s="5" t="s">
        <v>37</v>
      </c>
    </row>
    <row r="24" spans="1:2">
      <c r="A24" s="5" t="s">
        <v>38</v>
      </c>
      <c r="B24" s="5" t="s">
        <v>39</v>
      </c>
    </row>
    <row r="25" spans="1:2">
      <c r="A25" s="5" t="s">
        <v>40</v>
      </c>
      <c r="B25" s="5" t="s">
        <v>41</v>
      </c>
    </row>
    <row r="26" spans="1:2">
      <c r="A26" s="5" t="s">
        <v>42</v>
      </c>
      <c r="B26" s="5" t="s">
        <v>43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02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.7109375" customWidth="1"/>
    <col min="2" max="4" width="18.7109375" customWidth="1"/>
    <col min="5" max="5" width="24.7109375" customWidth="1"/>
    <col min="6" max="6" width="28.7109375" customWidth="1"/>
    <col min="7" max="9" width="16.7109375" customWidth="1"/>
    <col min="10" max="10" width="18.7109375" customWidth="1"/>
    <col min="11" max="11" width="24.7109375" customWidth="1"/>
    <col min="12" max="12" width="20.7109375" customWidth="1"/>
    <col min="13" max="13" width="18.7109375" customWidth="1"/>
    <col min="14" max="15" width="12.7109375" customWidth="1"/>
    <col min="16" max="16" width="18.7109375" customWidth="1"/>
    <col min="17" max="18" width="14.7109375" customWidth="1"/>
    <col min="19" max="19" width="12.7109375" customWidth="1"/>
    <col min="20" max="21" width="14.7109375" customWidth="1"/>
    <col min="22" max="22" width="18.7109375" customWidth="1"/>
    <col min="23" max="23" width="24.7109375" customWidth="1"/>
    <col min="24" max="24" width="28.7109375" customWidth="1"/>
    <col min="25" max="25" width="32.7109375" customWidth="1"/>
  </cols>
  <sheetData>
    <row r="1" spans="1:25" ht="30" customHeight="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6" customHeight="1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</row>
    <row r="4" spans="1:25">
      <c r="A4" s="6">
        <v>1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74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7">
        <v>2.15</v>
      </c>
      <c r="O4" s="7"/>
      <c r="P4" s="6" t="s">
        <v>82</v>
      </c>
      <c r="Q4" s="8">
        <v>125000</v>
      </c>
      <c r="R4" s="8">
        <v>115000</v>
      </c>
      <c r="S4" s="6">
        <v>3</v>
      </c>
      <c r="T4" s="6" t="s">
        <v>83</v>
      </c>
      <c r="U4" s="6" t="s">
        <v>84</v>
      </c>
      <c r="V4" s="6" t="s">
        <v>85</v>
      </c>
      <c r="W4" s="6" t="s">
        <v>86</v>
      </c>
      <c r="X4" s="6"/>
      <c r="Y4" s="6" t="s">
        <v>87</v>
      </c>
    </row>
    <row r="5" spans="1:25">
      <c r="A5" s="6">
        <v>2</v>
      </c>
      <c r="B5" s="6" t="s">
        <v>88</v>
      </c>
      <c r="C5" s="6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76</v>
      </c>
      <c r="I5" s="6" t="s">
        <v>94</v>
      </c>
      <c r="J5" s="6" t="s">
        <v>78</v>
      </c>
      <c r="K5" s="6" t="s">
        <v>95</v>
      </c>
      <c r="L5" s="6" t="s">
        <v>96</v>
      </c>
      <c r="M5" s="6" t="s">
        <v>81</v>
      </c>
      <c r="N5" s="7"/>
      <c r="O5" s="7">
        <v>3.3</v>
      </c>
      <c r="P5" s="6" t="s">
        <v>97</v>
      </c>
      <c r="Q5" s="8">
        <v>240000</v>
      </c>
      <c r="R5" s="8"/>
      <c r="S5" s="6">
        <v>7</v>
      </c>
      <c r="T5" s="6" t="s">
        <v>83</v>
      </c>
      <c r="U5" s="6" t="s">
        <v>98</v>
      </c>
      <c r="V5" s="6" t="s">
        <v>99</v>
      </c>
      <c r="W5" s="6" t="s">
        <v>100</v>
      </c>
      <c r="X5" s="6"/>
      <c r="Y5" s="6" t="s">
        <v>101</v>
      </c>
    </row>
    <row r="6" spans="1:25">
      <c r="A6" s="9">
        <f>IF(B6&lt;&gt;"",ROW()-2,"")</f>
        <v>0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78</v>
      </c>
      <c r="K6" s="6" t="s">
        <v>110</v>
      </c>
      <c r="L6" s="6" t="s">
        <v>111</v>
      </c>
      <c r="M6" s="6" t="s">
        <v>81</v>
      </c>
      <c r="N6" s="7">
        <v>1.55</v>
      </c>
      <c r="O6" s="7"/>
      <c r="P6" s="6" t="s">
        <v>112</v>
      </c>
      <c r="Q6" s="8">
        <v>98000</v>
      </c>
      <c r="R6" s="8">
        <v>92000</v>
      </c>
      <c r="S6" s="6">
        <v>14</v>
      </c>
      <c r="T6" s="6" t="s">
        <v>83</v>
      </c>
      <c r="U6" s="6" t="s">
        <v>113</v>
      </c>
      <c r="V6" s="6" t="s">
        <v>114</v>
      </c>
      <c r="W6" s="6" t="s">
        <v>115</v>
      </c>
      <c r="X6" s="6"/>
      <c r="Y6" s="6" t="s">
        <v>116</v>
      </c>
    </row>
    <row r="7" spans="1:25">
      <c r="A7" s="9">
        <f>IF(B7&lt;&gt;"",ROW()-2,"")</f>
        <v>0</v>
      </c>
    </row>
    <row r="8" spans="1:25">
      <c r="A8" s="9">
        <f>IF(B8&lt;&gt;"",ROW()-2,"")</f>
        <v>0</v>
      </c>
    </row>
    <row r="9" spans="1:25">
      <c r="A9" s="9">
        <f>IF(B9&lt;&gt;"",ROW()-2,"")</f>
        <v>0</v>
      </c>
    </row>
    <row r="10" spans="1:25">
      <c r="A10" s="9">
        <f>IF(B10&lt;&gt;"",ROW()-2,"")</f>
        <v>0</v>
      </c>
    </row>
    <row r="11" spans="1:25">
      <c r="A11" s="9">
        <f>IF(B11&lt;&gt;"",ROW()-2,"")</f>
        <v>0</v>
      </c>
    </row>
    <row r="12" spans="1:25">
      <c r="A12" s="9">
        <f>IF(B12&lt;&gt;"",ROW()-2,"")</f>
        <v>0</v>
      </c>
    </row>
    <row r="13" spans="1:25">
      <c r="A13" s="9">
        <f>IF(B13&lt;&gt;"",ROW()-2,"")</f>
        <v>0</v>
      </c>
    </row>
    <row r="14" spans="1:25">
      <c r="A14" s="9">
        <f>IF(B14&lt;&gt;"",ROW()-2,"")</f>
        <v>0</v>
      </c>
    </row>
    <row r="15" spans="1:25">
      <c r="A15" s="9">
        <f>IF(B15&lt;&gt;"",ROW()-2,"")</f>
        <v>0</v>
      </c>
    </row>
    <row r="16" spans="1:25">
      <c r="A16" s="9">
        <f>IF(B16&lt;&gt;"",ROW()-2,"")</f>
        <v>0</v>
      </c>
    </row>
    <row r="17" spans="1:1">
      <c r="A17" s="9">
        <f>IF(B17&lt;&gt;"",ROW()-2,"")</f>
        <v>0</v>
      </c>
    </row>
    <row r="18" spans="1:1">
      <c r="A18" s="9">
        <f>IF(B18&lt;&gt;"",ROW()-2,"")</f>
        <v>0</v>
      </c>
    </row>
    <row r="19" spans="1:1">
      <c r="A19" s="9">
        <f>IF(B19&lt;&gt;"",ROW()-2,"")</f>
        <v>0</v>
      </c>
    </row>
    <row r="20" spans="1:1">
      <c r="A20" s="9">
        <f>IF(B20&lt;&gt;"",ROW()-2,"")</f>
        <v>0</v>
      </c>
    </row>
    <row r="21" spans="1:1">
      <c r="A21" s="9">
        <f>IF(B21&lt;&gt;"",ROW()-2,"")</f>
        <v>0</v>
      </c>
    </row>
    <row r="22" spans="1:1">
      <c r="A22" s="9">
        <f>IF(B22&lt;&gt;"",ROW()-2,"")</f>
        <v>0</v>
      </c>
    </row>
    <row r="23" spans="1:1">
      <c r="A23" s="9">
        <f>IF(B23&lt;&gt;"",ROW()-2,"")</f>
        <v>0</v>
      </c>
    </row>
    <row r="24" spans="1:1">
      <c r="A24" s="9">
        <f>IF(B24&lt;&gt;"",ROW()-2,"")</f>
        <v>0</v>
      </c>
    </row>
    <row r="25" spans="1:1">
      <c r="A25" s="9">
        <f>IF(B25&lt;&gt;"",ROW()-2,"")</f>
        <v>0</v>
      </c>
    </row>
    <row r="26" spans="1:1">
      <c r="A26" s="9">
        <f>IF(B26&lt;&gt;"",ROW()-2,"")</f>
        <v>0</v>
      </c>
    </row>
    <row r="27" spans="1:1">
      <c r="A27" s="9">
        <f>IF(B27&lt;&gt;"",ROW()-2,"")</f>
        <v>0</v>
      </c>
    </row>
    <row r="28" spans="1:1">
      <c r="A28" s="9">
        <f>IF(B28&lt;&gt;"",ROW()-2,"")</f>
        <v>0</v>
      </c>
    </row>
    <row r="29" spans="1:1">
      <c r="A29" s="9">
        <f>IF(B29&lt;&gt;"",ROW()-2,"")</f>
        <v>0</v>
      </c>
    </row>
    <row r="30" spans="1:1">
      <c r="A30" s="9">
        <f>IF(B30&lt;&gt;"",ROW()-2,"")</f>
        <v>0</v>
      </c>
    </row>
    <row r="31" spans="1:1">
      <c r="A31" s="9">
        <f>IF(B31&lt;&gt;"",ROW()-2,"")</f>
        <v>0</v>
      </c>
    </row>
    <row r="32" spans="1:1">
      <c r="A32" s="9">
        <f>IF(B32&lt;&gt;"",ROW()-2,"")</f>
        <v>0</v>
      </c>
    </row>
    <row r="33" spans="1:1">
      <c r="A33" s="9">
        <f>IF(B33&lt;&gt;"",ROW()-2,"")</f>
        <v>0</v>
      </c>
    </row>
    <row r="34" spans="1:1">
      <c r="A34" s="9">
        <f>IF(B34&lt;&gt;"",ROW()-2,"")</f>
        <v>0</v>
      </c>
    </row>
    <row r="35" spans="1:1">
      <c r="A35" s="9">
        <f>IF(B35&lt;&gt;"",ROW()-2,"")</f>
        <v>0</v>
      </c>
    </row>
    <row r="36" spans="1:1">
      <c r="A36" s="9">
        <f>IF(B36&lt;&gt;"",ROW()-2,"")</f>
        <v>0</v>
      </c>
    </row>
    <row r="37" spans="1:1">
      <c r="A37" s="9">
        <f>IF(B37&lt;&gt;"",ROW()-2,"")</f>
        <v>0</v>
      </c>
    </row>
    <row r="38" spans="1:1">
      <c r="A38" s="9">
        <f>IF(B38&lt;&gt;"",ROW()-2,"")</f>
        <v>0</v>
      </c>
    </row>
    <row r="39" spans="1:1">
      <c r="A39" s="9">
        <f>IF(B39&lt;&gt;"",ROW()-2,"")</f>
        <v>0</v>
      </c>
    </row>
    <row r="40" spans="1:1">
      <c r="A40" s="9">
        <f>IF(B40&lt;&gt;"",ROW()-2,"")</f>
        <v>0</v>
      </c>
    </row>
    <row r="41" spans="1:1">
      <c r="A41" s="9">
        <f>IF(B41&lt;&gt;"",ROW()-2,"")</f>
        <v>0</v>
      </c>
    </row>
    <row r="42" spans="1:1">
      <c r="A42" s="9">
        <f>IF(B42&lt;&gt;"",ROW()-2,"")</f>
        <v>0</v>
      </c>
    </row>
    <row r="43" spans="1:1">
      <c r="A43" s="9">
        <f>IF(B43&lt;&gt;"",ROW()-2,"")</f>
        <v>0</v>
      </c>
    </row>
    <row r="44" spans="1:1">
      <c r="A44" s="9">
        <f>IF(B44&lt;&gt;"",ROW()-2,"")</f>
        <v>0</v>
      </c>
    </row>
    <row r="45" spans="1:1">
      <c r="A45" s="9">
        <f>IF(B45&lt;&gt;"",ROW()-2,"")</f>
        <v>0</v>
      </c>
    </row>
    <row r="46" spans="1:1">
      <c r="A46" s="9">
        <f>IF(B46&lt;&gt;"",ROW()-2,"")</f>
        <v>0</v>
      </c>
    </row>
    <row r="47" spans="1:1">
      <c r="A47" s="9">
        <f>IF(B47&lt;&gt;"",ROW()-2,"")</f>
        <v>0</v>
      </c>
    </row>
    <row r="48" spans="1:1">
      <c r="A48" s="9">
        <f>IF(B48&lt;&gt;"",ROW()-2,"")</f>
        <v>0</v>
      </c>
    </row>
    <row r="49" spans="1:1">
      <c r="A49" s="9">
        <f>IF(B49&lt;&gt;"",ROW()-2,"")</f>
        <v>0</v>
      </c>
    </row>
    <row r="50" spans="1:1">
      <c r="A50" s="9">
        <f>IF(B50&lt;&gt;"",ROW()-2,"")</f>
        <v>0</v>
      </c>
    </row>
    <row r="51" spans="1:1">
      <c r="A51" s="9">
        <f>IF(B51&lt;&gt;"",ROW()-2,"")</f>
        <v>0</v>
      </c>
    </row>
    <row r="52" spans="1:1">
      <c r="A52" s="9">
        <f>IF(B52&lt;&gt;"",ROW()-2,"")</f>
        <v>0</v>
      </c>
    </row>
    <row r="53" spans="1:1">
      <c r="A53" s="9">
        <f>IF(B53&lt;&gt;"",ROW()-2,"")</f>
        <v>0</v>
      </c>
    </row>
    <row r="54" spans="1:1">
      <c r="A54" s="9">
        <f>IF(B54&lt;&gt;"",ROW()-2,"")</f>
        <v>0</v>
      </c>
    </row>
    <row r="55" spans="1:1">
      <c r="A55" s="9">
        <f>IF(B55&lt;&gt;"",ROW()-2,"")</f>
        <v>0</v>
      </c>
    </row>
    <row r="56" spans="1:1">
      <c r="A56" s="9">
        <f>IF(B56&lt;&gt;"",ROW()-2,"")</f>
        <v>0</v>
      </c>
    </row>
    <row r="57" spans="1:1">
      <c r="A57" s="9">
        <f>IF(B57&lt;&gt;"",ROW()-2,"")</f>
        <v>0</v>
      </c>
    </row>
    <row r="58" spans="1:1">
      <c r="A58" s="9">
        <f>IF(B58&lt;&gt;"",ROW()-2,"")</f>
        <v>0</v>
      </c>
    </row>
    <row r="59" spans="1:1">
      <c r="A59" s="9">
        <f>IF(B59&lt;&gt;"",ROW()-2,"")</f>
        <v>0</v>
      </c>
    </row>
    <row r="60" spans="1:1">
      <c r="A60" s="9">
        <f>IF(B60&lt;&gt;"",ROW()-2,"")</f>
        <v>0</v>
      </c>
    </row>
    <row r="61" spans="1:1">
      <c r="A61" s="9">
        <f>IF(B61&lt;&gt;"",ROW()-2,"")</f>
        <v>0</v>
      </c>
    </row>
    <row r="62" spans="1:1">
      <c r="A62" s="9">
        <f>IF(B62&lt;&gt;"",ROW()-2,"")</f>
        <v>0</v>
      </c>
    </row>
    <row r="63" spans="1:1">
      <c r="A63" s="9">
        <f>IF(B63&lt;&gt;"",ROW()-2,"")</f>
        <v>0</v>
      </c>
    </row>
    <row r="64" spans="1:1">
      <c r="A64" s="9">
        <f>IF(B64&lt;&gt;"",ROW()-2,"")</f>
        <v>0</v>
      </c>
    </row>
    <row r="65" spans="1:1">
      <c r="A65" s="9">
        <f>IF(B65&lt;&gt;"",ROW()-2,"")</f>
        <v>0</v>
      </c>
    </row>
    <row r="66" spans="1:1">
      <c r="A66" s="9">
        <f>IF(B66&lt;&gt;"",ROW()-2,"")</f>
        <v>0</v>
      </c>
    </row>
    <row r="67" spans="1:1">
      <c r="A67" s="9">
        <f>IF(B67&lt;&gt;"",ROW()-2,"")</f>
        <v>0</v>
      </c>
    </row>
    <row r="68" spans="1:1">
      <c r="A68" s="9">
        <f>IF(B68&lt;&gt;"",ROW()-2,"")</f>
        <v>0</v>
      </c>
    </row>
    <row r="69" spans="1:1">
      <c r="A69" s="9">
        <f>IF(B69&lt;&gt;"",ROW()-2,"")</f>
        <v>0</v>
      </c>
    </row>
    <row r="70" spans="1:1">
      <c r="A70" s="9">
        <f>IF(B70&lt;&gt;"",ROW()-2,"")</f>
        <v>0</v>
      </c>
    </row>
    <row r="71" spans="1:1">
      <c r="A71" s="9">
        <f>IF(B71&lt;&gt;"",ROW()-2,"")</f>
        <v>0</v>
      </c>
    </row>
    <row r="72" spans="1:1">
      <c r="A72" s="9">
        <f>IF(B72&lt;&gt;"",ROW()-2,"")</f>
        <v>0</v>
      </c>
    </row>
    <row r="73" spans="1:1">
      <c r="A73" s="9">
        <f>IF(B73&lt;&gt;"",ROW()-2,"")</f>
        <v>0</v>
      </c>
    </row>
    <row r="74" spans="1:1">
      <c r="A74" s="9">
        <f>IF(B74&lt;&gt;"",ROW()-2,"")</f>
        <v>0</v>
      </c>
    </row>
    <row r="75" spans="1:1">
      <c r="A75" s="9">
        <f>IF(B75&lt;&gt;"",ROW()-2,"")</f>
        <v>0</v>
      </c>
    </row>
    <row r="76" spans="1:1">
      <c r="A76" s="9">
        <f>IF(B76&lt;&gt;"",ROW()-2,"")</f>
        <v>0</v>
      </c>
    </row>
    <row r="77" spans="1:1">
      <c r="A77" s="9">
        <f>IF(B77&lt;&gt;"",ROW()-2,"")</f>
        <v>0</v>
      </c>
    </row>
    <row r="78" spans="1:1">
      <c r="A78" s="9">
        <f>IF(B78&lt;&gt;"",ROW()-2,"")</f>
        <v>0</v>
      </c>
    </row>
    <row r="79" spans="1:1">
      <c r="A79" s="9">
        <f>IF(B79&lt;&gt;"",ROW()-2,"")</f>
        <v>0</v>
      </c>
    </row>
    <row r="80" spans="1:1">
      <c r="A80" s="9">
        <f>IF(B80&lt;&gt;"",ROW()-2,"")</f>
        <v>0</v>
      </c>
    </row>
    <row r="81" spans="1:1">
      <c r="A81" s="9">
        <f>IF(B81&lt;&gt;"",ROW()-2,"")</f>
        <v>0</v>
      </c>
    </row>
    <row r="82" spans="1:1">
      <c r="A82" s="9">
        <f>IF(B82&lt;&gt;"",ROW()-2,"")</f>
        <v>0</v>
      </c>
    </row>
    <row r="83" spans="1:1">
      <c r="A83" s="9">
        <f>IF(B83&lt;&gt;"",ROW()-2,"")</f>
        <v>0</v>
      </c>
    </row>
    <row r="84" spans="1:1">
      <c r="A84" s="9">
        <f>IF(B84&lt;&gt;"",ROW()-2,"")</f>
        <v>0</v>
      </c>
    </row>
    <row r="85" spans="1:1">
      <c r="A85" s="9">
        <f>IF(B85&lt;&gt;"",ROW()-2,"")</f>
        <v>0</v>
      </c>
    </row>
    <row r="86" spans="1:1">
      <c r="A86" s="9">
        <f>IF(B86&lt;&gt;"",ROW()-2,"")</f>
        <v>0</v>
      </c>
    </row>
    <row r="87" spans="1:1">
      <c r="A87" s="9">
        <f>IF(B87&lt;&gt;"",ROW()-2,"")</f>
        <v>0</v>
      </c>
    </row>
    <row r="88" spans="1:1">
      <c r="A88" s="9">
        <f>IF(B88&lt;&gt;"",ROW()-2,"")</f>
        <v>0</v>
      </c>
    </row>
    <row r="89" spans="1:1">
      <c r="A89" s="9">
        <f>IF(B89&lt;&gt;"",ROW()-2,"")</f>
        <v>0</v>
      </c>
    </row>
    <row r="90" spans="1:1">
      <c r="A90" s="9">
        <f>IF(B90&lt;&gt;"",ROW()-2,"")</f>
        <v>0</v>
      </c>
    </row>
    <row r="91" spans="1:1">
      <c r="A91" s="9">
        <f>IF(B91&lt;&gt;"",ROW()-2,"")</f>
        <v>0</v>
      </c>
    </row>
    <row r="92" spans="1:1">
      <c r="A92" s="9">
        <f>IF(B92&lt;&gt;"",ROW()-2,"")</f>
        <v>0</v>
      </c>
    </row>
    <row r="93" spans="1:1">
      <c r="A93" s="9">
        <f>IF(B93&lt;&gt;"",ROW()-2,"")</f>
        <v>0</v>
      </c>
    </row>
    <row r="94" spans="1:1">
      <c r="A94" s="9">
        <f>IF(B94&lt;&gt;"",ROW()-2,"")</f>
        <v>0</v>
      </c>
    </row>
    <row r="95" spans="1:1">
      <c r="A95" s="9">
        <f>IF(B95&lt;&gt;"",ROW()-2,"")</f>
        <v>0</v>
      </c>
    </row>
    <row r="96" spans="1:1">
      <c r="A96" s="9">
        <f>IF(B96&lt;&gt;"",ROW()-2,"")</f>
        <v>0</v>
      </c>
    </row>
    <row r="97" spans="1:1">
      <c r="A97" s="9">
        <f>IF(B97&lt;&gt;"",ROW()-2,"")</f>
        <v>0</v>
      </c>
    </row>
    <row r="98" spans="1:1">
      <c r="A98" s="9">
        <f>IF(B98&lt;&gt;"",ROW()-2,"")</f>
        <v>0</v>
      </c>
    </row>
    <row r="99" spans="1:1">
      <c r="A99" s="9">
        <f>IF(B99&lt;&gt;"",ROW()-2,"")</f>
        <v>0</v>
      </c>
    </row>
    <row r="100" spans="1:1">
      <c r="A100" s="9">
        <f>IF(B100&lt;&gt;"",ROW()-2,"")</f>
        <v>0</v>
      </c>
    </row>
    <row r="101" spans="1:1">
      <c r="A101" s="9">
        <f>IF(B101&lt;&gt;"",ROW()-2,"")</f>
        <v>0</v>
      </c>
    </row>
    <row r="102" spans="1:1">
      <c r="A102" s="9">
        <f>IF(B102&lt;&gt;"",ROW()-2,"")</f>
        <v>0</v>
      </c>
    </row>
    <row r="103" spans="1:1">
      <c r="A103" s="9">
        <f>IF(B103&lt;&gt;"",ROW()-2,"")</f>
        <v>0</v>
      </c>
    </row>
    <row r="104" spans="1:1">
      <c r="A104" s="9">
        <f>IF(B104&lt;&gt;"",ROW()-2,"")</f>
        <v>0</v>
      </c>
    </row>
    <row r="105" spans="1:1">
      <c r="A105" s="9">
        <f>IF(B105&lt;&gt;"",ROW()-2,"")</f>
        <v>0</v>
      </c>
    </row>
    <row r="106" spans="1:1">
      <c r="A106" s="9">
        <f>IF(B106&lt;&gt;"",ROW()-2,"")</f>
        <v>0</v>
      </c>
    </row>
    <row r="107" spans="1:1">
      <c r="A107" s="9">
        <f>IF(B107&lt;&gt;"",ROW()-2,"")</f>
        <v>0</v>
      </c>
    </row>
    <row r="108" spans="1:1">
      <c r="A108" s="9">
        <f>IF(B108&lt;&gt;"",ROW()-2,"")</f>
        <v>0</v>
      </c>
    </row>
    <row r="109" spans="1:1">
      <c r="A109" s="9">
        <f>IF(B109&lt;&gt;"",ROW()-2,"")</f>
        <v>0</v>
      </c>
    </row>
    <row r="110" spans="1:1">
      <c r="A110" s="9">
        <f>IF(B110&lt;&gt;"",ROW()-2,"")</f>
        <v>0</v>
      </c>
    </row>
    <row r="111" spans="1:1">
      <c r="A111" s="9">
        <f>IF(B111&lt;&gt;"",ROW()-2,"")</f>
        <v>0</v>
      </c>
    </row>
    <row r="112" spans="1:1">
      <c r="A112" s="9">
        <f>IF(B112&lt;&gt;"",ROW()-2,"")</f>
        <v>0</v>
      </c>
    </row>
    <row r="113" spans="1:1">
      <c r="A113" s="9">
        <f>IF(B113&lt;&gt;"",ROW()-2,"")</f>
        <v>0</v>
      </c>
    </row>
    <row r="114" spans="1:1">
      <c r="A114" s="9">
        <f>IF(B114&lt;&gt;"",ROW()-2,"")</f>
        <v>0</v>
      </c>
    </row>
    <row r="115" spans="1:1">
      <c r="A115" s="9">
        <f>IF(B115&lt;&gt;"",ROW()-2,"")</f>
        <v>0</v>
      </c>
    </row>
    <row r="116" spans="1:1">
      <c r="A116" s="9">
        <f>IF(B116&lt;&gt;"",ROW()-2,"")</f>
        <v>0</v>
      </c>
    </row>
    <row r="117" spans="1:1">
      <c r="A117" s="9">
        <f>IF(B117&lt;&gt;"",ROW()-2,"")</f>
        <v>0</v>
      </c>
    </row>
    <row r="118" spans="1:1">
      <c r="A118" s="9">
        <f>IF(B118&lt;&gt;"",ROW()-2,"")</f>
        <v>0</v>
      </c>
    </row>
    <row r="119" spans="1:1">
      <c r="A119" s="9">
        <f>IF(B119&lt;&gt;"",ROW()-2,"")</f>
        <v>0</v>
      </c>
    </row>
    <row r="120" spans="1:1">
      <c r="A120" s="9">
        <f>IF(B120&lt;&gt;"",ROW()-2,"")</f>
        <v>0</v>
      </c>
    </row>
    <row r="121" spans="1:1">
      <c r="A121" s="9">
        <f>IF(B121&lt;&gt;"",ROW()-2,"")</f>
        <v>0</v>
      </c>
    </row>
    <row r="122" spans="1:1">
      <c r="A122" s="9">
        <f>IF(B122&lt;&gt;"",ROW()-2,"")</f>
        <v>0</v>
      </c>
    </row>
    <row r="123" spans="1:1">
      <c r="A123" s="9">
        <f>IF(B123&lt;&gt;"",ROW()-2,"")</f>
        <v>0</v>
      </c>
    </row>
    <row r="124" spans="1:1">
      <c r="A124" s="9">
        <f>IF(B124&lt;&gt;"",ROW()-2,"")</f>
        <v>0</v>
      </c>
    </row>
    <row r="125" spans="1:1">
      <c r="A125" s="9">
        <f>IF(B125&lt;&gt;"",ROW()-2,"")</f>
        <v>0</v>
      </c>
    </row>
    <row r="126" spans="1:1">
      <c r="A126" s="9">
        <f>IF(B126&lt;&gt;"",ROW()-2,"")</f>
        <v>0</v>
      </c>
    </row>
    <row r="127" spans="1:1">
      <c r="A127" s="9">
        <f>IF(B127&lt;&gt;"",ROW()-2,"")</f>
        <v>0</v>
      </c>
    </row>
    <row r="128" spans="1:1">
      <c r="A128" s="9">
        <f>IF(B128&lt;&gt;"",ROW()-2,"")</f>
        <v>0</v>
      </c>
    </row>
    <row r="129" spans="1:1">
      <c r="A129" s="9">
        <f>IF(B129&lt;&gt;"",ROW()-2,"")</f>
        <v>0</v>
      </c>
    </row>
    <row r="130" spans="1:1">
      <c r="A130" s="9">
        <f>IF(B130&lt;&gt;"",ROW()-2,"")</f>
        <v>0</v>
      </c>
    </row>
    <row r="131" spans="1:1">
      <c r="A131" s="9">
        <f>IF(B131&lt;&gt;"",ROW()-2,"")</f>
        <v>0</v>
      </c>
    </row>
    <row r="132" spans="1:1">
      <c r="A132" s="9">
        <f>IF(B132&lt;&gt;"",ROW()-2,"")</f>
        <v>0</v>
      </c>
    </row>
    <row r="133" spans="1:1">
      <c r="A133" s="9">
        <f>IF(B133&lt;&gt;"",ROW()-2,"")</f>
        <v>0</v>
      </c>
    </row>
    <row r="134" spans="1:1">
      <c r="A134" s="9">
        <f>IF(B134&lt;&gt;"",ROW()-2,"")</f>
        <v>0</v>
      </c>
    </row>
    <row r="135" spans="1:1">
      <c r="A135" s="9">
        <f>IF(B135&lt;&gt;"",ROW()-2,"")</f>
        <v>0</v>
      </c>
    </row>
    <row r="136" spans="1:1">
      <c r="A136" s="9">
        <f>IF(B136&lt;&gt;"",ROW()-2,"")</f>
        <v>0</v>
      </c>
    </row>
    <row r="137" spans="1:1">
      <c r="A137" s="9">
        <f>IF(B137&lt;&gt;"",ROW()-2,"")</f>
        <v>0</v>
      </c>
    </row>
    <row r="138" spans="1:1">
      <c r="A138" s="9">
        <f>IF(B138&lt;&gt;"",ROW()-2,"")</f>
        <v>0</v>
      </c>
    </row>
    <row r="139" spans="1:1">
      <c r="A139" s="9">
        <f>IF(B139&lt;&gt;"",ROW()-2,"")</f>
        <v>0</v>
      </c>
    </row>
    <row r="140" spans="1:1">
      <c r="A140" s="9">
        <f>IF(B140&lt;&gt;"",ROW()-2,"")</f>
        <v>0</v>
      </c>
    </row>
    <row r="141" spans="1:1">
      <c r="A141" s="9">
        <f>IF(B141&lt;&gt;"",ROW()-2,"")</f>
        <v>0</v>
      </c>
    </row>
    <row r="142" spans="1:1">
      <c r="A142" s="9">
        <f>IF(B142&lt;&gt;"",ROW()-2,"")</f>
        <v>0</v>
      </c>
    </row>
    <row r="143" spans="1:1">
      <c r="A143" s="9">
        <f>IF(B143&lt;&gt;"",ROW()-2,"")</f>
        <v>0</v>
      </c>
    </row>
    <row r="144" spans="1:1">
      <c r="A144" s="9">
        <f>IF(B144&lt;&gt;"",ROW()-2,"")</f>
        <v>0</v>
      </c>
    </row>
    <row r="145" spans="1:1">
      <c r="A145" s="9">
        <f>IF(B145&lt;&gt;"",ROW()-2,"")</f>
        <v>0</v>
      </c>
    </row>
    <row r="146" spans="1:1">
      <c r="A146" s="9">
        <f>IF(B146&lt;&gt;"",ROW()-2,"")</f>
        <v>0</v>
      </c>
    </row>
    <row r="147" spans="1:1">
      <c r="A147" s="9">
        <f>IF(B147&lt;&gt;"",ROW()-2,"")</f>
        <v>0</v>
      </c>
    </row>
    <row r="148" spans="1:1">
      <c r="A148" s="9">
        <f>IF(B148&lt;&gt;"",ROW()-2,"")</f>
        <v>0</v>
      </c>
    </row>
    <row r="149" spans="1:1">
      <c r="A149" s="9">
        <f>IF(B149&lt;&gt;"",ROW()-2,"")</f>
        <v>0</v>
      </c>
    </row>
    <row r="150" spans="1:1">
      <c r="A150" s="9">
        <f>IF(B150&lt;&gt;"",ROW()-2,"")</f>
        <v>0</v>
      </c>
    </row>
    <row r="151" spans="1:1">
      <c r="A151" s="9">
        <f>IF(B151&lt;&gt;"",ROW()-2,"")</f>
        <v>0</v>
      </c>
    </row>
    <row r="152" spans="1:1">
      <c r="A152" s="9">
        <f>IF(B152&lt;&gt;"",ROW()-2,"")</f>
        <v>0</v>
      </c>
    </row>
    <row r="153" spans="1:1">
      <c r="A153" s="9">
        <f>IF(B153&lt;&gt;"",ROW()-2,"")</f>
        <v>0</v>
      </c>
    </row>
    <row r="154" spans="1:1">
      <c r="A154" s="9">
        <f>IF(B154&lt;&gt;"",ROW()-2,"")</f>
        <v>0</v>
      </c>
    </row>
    <row r="155" spans="1:1">
      <c r="A155" s="9">
        <f>IF(B155&lt;&gt;"",ROW()-2,"")</f>
        <v>0</v>
      </c>
    </row>
    <row r="156" spans="1:1">
      <c r="A156" s="9">
        <f>IF(B156&lt;&gt;"",ROW()-2,"")</f>
        <v>0</v>
      </c>
    </row>
    <row r="157" spans="1:1">
      <c r="A157" s="9">
        <f>IF(B157&lt;&gt;"",ROW()-2,"")</f>
        <v>0</v>
      </c>
    </row>
    <row r="158" spans="1:1">
      <c r="A158" s="9">
        <f>IF(B158&lt;&gt;"",ROW()-2,"")</f>
        <v>0</v>
      </c>
    </row>
    <row r="159" spans="1:1">
      <c r="A159" s="9">
        <f>IF(B159&lt;&gt;"",ROW()-2,"")</f>
        <v>0</v>
      </c>
    </row>
    <row r="160" spans="1:1">
      <c r="A160" s="9">
        <f>IF(B160&lt;&gt;"",ROW()-2,"")</f>
        <v>0</v>
      </c>
    </row>
    <row r="161" spans="1:1">
      <c r="A161" s="9">
        <f>IF(B161&lt;&gt;"",ROW()-2,"")</f>
        <v>0</v>
      </c>
    </row>
    <row r="162" spans="1:1">
      <c r="A162" s="9">
        <f>IF(B162&lt;&gt;"",ROW()-2,"")</f>
        <v>0</v>
      </c>
    </row>
    <row r="163" spans="1:1">
      <c r="A163" s="9">
        <f>IF(B163&lt;&gt;"",ROW()-2,"")</f>
        <v>0</v>
      </c>
    </row>
    <row r="164" spans="1:1">
      <c r="A164" s="9">
        <f>IF(B164&lt;&gt;"",ROW()-2,"")</f>
        <v>0</v>
      </c>
    </row>
    <row r="165" spans="1:1">
      <c r="A165" s="9">
        <f>IF(B165&lt;&gt;"",ROW()-2,"")</f>
        <v>0</v>
      </c>
    </row>
    <row r="166" spans="1:1">
      <c r="A166" s="9">
        <f>IF(B166&lt;&gt;"",ROW()-2,"")</f>
        <v>0</v>
      </c>
    </row>
    <row r="167" spans="1:1">
      <c r="A167" s="9">
        <f>IF(B167&lt;&gt;"",ROW()-2,"")</f>
        <v>0</v>
      </c>
    </row>
    <row r="168" spans="1:1">
      <c r="A168" s="9">
        <f>IF(B168&lt;&gt;"",ROW()-2,"")</f>
        <v>0</v>
      </c>
    </row>
    <row r="169" spans="1:1">
      <c r="A169" s="9">
        <f>IF(B169&lt;&gt;"",ROW()-2,"")</f>
        <v>0</v>
      </c>
    </row>
    <row r="170" spans="1:1">
      <c r="A170" s="9">
        <f>IF(B170&lt;&gt;"",ROW()-2,"")</f>
        <v>0</v>
      </c>
    </row>
    <row r="171" spans="1:1">
      <c r="A171" s="9">
        <f>IF(B171&lt;&gt;"",ROW()-2,"")</f>
        <v>0</v>
      </c>
    </row>
    <row r="172" spans="1:1">
      <c r="A172" s="9">
        <f>IF(B172&lt;&gt;"",ROW()-2,"")</f>
        <v>0</v>
      </c>
    </row>
    <row r="173" spans="1:1">
      <c r="A173" s="9">
        <f>IF(B173&lt;&gt;"",ROW()-2,"")</f>
        <v>0</v>
      </c>
    </row>
    <row r="174" spans="1:1">
      <c r="A174" s="9">
        <f>IF(B174&lt;&gt;"",ROW()-2,"")</f>
        <v>0</v>
      </c>
    </row>
    <row r="175" spans="1:1">
      <c r="A175" s="9">
        <f>IF(B175&lt;&gt;"",ROW()-2,"")</f>
        <v>0</v>
      </c>
    </row>
    <row r="176" spans="1:1">
      <c r="A176" s="9">
        <f>IF(B176&lt;&gt;"",ROW()-2,"")</f>
        <v>0</v>
      </c>
    </row>
    <row r="177" spans="1:1">
      <c r="A177" s="9">
        <f>IF(B177&lt;&gt;"",ROW()-2,"")</f>
        <v>0</v>
      </c>
    </row>
    <row r="178" spans="1:1">
      <c r="A178" s="9">
        <f>IF(B178&lt;&gt;"",ROW()-2,"")</f>
        <v>0</v>
      </c>
    </row>
    <row r="179" spans="1:1">
      <c r="A179" s="9">
        <f>IF(B179&lt;&gt;"",ROW()-2,"")</f>
        <v>0</v>
      </c>
    </row>
    <row r="180" spans="1:1">
      <c r="A180" s="9">
        <f>IF(B180&lt;&gt;"",ROW()-2,"")</f>
        <v>0</v>
      </c>
    </row>
    <row r="181" spans="1:1">
      <c r="A181" s="9">
        <f>IF(B181&lt;&gt;"",ROW()-2,"")</f>
        <v>0</v>
      </c>
    </row>
    <row r="182" spans="1:1">
      <c r="A182" s="9">
        <f>IF(B182&lt;&gt;"",ROW()-2,"")</f>
        <v>0</v>
      </c>
    </row>
    <row r="183" spans="1:1">
      <c r="A183" s="9">
        <f>IF(B183&lt;&gt;"",ROW()-2,"")</f>
        <v>0</v>
      </c>
    </row>
    <row r="184" spans="1:1">
      <c r="A184" s="9">
        <f>IF(B184&lt;&gt;"",ROW()-2,"")</f>
        <v>0</v>
      </c>
    </row>
    <row r="185" spans="1:1">
      <c r="A185" s="9">
        <f>IF(B185&lt;&gt;"",ROW()-2,"")</f>
        <v>0</v>
      </c>
    </row>
    <row r="186" spans="1:1">
      <c r="A186" s="9">
        <f>IF(B186&lt;&gt;"",ROW()-2,"")</f>
        <v>0</v>
      </c>
    </row>
    <row r="187" spans="1:1">
      <c r="A187" s="9">
        <f>IF(B187&lt;&gt;"",ROW()-2,"")</f>
        <v>0</v>
      </c>
    </row>
    <row r="188" spans="1:1">
      <c r="A188" s="9">
        <f>IF(B188&lt;&gt;"",ROW()-2,"")</f>
        <v>0</v>
      </c>
    </row>
    <row r="189" spans="1:1">
      <c r="A189" s="9">
        <f>IF(B189&lt;&gt;"",ROW()-2,"")</f>
        <v>0</v>
      </c>
    </row>
    <row r="190" spans="1:1">
      <c r="A190" s="9">
        <f>IF(B190&lt;&gt;"",ROW()-2,"")</f>
        <v>0</v>
      </c>
    </row>
    <row r="191" spans="1:1">
      <c r="A191" s="9">
        <f>IF(B191&lt;&gt;"",ROW()-2,"")</f>
        <v>0</v>
      </c>
    </row>
    <row r="192" spans="1:1">
      <c r="A192" s="9">
        <f>IF(B192&lt;&gt;"",ROW()-2,"")</f>
        <v>0</v>
      </c>
    </row>
    <row r="193" spans="1:1">
      <c r="A193" s="9">
        <f>IF(B193&lt;&gt;"",ROW()-2,"")</f>
        <v>0</v>
      </c>
    </row>
    <row r="194" spans="1:1">
      <c r="A194" s="9">
        <f>IF(B194&lt;&gt;"",ROW()-2,"")</f>
        <v>0</v>
      </c>
    </row>
    <row r="195" spans="1:1">
      <c r="A195" s="9">
        <f>IF(B195&lt;&gt;"",ROW()-2,"")</f>
        <v>0</v>
      </c>
    </row>
    <row r="196" spans="1:1">
      <c r="A196" s="9">
        <f>IF(B196&lt;&gt;"",ROW()-2,"")</f>
        <v>0</v>
      </c>
    </row>
    <row r="197" spans="1:1">
      <c r="A197" s="9">
        <f>IF(B197&lt;&gt;"",ROW()-2,"")</f>
        <v>0</v>
      </c>
    </row>
    <row r="198" spans="1:1">
      <c r="A198" s="9">
        <f>IF(B198&lt;&gt;"",ROW()-2,"")</f>
        <v>0</v>
      </c>
    </row>
    <row r="199" spans="1:1">
      <c r="A199" s="9">
        <f>IF(B199&lt;&gt;"",ROW()-2,"")</f>
        <v>0</v>
      </c>
    </row>
    <row r="200" spans="1:1">
      <c r="A200" s="9">
        <f>IF(B200&lt;&gt;"",ROW()-2,"")</f>
        <v>0</v>
      </c>
    </row>
    <row r="201" spans="1:1">
      <c r="A201" s="9">
        <f>IF(B201&lt;&gt;"",ROW()-2,"")</f>
        <v>0</v>
      </c>
    </row>
    <row r="202" spans="1:1">
      <c r="A202" s="9">
        <f>IF(B202&lt;&gt;"",ROW()-2,"")</f>
        <v>0</v>
      </c>
    </row>
    <row r="203" spans="1:1">
      <c r="A203" s="9">
        <f>IF(B203&lt;&gt;"",ROW()-2,"")</f>
        <v>0</v>
      </c>
    </row>
    <row r="204" spans="1:1">
      <c r="A204" s="9">
        <f>IF(B204&lt;&gt;"",ROW()-2,"")</f>
        <v>0</v>
      </c>
    </row>
    <row r="205" spans="1:1">
      <c r="A205" s="9">
        <f>IF(B205&lt;&gt;"",ROW()-2,"")</f>
        <v>0</v>
      </c>
    </row>
    <row r="206" spans="1:1">
      <c r="A206" s="9">
        <f>IF(B206&lt;&gt;"",ROW()-2,"")</f>
        <v>0</v>
      </c>
    </row>
    <row r="207" spans="1:1">
      <c r="A207" s="9">
        <f>IF(B207&lt;&gt;"",ROW()-2,"")</f>
        <v>0</v>
      </c>
    </row>
    <row r="208" spans="1:1">
      <c r="A208" s="9">
        <f>IF(B208&lt;&gt;"",ROW()-2,"")</f>
        <v>0</v>
      </c>
    </row>
    <row r="209" spans="1:1">
      <c r="A209" s="9">
        <f>IF(B209&lt;&gt;"",ROW()-2,"")</f>
        <v>0</v>
      </c>
    </row>
    <row r="210" spans="1:1">
      <c r="A210" s="9">
        <f>IF(B210&lt;&gt;"",ROW()-2,"")</f>
        <v>0</v>
      </c>
    </row>
    <row r="211" spans="1:1">
      <c r="A211" s="9">
        <f>IF(B211&lt;&gt;"",ROW()-2,"")</f>
        <v>0</v>
      </c>
    </row>
    <row r="212" spans="1:1">
      <c r="A212" s="9">
        <f>IF(B212&lt;&gt;"",ROW()-2,"")</f>
        <v>0</v>
      </c>
    </row>
    <row r="213" spans="1:1">
      <c r="A213" s="9">
        <f>IF(B213&lt;&gt;"",ROW()-2,"")</f>
        <v>0</v>
      </c>
    </row>
    <row r="214" spans="1:1">
      <c r="A214" s="9">
        <f>IF(B214&lt;&gt;"",ROW()-2,"")</f>
        <v>0</v>
      </c>
    </row>
    <row r="215" spans="1:1">
      <c r="A215" s="9">
        <f>IF(B215&lt;&gt;"",ROW()-2,"")</f>
        <v>0</v>
      </c>
    </row>
    <row r="216" spans="1:1">
      <c r="A216" s="9">
        <f>IF(B216&lt;&gt;"",ROW()-2,"")</f>
        <v>0</v>
      </c>
    </row>
    <row r="217" spans="1:1">
      <c r="A217" s="9">
        <f>IF(B217&lt;&gt;"",ROW()-2,"")</f>
        <v>0</v>
      </c>
    </row>
    <row r="218" spans="1:1">
      <c r="A218" s="9">
        <f>IF(B218&lt;&gt;"",ROW()-2,"")</f>
        <v>0</v>
      </c>
    </row>
    <row r="219" spans="1:1">
      <c r="A219" s="9">
        <f>IF(B219&lt;&gt;"",ROW()-2,"")</f>
        <v>0</v>
      </c>
    </row>
    <row r="220" spans="1:1">
      <c r="A220" s="9">
        <f>IF(B220&lt;&gt;"",ROW()-2,"")</f>
        <v>0</v>
      </c>
    </row>
    <row r="221" spans="1:1">
      <c r="A221" s="9">
        <f>IF(B221&lt;&gt;"",ROW()-2,"")</f>
        <v>0</v>
      </c>
    </row>
    <row r="222" spans="1:1">
      <c r="A222" s="9">
        <f>IF(B222&lt;&gt;"",ROW()-2,"")</f>
        <v>0</v>
      </c>
    </row>
    <row r="223" spans="1:1">
      <c r="A223" s="9">
        <f>IF(B223&lt;&gt;"",ROW()-2,"")</f>
        <v>0</v>
      </c>
    </row>
    <row r="224" spans="1:1">
      <c r="A224" s="9">
        <f>IF(B224&lt;&gt;"",ROW()-2,"")</f>
        <v>0</v>
      </c>
    </row>
    <row r="225" spans="1:1">
      <c r="A225" s="9">
        <f>IF(B225&lt;&gt;"",ROW()-2,"")</f>
        <v>0</v>
      </c>
    </row>
    <row r="226" spans="1:1">
      <c r="A226" s="9">
        <f>IF(B226&lt;&gt;"",ROW()-2,"")</f>
        <v>0</v>
      </c>
    </row>
    <row r="227" spans="1:1">
      <c r="A227" s="9">
        <f>IF(B227&lt;&gt;"",ROW()-2,"")</f>
        <v>0</v>
      </c>
    </row>
    <row r="228" spans="1:1">
      <c r="A228" s="9">
        <f>IF(B228&lt;&gt;"",ROW()-2,"")</f>
        <v>0</v>
      </c>
    </row>
    <row r="229" spans="1:1">
      <c r="A229" s="9">
        <f>IF(B229&lt;&gt;"",ROW()-2,"")</f>
        <v>0</v>
      </c>
    </row>
    <row r="230" spans="1:1">
      <c r="A230" s="9">
        <f>IF(B230&lt;&gt;"",ROW()-2,"")</f>
        <v>0</v>
      </c>
    </row>
    <row r="231" spans="1:1">
      <c r="A231" s="9">
        <f>IF(B231&lt;&gt;"",ROW()-2,"")</f>
        <v>0</v>
      </c>
    </row>
    <row r="232" spans="1:1">
      <c r="A232" s="9">
        <f>IF(B232&lt;&gt;"",ROW()-2,"")</f>
        <v>0</v>
      </c>
    </row>
    <row r="233" spans="1:1">
      <c r="A233" s="9">
        <f>IF(B233&lt;&gt;"",ROW()-2,"")</f>
        <v>0</v>
      </c>
    </row>
    <row r="234" spans="1:1">
      <c r="A234" s="9">
        <f>IF(B234&lt;&gt;"",ROW()-2,"")</f>
        <v>0</v>
      </c>
    </row>
    <row r="235" spans="1:1">
      <c r="A235" s="9">
        <f>IF(B235&lt;&gt;"",ROW()-2,"")</f>
        <v>0</v>
      </c>
    </row>
    <row r="236" spans="1:1">
      <c r="A236" s="9">
        <f>IF(B236&lt;&gt;"",ROW()-2,"")</f>
        <v>0</v>
      </c>
    </row>
    <row r="237" spans="1:1">
      <c r="A237" s="9">
        <f>IF(B237&lt;&gt;"",ROW()-2,"")</f>
        <v>0</v>
      </c>
    </row>
    <row r="238" spans="1:1">
      <c r="A238" s="9">
        <f>IF(B238&lt;&gt;"",ROW()-2,"")</f>
        <v>0</v>
      </c>
    </row>
    <row r="239" spans="1:1">
      <c r="A239" s="9">
        <f>IF(B239&lt;&gt;"",ROW()-2,"")</f>
        <v>0</v>
      </c>
    </row>
    <row r="240" spans="1:1">
      <c r="A240" s="9">
        <f>IF(B240&lt;&gt;"",ROW()-2,"")</f>
        <v>0</v>
      </c>
    </row>
    <row r="241" spans="1:1">
      <c r="A241" s="9">
        <f>IF(B241&lt;&gt;"",ROW()-2,"")</f>
        <v>0</v>
      </c>
    </row>
    <row r="242" spans="1:1">
      <c r="A242" s="9">
        <f>IF(B242&lt;&gt;"",ROW()-2,"")</f>
        <v>0</v>
      </c>
    </row>
    <row r="243" spans="1:1">
      <c r="A243" s="9">
        <f>IF(B243&lt;&gt;"",ROW()-2,"")</f>
        <v>0</v>
      </c>
    </row>
    <row r="244" spans="1:1">
      <c r="A244" s="9">
        <f>IF(B244&lt;&gt;"",ROW()-2,"")</f>
        <v>0</v>
      </c>
    </row>
    <row r="245" spans="1:1">
      <c r="A245" s="9">
        <f>IF(B245&lt;&gt;"",ROW()-2,"")</f>
        <v>0</v>
      </c>
    </row>
    <row r="246" spans="1:1">
      <c r="A246" s="9">
        <f>IF(B246&lt;&gt;"",ROW()-2,"")</f>
        <v>0</v>
      </c>
    </row>
    <row r="247" spans="1:1">
      <c r="A247" s="9">
        <f>IF(B247&lt;&gt;"",ROW()-2,"")</f>
        <v>0</v>
      </c>
    </row>
    <row r="248" spans="1:1">
      <c r="A248" s="9">
        <f>IF(B248&lt;&gt;"",ROW()-2,"")</f>
        <v>0</v>
      </c>
    </row>
    <row r="249" spans="1:1">
      <c r="A249" s="9">
        <f>IF(B249&lt;&gt;"",ROW()-2,"")</f>
        <v>0</v>
      </c>
    </row>
    <row r="250" spans="1:1">
      <c r="A250" s="9">
        <f>IF(B250&lt;&gt;"",ROW()-2,"")</f>
        <v>0</v>
      </c>
    </row>
    <row r="251" spans="1:1">
      <c r="A251" s="9">
        <f>IF(B251&lt;&gt;"",ROW()-2,"")</f>
        <v>0</v>
      </c>
    </row>
    <row r="252" spans="1:1">
      <c r="A252" s="9">
        <f>IF(B252&lt;&gt;"",ROW()-2,"")</f>
        <v>0</v>
      </c>
    </row>
    <row r="253" spans="1:1">
      <c r="A253" s="9">
        <f>IF(B253&lt;&gt;"",ROW()-2,"")</f>
        <v>0</v>
      </c>
    </row>
    <row r="254" spans="1:1">
      <c r="A254" s="9">
        <f>IF(B254&lt;&gt;"",ROW()-2,"")</f>
        <v>0</v>
      </c>
    </row>
    <row r="255" spans="1:1">
      <c r="A255" s="9">
        <f>IF(B255&lt;&gt;"",ROW()-2,"")</f>
        <v>0</v>
      </c>
    </row>
    <row r="256" spans="1:1">
      <c r="A256" s="9">
        <f>IF(B256&lt;&gt;"",ROW()-2,"")</f>
        <v>0</v>
      </c>
    </row>
    <row r="257" spans="1:1">
      <c r="A257" s="9">
        <f>IF(B257&lt;&gt;"",ROW()-2,"")</f>
        <v>0</v>
      </c>
    </row>
    <row r="258" spans="1:1">
      <c r="A258" s="9">
        <f>IF(B258&lt;&gt;"",ROW()-2,"")</f>
        <v>0</v>
      </c>
    </row>
    <row r="259" spans="1:1">
      <c r="A259" s="9">
        <f>IF(B259&lt;&gt;"",ROW()-2,"")</f>
        <v>0</v>
      </c>
    </row>
    <row r="260" spans="1:1">
      <c r="A260" s="9">
        <f>IF(B260&lt;&gt;"",ROW()-2,"")</f>
        <v>0</v>
      </c>
    </row>
    <row r="261" spans="1:1">
      <c r="A261" s="9">
        <f>IF(B261&lt;&gt;"",ROW()-2,"")</f>
        <v>0</v>
      </c>
    </row>
    <row r="262" spans="1:1">
      <c r="A262" s="9">
        <f>IF(B262&lt;&gt;"",ROW()-2,"")</f>
        <v>0</v>
      </c>
    </row>
    <row r="263" spans="1:1">
      <c r="A263" s="9">
        <f>IF(B263&lt;&gt;"",ROW()-2,"")</f>
        <v>0</v>
      </c>
    </row>
    <row r="264" spans="1:1">
      <c r="A264" s="9">
        <f>IF(B264&lt;&gt;"",ROW()-2,"")</f>
        <v>0</v>
      </c>
    </row>
    <row r="265" spans="1:1">
      <c r="A265" s="9">
        <f>IF(B265&lt;&gt;"",ROW()-2,"")</f>
        <v>0</v>
      </c>
    </row>
    <row r="266" spans="1:1">
      <c r="A266" s="9">
        <f>IF(B266&lt;&gt;"",ROW()-2,"")</f>
        <v>0</v>
      </c>
    </row>
    <row r="267" spans="1:1">
      <c r="A267" s="9">
        <f>IF(B267&lt;&gt;"",ROW()-2,"")</f>
        <v>0</v>
      </c>
    </row>
    <row r="268" spans="1:1">
      <c r="A268" s="9">
        <f>IF(B268&lt;&gt;"",ROW()-2,"")</f>
        <v>0</v>
      </c>
    </row>
    <row r="269" spans="1:1">
      <c r="A269" s="9">
        <f>IF(B269&lt;&gt;"",ROW()-2,"")</f>
        <v>0</v>
      </c>
    </row>
    <row r="270" spans="1:1">
      <c r="A270" s="9">
        <f>IF(B270&lt;&gt;"",ROW()-2,"")</f>
        <v>0</v>
      </c>
    </row>
    <row r="271" spans="1:1">
      <c r="A271" s="9">
        <f>IF(B271&lt;&gt;"",ROW()-2,"")</f>
        <v>0</v>
      </c>
    </row>
    <row r="272" spans="1:1">
      <c r="A272" s="9">
        <f>IF(B272&lt;&gt;"",ROW()-2,"")</f>
        <v>0</v>
      </c>
    </row>
    <row r="273" spans="1:1">
      <c r="A273" s="9">
        <f>IF(B273&lt;&gt;"",ROW()-2,"")</f>
        <v>0</v>
      </c>
    </row>
    <row r="274" spans="1:1">
      <c r="A274" s="9">
        <f>IF(B274&lt;&gt;"",ROW()-2,"")</f>
        <v>0</v>
      </c>
    </row>
    <row r="275" spans="1:1">
      <c r="A275" s="9">
        <f>IF(B275&lt;&gt;"",ROW()-2,"")</f>
        <v>0</v>
      </c>
    </row>
    <row r="276" spans="1:1">
      <c r="A276" s="9">
        <f>IF(B276&lt;&gt;"",ROW()-2,"")</f>
        <v>0</v>
      </c>
    </row>
    <row r="277" spans="1:1">
      <c r="A277" s="9">
        <f>IF(B277&lt;&gt;"",ROW()-2,"")</f>
        <v>0</v>
      </c>
    </row>
    <row r="278" spans="1:1">
      <c r="A278" s="9">
        <f>IF(B278&lt;&gt;"",ROW()-2,"")</f>
        <v>0</v>
      </c>
    </row>
    <row r="279" spans="1:1">
      <c r="A279" s="9">
        <f>IF(B279&lt;&gt;"",ROW()-2,"")</f>
        <v>0</v>
      </c>
    </row>
    <row r="280" spans="1:1">
      <c r="A280" s="9">
        <f>IF(B280&lt;&gt;"",ROW()-2,"")</f>
        <v>0</v>
      </c>
    </row>
    <row r="281" spans="1:1">
      <c r="A281" s="9">
        <f>IF(B281&lt;&gt;"",ROW()-2,"")</f>
        <v>0</v>
      </c>
    </row>
    <row r="282" spans="1:1">
      <c r="A282" s="9">
        <f>IF(B282&lt;&gt;"",ROW()-2,"")</f>
        <v>0</v>
      </c>
    </row>
    <row r="283" spans="1:1">
      <c r="A283" s="9">
        <f>IF(B283&lt;&gt;"",ROW()-2,"")</f>
        <v>0</v>
      </c>
    </row>
    <row r="284" spans="1:1">
      <c r="A284" s="9">
        <f>IF(B284&lt;&gt;"",ROW()-2,"")</f>
        <v>0</v>
      </c>
    </row>
    <row r="285" spans="1:1">
      <c r="A285" s="9">
        <f>IF(B285&lt;&gt;"",ROW()-2,"")</f>
        <v>0</v>
      </c>
    </row>
    <row r="286" spans="1:1">
      <c r="A286" s="9">
        <f>IF(B286&lt;&gt;"",ROW()-2,"")</f>
        <v>0</v>
      </c>
    </row>
    <row r="287" spans="1:1">
      <c r="A287" s="9">
        <f>IF(B287&lt;&gt;"",ROW()-2,"")</f>
        <v>0</v>
      </c>
    </row>
    <row r="288" spans="1:1">
      <c r="A288" s="9">
        <f>IF(B288&lt;&gt;"",ROW()-2,"")</f>
        <v>0</v>
      </c>
    </row>
    <row r="289" spans="1:1">
      <c r="A289" s="9">
        <f>IF(B289&lt;&gt;"",ROW()-2,"")</f>
        <v>0</v>
      </c>
    </row>
    <row r="290" spans="1:1">
      <c r="A290" s="9">
        <f>IF(B290&lt;&gt;"",ROW()-2,"")</f>
        <v>0</v>
      </c>
    </row>
    <row r="291" spans="1:1">
      <c r="A291" s="9">
        <f>IF(B291&lt;&gt;"",ROW()-2,"")</f>
        <v>0</v>
      </c>
    </row>
    <row r="292" spans="1:1">
      <c r="A292" s="9">
        <f>IF(B292&lt;&gt;"",ROW()-2,"")</f>
        <v>0</v>
      </c>
    </row>
    <row r="293" spans="1:1">
      <c r="A293" s="9">
        <f>IF(B293&lt;&gt;"",ROW()-2,"")</f>
        <v>0</v>
      </c>
    </row>
    <row r="294" spans="1:1">
      <c r="A294" s="9">
        <f>IF(B294&lt;&gt;"",ROW()-2,"")</f>
        <v>0</v>
      </c>
    </row>
    <row r="295" spans="1:1">
      <c r="A295" s="9">
        <f>IF(B295&lt;&gt;"",ROW()-2,"")</f>
        <v>0</v>
      </c>
    </row>
    <row r="296" spans="1:1">
      <c r="A296" s="9">
        <f>IF(B296&lt;&gt;"",ROW()-2,"")</f>
        <v>0</v>
      </c>
    </row>
    <row r="297" spans="1:1">
      <c r="A297" s="9">
        <f>IF(B297&lt;&gt;"",ROW()-2,"")</f>
        <v>0</v>
      </c>
    </row>
    <row r="298" spans="1:1">
      <c r="A298" s="9">
        <f>IF(B298&lt;&gt;"",ROW()-2,"")</f>
        <v>0</v>
      </c>
    </row>
    <row r="299" spans="1:1">
      <c r="A299" s="9">
        <f>IF(B299&lt;&gt;"",ROW()-2,"")</f>
        <v>0</v>
      </c>
    </row>
    <row r="300" spans="1:1">
      <c r="A300" s="9">
        <f>IF(B300&lt;&gt;"",ROW()-2,"")</f>
        <v>0</v>
      </c>
    </row>
    <row r="301" spans="1:1">
      <c r="A301" s="9">
        <f>IF(B301&lt;&gt;"",ROW()-2,"")</f>
        <v>0</v>
      </c>
    </row>
    <row r="302" spans="1:1">
      <c r="A302" s="9">
        <f>IF(B302&lt;&gt;"",ROW()-2,"")</f>
        <v>0</v>
      </c>
    </row>
    <row r="303" spans="1:1">
      <c r="A303" s="9">
        <f>IF(B303&lt;&gt;"",ROW()-2,"")</f>
        <v>0</v>
      </c>
    </row>
    <row r="304" spans="1:1">
      <c r="A304" s="9">
        <f>IF(B304&lt;&gt;"",ROW()-2,"")</f>
        <v>0</v>
      </c>
    </row>
    <row r="305" spans="1:1">
      <c r="A305" s="9">
        <f>IF(B305&lt;&gt;"",ROW()-2,"")</f>
        <v>0</v>
      </c>
    </row>
    <row r="306" spans="1:1">
      <c r="A306" s="9">
        <f>IF(B306&lt;&gt;"",ROW()-2,"")</f>
        <v>0</v>
      </c>
    </row>
    <row r="307" spans="1:1">
      <c r="A307" s="9">
        <f>IF(B307&lt;&gt;"",ROW()-2,"")</f>
        <v>0</v>
      </c>
    </row>
    <row r="308" spans="1:1">
      <c r="A308" s="9">
        <f>IF(B308&lt;&gt;"",ROW()-2,"")</f>
        <v>0</v>
      </c>
    </row>
    <row r="309" spans="1:1">
      <c r="A309" s="9">
        <f>IF(B309&lt;&gt;"",ROW()-2,"")</f>
        <v>0</v>
      </c>
    </row>
    <row r="310" spans="1:1">
      <c r="A310" s="9">
        <f>IF(B310&lt;&gt;"",ROW()-2,"")</f>
        <v>0</v>
      </c>
    </row>
    <row r="311" spans="1:1">
      <c r="A311" s="9">
        <f>IF(B311&lt;&gt;"",ROW()-2,"")</f>
        <v>0</v>
      </c>
    </row>
    <row r="312" spans="1:1">
      <c r="A312" s="9">
        <f>IF(B312&lt;&gt;"",ROW()-2,"")</f>
        <v>0</v>
      </c>
    </row>
    <row r="313" spans="1:1">
      <c r="A313" s="9">
        <f>IF(B313&lt;&gt;"",ROW()-2,"")</f>
        <v>0</v>
      </c>
    </row>
    <row r="314" spans="1:1">
      <c r="A314" s="9">
        <f>IF(B314&lt;&gt;"",ROW()-2,"")</f>
        <v>0</v>
      </c>
    </row>
    <row r="315" spans="1:1">
      <c r="A315" s="9">
        <f>IF(B315&lt;&gt;"",ROW()-2,"")</f>
        <v>0</v>
      </c>
    </row>
    <row r="316" spans="1:1">
      <c r="A316" s="9">
        <f>IF(B316&lt;&gt;"",ROW()-2,"")</f>
        <v>0</v>
      </c>
    </row>
    <row r="317" spans="1:1">
      <c r="A317" s="9">
        <f>IF(B317&lt;&gt;"",ROW()-2,"")</f>
        <v>0</v>
      </c>
    </row>
    <row r="318" spans="1:1">
      <c r="A318" s="9">
        <f>IF(B318&lt;&gt;"",ROW()-2,"")</f>
        <v>0</v>
      </c>
    </row>
    <row r="319" spans="1:1">
      <c r="A319" s="9">
        <f>IF(B319&lt;&gt;"",ROW()-2,"")</f>
        <v>0</v>
      </c>
    </row>
    <row r="320" spans="1:1">
      <c r="A320" s="9">
        <f>IF(B320&lt;&gt;"",ROW()-2,"")</f>
        <v>0</v>
      </c>
    </row>
    <row r="321" spans="1:1">
      <c r="A321" s="9">
        <f>IF(B321&lt;&gt;"",ROW()-2,"")</f>
        <v>0</v>
      </c>
    </row>
    <row r="322" spans="1:1">
      <c r="A322" s="9">
        <f>IF(B322&lt;&gt;"",ROW()-2,"")</f>
        <v>0</v>
      </c>
    </row>
    <row r="323" spans="1:1">
      <c r="A323" s="9">
        <f>IF(B323&lt;&gt;"",ROW()-2,"")</f>
        <v>0</v>
      </c>
    </row>
    <row r="324" spans="1:1">
      <c r="A324" s="9">
        <f>IF(B324&lt;&gt;"",ROW()-2,"")</f>
        <v>0</v>
      </c>
    </row>
    <row r="325" spans="1:1">
      <c r="A325" s="9">
        <f>IF(B325&lt;&gt;"",ROW()-2,"")</f>
        <v>0</v>
      </c>
    </row>
    <row r="326" spans="1:1">
      <c r="A326" s="9">
        <f>IF(B326&lt;&gt;"",ROW()-2,"")</f>
        <v>0</v>
      </c>
    </row>
    <row r="327" spans="1:1">
      <c r="A327" s="9">
        <f>IF(B327&lt;&gt;"",ROW()-2,"")</f>
        <v>0</v>
      </c>
    </row>
    <row r="328" spans="1:1">
      <c r="A328" s="9">
        <f>IF(B328&lt;&gt;"",ROW()-2,"")</f>
        <v>0</v>
      </c>
    </row>
    <row r="329" spans="1:1">
      <c r="A329" s="9">
        <f>IF(B329&lt;&gt;"",ROW()-2,"")</f>
        <v>0</v>
      </c>
    </row>
    <row r="330" spans="1:1">
      <c r="A330" s="9">
        <f>IF(B330&lt;&gt;"",ROW()-2,"")</f>
        <v>0</v>
      </c>
    </row>
    <row r="331" spans="1:1">
      <c r="A331" s="9">
        <f>IF(B331&lt;&gt;"",ROW()-2,"")</f>
        <v>0</v>
      </c>
    </row>
    <row r="332" spans="1:1">
      <c r="A332" s="9">
        <f>IF(B332&lt;&gt;"",ROW()-2,"")</f>
        <v>0</v>
      </c>
    </row>
    <row r="333" spans="1:1">
      <c r="A333" s="9">
        <f>IF(B333&lt;&gt;"",ROW()-2,"")</f>
        <v>0</v>
      </c>
    </row>
    <row r="334" spans="1:1">
      <c r="A334" s="9">
        <f>IF(B334&lt;&gt;"",ROW()-2,"")</f>
        <v>0</v>
      </c>
    </row>
    <row r="335" spans="1:1">
      <c r="A335" s="9">
        <f>IF(B335&lt;&gt;"",ROW()-2,"")</f>
        <v>0</v>
      </c>
    </row>
    <row r="336" spans="1:1">
      <c r="A336" s="9">
        <f>IF(B336&lt;&gt;"",ROW()-2,"")</f>
        <v>0</v>
      </c>
    </row>
    <row r="337" spans="1:1">
      <c r="A337" s="9">
        <f>IF(B337&lt;&gt;"",ROW()-2,"")</f>
        <v>0</v>
      </c>
    </row>
    <row r="338" spans="1:1">
      <c r="A338" s="9">
        <f>IF(B338&lt;&gt;"",ROW()-2,"")</f>
        <v>0</v>
      </c>
    </row>
    <row r="339" spans="1:1">
      <c r="A339" s="9">
        <f>IF(B339&lt;&gt;"",ROW()-2,"")</f>
        <v>0</v>
      </c>
    </row>
    <row r="340" spans="1:1">
      <c r="A340" s="9">
        <f>IF(B340&lt;&gt;"",ROW()-2,"")</f>
        <v>0</v>
      </c>
    </row>
    <row r="341" spans="1:1">
      <c r="A341" s="9">
        <f>IF(B341&lt;&gt;"",ROW()-2,"")</f>
        <v>0</v>
      </c>
    </row>
    <row r="342" spans="1:1">
      <c r="A342" s="9">
        <f>IF(B342&lt;&gt;"",ROW()-2,"")</f>
        <v>0</v>
      </c>
    </row>
    <row r="343" spans="1:1">
      <c r="A343" s="9">
        <f>IF(B343&lt;&gt;"",ROW()-2,"")</f>
        <v>0</v>
      </c>
    </row>
    <row r="344" spans="1:1">
      <c r="A344" s="9">
        <f>IF(B344&lt;&gt;"",ROW()-2,"")</f>
        <v>0</v>
      </c>
    </row>
    <row r="345" spans="1:1">
      <c r="A345" s="9">
        <f>IF(B345&lt;&gt;"",ROW()-2,"")</f>
        <v>0</v>
      </c>
    </row>
    <row r="346" spans="1:1">
      <c r="A346" s="9">
        <f>IF(B346&lt;&gt;"",ROW()-2,"")</f>
        <v>0</v>
      </c>
    </row>
    <row r="347" spans="1:1">
      <c r="A347" s="9">
        <f>IF(B347&lt;&gt;"",ROW()-2,"")</f>
        <v>0</v>
      </c>
    </row>
    <row r="348" spans="1:1">
      <c r="A348" s="9">
        <f>IF(B348&lt;&gt;"",ROW()-2,"")</f>
        <v>0</v>
      </c>
    </row>
    <row r="349" spans="1:1">
      <c r="A349" s="9">
        <f>IF(B349&lt;&gt;"",ROW()-2,"")</f>
        <v>0</v>
      </c>
    </row>
    <row r="350" spans="1:1">
      <c r="A350" s="9">
        <f>IF(B350&lt;&gt;"",ROW()-2,"")</f>
        <v>0</v>
      </c>
    </row>
    <row r="351" spans="1:1">
      <c r="A351" s="9">
        <f>IF(B351&lt;&gt;"",ROW()-2,"")</f>
        <v>0</v>
      </c>
    </row>
    <row r="352" spans="1:1">
      <c r="A352" s="9">
        <f>IF(B352&lt;&gt;"",ROW()-2,"")</f>
        <v>0</v>
      </c>
    </row>
    <row r="353" spans="1:1">
      <c r="A353" s="9">
        <f>IF(B353&lt;&gt;"",ROW()-2,"")</f>
        <v>0</v>
      </c>
    </row>
    <row r="354" spans="1:1">
      <c r="A354" s="9">
        <f>IF(B354&lt;&gt;"",ROW()-2,"")</f>
        <v>0</v>
      </c>
    </row>
    <row r="355" spans="1:1">
      <c r="A355" s="9">
        <f>IF(B355&lt;&gt;"",ROW()-2,"")</f>
        <v>0</v>
      </c>
    </row>
    <row r="356" spans="1:1">
      <c r="A356" s="9">
        <f>IF(B356&lt;&gt;"",ROW()-2,"")</f>
        <v>0</v>
      </c>
    </row>
    <row r="357" spans="1:1">
      <c r="A357" s="9">
        <f>IF(B357&lt;&gt;"",ROW()-2,"")</f>
        <v>0</v>
      </c>
    </row>
    <row r="358" spans="1:1">
      <c r="A358" s="9">
        <f>IF(B358&lt;&gt;"",ROW()-2,"")</f>
        <v>0</v>
      </c>
    </row>
    <row r="359" spans="1:1">
      <c r="A359" s="9">
        <f>IF(B359&lt;&gt;"",ROW()-2,"")</f>
        <v>0</v>
      </c>
    </row>
    <row r="360" spans="1:1">
      <c r="A360" s="9">
        <f>IF(B360&lt;&gt;"",ROW()-2,"")</f>
        <v>0</v>
      </c>
    </row>
    <row r="361" spans="1:1">
      <c r="A361" s="9">
        <f>IF(B361&lt;&gt;"",ROW()-2,"")</f>
        <v>0</v>
      </c>
    </row>
    <row r="362" spans="1:1">
      <c r="A362" s="9">
        <f>IF(B362&lt;&gt;"",ROW()-2,"")</f>
        <v>0</v>
      </c>
    </row>
    <row r="363" spans="1:1">
      <c r="A363" s="9">
        <f>IF(B363&lt;&gt;"",ROW()-2,"")</f>
        <v>0</v>
      </c>
    </row>
    <row r="364" spans="1:1">
      <c r="A364" s="9">
        <f>IF(B364&lt;&gt;"",ROW()-2,"")</f>
        <v>0</v>
      </c>
    </row>
    <row r="365" spans="1:1">
      <c r="A365" s="9">
        <f>IF(B365&lt;&gt;"",ROW()-2,"")</f>
        <v>0</v>
      </c>
    </row>
    <row r="366" spans="1:1">
      <c r="A366" s="9">
        <f>IF(B366&lt;&gt;"",ROW()-2,"")</f>
        <v>0</v>
      </c>
    </row>
    <row r="367" spans="1:1">
      <c r="A367" s="9">
        <f>IF(B367&lt;&gt;"",ROW()-2,"")</f>
        <v>0</v>
      </c>
    </row>
    <row r="368" spans="1:1">
      <c r="A368" s="9">
        <f>IF(B368&lt;&gt;"",ROW()-2,"")</f>
        <v>0</v>
      </c>
    </row>
    <row r="369" spans="1:1">
      <c r="A369" s="9">
        <f>IF(B369&lt;&gt;"",ROW()-2,"")</f>
        <v>0</v>
      </c>
    </row>
    <row r="370" spans="1:1">
      <c r="A370" s="9">
        <f>IF(B370&lt;&gt;"",ROW()-2,"")</f>
        <v>0</v>
      </c>
    </row>
    <row r="371" spans="1:1">
      <c r="A371" s="9">
        <f>IF(B371&lt;&gt;"",ROW()-2,"")</f>
        <v>0</v>
      </c>
    </row>
    <row r="372" spans="1:1">
      <c r="A372" s="9">
        <f>IF(B372&lt;&gt;"",ROW()-2,"")</f>
        <v>0</v>
      </c>
    </row>
    <row r="373" spans="1:1">
      <c r="A373" s="9">
        <f>IF(B373&lt;&gt;"",ROW()-2,"")</f>
        <v>0</v>
      </c>
    </row>
    <row r="374" spans="1:1">
      <c r="A374" s="9">
        <f>IF(B374&lt;&gt;"",ROW()-2,"")</f>
        <v>0</v>
      </c>
    </row>
    <row r="375" spans="1:1">
      <c r="A375" s="9">
        <f>IF(B375&lt;&gt;"",ROW()-2,"")</f>
        <v>0</v>
      </c>
    </row>
    <row r="376" spans="1:1">
      <c r="A376" s="9">
        <f>IF(B376&lt;&gt;"",ROW()-2,"")</f>
        <v>0</v>
      </c>
    </row>
    <row r="377" spans="1:1">
      <c r="A377" s="9">
        <f>IF(B377&lt;&gt;"",ROW()-2,"")</f>
        <v>0</v>
      </c>
    </row>
    <row r="378" spans="1:1">
      <c r="A378" s="9">
        <f>IF(B378&lt;&gt;"",ROW()-2,"")</f>
        <v>0</v>
      </c>
    </row>
    <row r="379" spans="1:1">
      <c r="A379" s="9">
        <f>IF(B379&lt;&gt;"",ROW()-2,"")</f>
        <v>0</v>
      </c>
    </row>
    <row r="380" spans="1:1">
      <c r="A380" s="9">
        <f>IF(B380&lt;&gt;"",ROW()-2,"")</f>
        <v>0</v>
      </c>
    </row>
    <row r="381" spans="1:1">
      <c r="A381" s="9">
        <f>IF(B381&lt;&gt;"",ROW()-2,"")</f>
        <v>0</v>
      </c>
    </row>
    <row r="382" spans="1:1">
      <c r="A382" s="9">
        <f>IF(B382&lt;&gt;"",ROW()-2,"")</f>
        <v>0</v>
      </c>
    </row>
    <row r="383" spans="1:1">
      <c r="A383" s="9">
        <f>IF(B383&lt;&gt;"",ROW()-2,"")</f>
        <v>0</v>
      </c>
    </row>
    <row r="384" spans="1:1">
      <c r="A384" s="9">
        <f>IF(B384&lt;&gt;"",ROW()-2,"")</f>
        <v>0</v>
      </c>
    </row>
    <row r="385" spans="1:1">
      <c r="A385" s="9">
        <f>IF(B385&lt;&gt;"",ROW()-2,"")</f>
        <v>0</v>
      </c>
    </row>
    <row r="386" spans="1:1">
      <c r="A386" s="9">
        <f>IF(B386&lt;&gt;"",ROW()-2,"")</f>
        <v>0</v>
      </c>
    </row>
    <row r="387" spans="1:1">
      <c r="A387" s="9">
        <f>IF(B387&lt;&gt;"",ROW()-2,"")</f>
        <v>0</v>
      </c>
    </row>
    <row r="388" spans="1:1">
      <c r="A388" s="9">
        <f>IF(B388&lt;&gt;"",ROW()-2,"")</f>
        <v>0</v>
      </c>
    </row>
    <row r="389" spans="1:1">
      <c r="A389" s="9">
        <f>IF(B389&lt;&gt;"",ROW()-2,"")</f>
        <v>0</v>
      </c>
    </row>
    <row r="390" spans="1:1">
      <c r="A390" s="9">
        <f>IF(B390&lt;&gt;"",ROW()-2,"")</f>
        <v>0</v>
      </c>
    </row>
    <row r="391" spans="1:1">
      <c r="A391" s="9">
        <f>IF(B391&lt;&gt;"",ROW()-2,"")</f>
        <v>0</v>
      </c>
    </row>
    <row r="392" spans="1:1">
      <c r="A392" s="9">
        <f>IF(B392&lt;&gt;"",ROW()-2,"")</f>
        <v>0</v>
      </c>
    </row>
    <row r="393" spans="1:1">
      <c r="A393" s="9">
        <f>IF(B393&lt;&gt;"",ROW()-2,"")</f>
        <v>0</v>
      </c>
    </row>
    <row r="394" spans="1:1">
      <c r="A394" s="9">
        <f>IF(B394&lt;&gt;"",ROW()-2,"")</f>
        <v>0</v>
      </c>
    </row>
    <row r="395" spans="1:1">
      <c r="A395" s="9">
        <f>IF(B395&lt;&gt;"",ROW()-2,"")</f>
        <v>0</v>
      </c>
    </row>
    <row r="396" spans="1:1">
      <c r="A396" s="9">
        <f>IF(B396&lt;&gt;"",ROW()-2,"")</f>
        <v>0</v>
      </c>
    </row>
    <row r="397" spans="1:1">
      <c r="A397" s="9">
        <f>IF(B397&lt;&gt;"",ROW()-2,"")</f>
        <v>0</v>
      </c>
    </row>
    <row r="398" spans="1:1">
      <c r="A398" s="9">
        <f>IF(B398&lt;&gt;"",ROW()-2,"")</f>
        <v>0</v>
      </c>
    </row>
    <row r="399" spans="1:1">
      <c r="A399" s="9">
        <f>IF(B399&lt;&gt;"",ROW()-2,"")</f>
        <v>0</v>
      </c>
    </row>
    <row r="400" spans="1:1">
      <c r="A400" s="9">
        <f>IF(B400&lt;&gt;"",ROW()-2,"")</f>
        <v>0</v>
      </c>
    </row>
    <row r="401" spans="1:1">
      <c r="A401" s="9">
        <f>IF(B401&lt;&gt;"",ROW()-2,"")</f>
        <v>0</v>
      </c>
    </row>
    <row r="402" spans="1:1">
      <c r="A402" s="9">
        <f>IF(B402&lt;&gt;"",ROW()-2,"")</f>
        <v>0</v>
      </c>
    </row>
    <row r="403" spans="1:1">
      <c r="A403" s="9">
        <f>IF(B403&lt;&gt;"",ROW()-2,"")</f>
        <v>0</v>
      </c>
    </row>
    <row r="404" spans="1:1">
      <c r="A404" s="9">
        <f>IF(B404&lt;&gt;"",ROW()-2,"")</f>
        <v>0</v>
      </c>
    </row>
    <row r="405" spans="1:1">
      <c r="A405" s="9">
        <f>IF(B405&lt;&gt;"",ROW()-2,"")</f>
        <v>0</v>
      </c>
    </row>
    <row r="406" spans="1:1">
      <c r="A406" s="9">
        <f>IF(B406&lt;&gt;"",ROW()-2,"")</f>
        <v>0</v>
      </c>
    </row>
    <row r="407" spans="1:1">
      <c r="A407" s="9">
        <f>IF(B407&lt;&gt;"",ROW()-2,"")</f>
        <v>0</v>
      </c>
    </row>
    <row r="408" spans="1:1">
      <c r="A408" s="9">
        <f>IF(B408&lt;&gt;"",ROW()-2,"")</f>
        <v>0</v>
      </c>
    </row>
    <row r="409" spans="1:1">
      <c r="A409" s="9">
        <f>IF(B409&lt;&gt;"",ROW()-2,"")</f>
        <v>0</v>
      </c>
    </row>
    <row r="410" spans="1:1">
      <c r="A410" s="9">
        <f>IF(B410&lt;&gt;"",ROW()-2,"")</f>
        <v>0</v>
      </c>
    </row>
    <row r="411" spans="1:1">
      <c r="A411" s="9">
        <f>IF(B411&lt;&gt;"",ROW()-2,"")</f>
        <v>0</v>
      </c>
    </row>
    <row r="412" spans="1:1">
      <c r="A412" s="9">
        <f>IF(B412&lt;&gt;"",ROW()-2,"")</f>
        <v>0</v>
      </c>
    </row>
    <row r="413" spans="1:1">
      <c r="A413" s="9">
        <f>IF(B413&lt;&gt;"",ROW()-2,"")</f>
        <v>0</v>
      </c>
    </row>
    <row r="414" spans="1:1">
      <c r="A414" s="9">
        <f>IF(B414&lt;&gt;"",ROW()-2,"")</f>
        <v>0</v>
      </c>
    </row>
    <row r="415" spans="1:1">
      <c r="A415" s="9">
        <f>IF(B415&lt;&gt;"",ROW()-2,"")</f>
        <v>0</v>
      </c>
    </row>
    <row r="416" spans="1:1">
      <c r="A416" s="9">
        <f>IF(B416&lt;&gt;"",ROW()-2,"")</f>
        <v>0</v>
      </c>
    </row>
    <row r="417" spans="1:1">
      <c r="A417" s="9">
        <f>IF(B417&lt;&gt;"",ROW()-2,"")</f>
        <v>0</v>
      </c>
    </row>
    <row r="418" spans="1:1">
      <c r="A418" s="9">
        <f>IF(B418&lt;&gt;"",ROW()-2,"")</f>
        <v>0</v>
      </c>
    </row>
    <row r="419" spans="1:1">
      <c r="A419" s="9">
        <f>IF(B419&lt;&gt;"",ROW()-2,"")</f>
        <v>0</v>
      </c>
    </row>
    <row r="420" spans="1:1">
      <c r="A420" s="9">
        <f>IF(B420&lt;&gt;"",ROW()-2,"")</f>
        <v>0</v>
      </c>
    </row>
    <row r="421" spans="1:1">
      <c r="A421" s="9">
        <f>IF(B421&lt;&gt;"",ROW()-2,"")</f>
        <v>0</v>
      </c>
    </row>
    <row r="422" spans="1:1">
      <c r="A422" s="9">
        <f>IF(B422&lt;&gt;"",ROW()-2,"")</f>
        <v>0</v>
      </c>
    </row>
    <row r="423" spans="1:1">
      <c r="A423" s="9">
        <f>IF(B423&lt;&gt;"",ROW()-2,"")</f>
        <v>0</v>
      </c>
    </row>
    <row r="424" spans="1:1">
      <c r="A424" s="9">
        <f>IF(B424&lt;&gt;"",ROW()-2,"")</f>
        <v>0</v>
      </c>
    </row>
    <row r="425" spans="1:1">
      <c r="A425" s="9">
        <f>IF(B425&lt;&gt;"",ROW()-2,"")</f>
        <v>0</v>
      </c>
    </row>
    <row r="426" spans="1:1">
      <c r="A426" s="9">
        <f>IF(B426&lt;&gt;"",ROW()-2,"")</f>
        <v>0</v>
      </c>
    </row>
    <row r="427" spans="1:1">
      <c r="A427" s="9">
        <f>IF(B427&lt;&gt;"",ROW()-2,"")</f>
        <v>0</v>
      </c>
    </row>
    <row r="428" spans="1:1">
      <c r="A428" s="9">
        <f>IF(B428&lt;&gt;"",ROW()-2,"")</f>
        <v>0</v>
      </c>
    </row>
    <row r="429" spans="1:1">
      <c r="A429" s="9">
        <f>IF(B429&lt;&gt;"",ROW()-2,"")</f>
        <v>0</v>
      </c>
    </row>
    <row r="430" spans="1:1">
      <c r="A430" s="9">
        <f>IF(B430&lt;&gt;"",ROW()-2,"")</f>
        <v>0</v>
      </c>
    </row>
    <row r="431" spans="1:1">
      <c r="A431" s="9">
        <f>IF(B431&lt;&gt;"",ROW()-2,"")</f>
        <v>0</v>
      </c>
    </row>
    <row r="432" spans="1:1">
      <c r="A432" s="9">
        <f>IF(B432&lt;&gt;"",ROW()-2,"")</f>
        <v>0</v>
      </c>
    </row>
    <row r="433" spans="1:1">
      <c r="A433" s="9">
        <f>IF(B433&lt;&gt;"",ROW()-2,"")</f>
        <v>0</v>
      </c>
    </row>
    <row r="434" spans="1:1">
      <c r="A434" s="9">
        <f>IF(B434&lt;&gt;"",ROW()-2,"")</f>
        <v>0</v>
      </c>
    </row>
    <row r="435" spans="1:1">
      <c r="A435" s="9">
        <f>IF(B435&lt;&gt;"",ROW()-2,"")</f>
        <v>0</v>
      </c>
    </row>
    <row r="436" spans="1:1">
      <c r="A436" s="9">
        <f>IF(B436&lt;&gt;"",ROW()-2,"")</f>
        <v>0</v>
      </c>
    </row>
    <row r="437" spans="1:1">
      <c r="A437" s="9">
        <f>IF(B437&lt;&gt;"",ROW()-2,"")</f>
        <v>0</v>
      </c>
    </row>
    <row r="438" spans="1:1">
      <c r="A438" s="9">
        <f>IF(B438&lt;&gt;"",ROW()-2,"")</f>
        <v>0</v>
      </c>
    </row>
    <row r="439" spans="1:1">
      <c r="A439" s="9">
        <f>IF(B439&lt;&gt;"",ROW()-2,"")</f>
        <v>0</v>
      </c>
    </row>
    <row r="440" spans="1:1">
      <c r="A440" s="9">
        <f>IF(B440&lt;&gt;"",ROW()-2,"")</f>
        <v>0</v>
      </c>
    </row>
    <row r="441" spans="1:1">
      <c r="A441" s="9">
        <f>IF(B441&lt;&gt;"",ROW()-2,"")</f>
        <v>0</v>
      </c>
    </row>
    <row r="442" spans="1:1">
      <c r="A442" s="9">
        <f>IF(B442&lt;&gt;"",ROW()-2,"")</f>
        <v>0</v>
      </c>
    </row>
    <row r="443" spans="1:1">
      <c r="A443" s="9">
        <f>IF(B443&lt;&gt;"",ROW()-2,"")</f>
        <v>0</v>
      </c>
    </row>
    <row r="444" spans="1:1">
      <c r="A444" s="9">
        <f>IF(B444&lt;&gt;"",ROW()-2,"")</f>
        <v>0</v>
      </c>
    </row>
    <row r="445" spans="1:1">
      <c r="A445" s="9">
        <f>IF(B445&lt;&gt;"",ROW()-2,"")</f>
        <v>0</v>
      </c>
    </row>
    <row r="446" spans="1:1">
      <c r="A446" s="9">
        <f>IF(B446&lt;&gt;"",ROW()-2,"")</f>
        <v>0</v>
      </c>
    </row>
    <row r="447" spans="1:1">
      <c r="A447" s="9">
        <f>IF(B447&lt;&gt;"",ROW()-2,"")</f>
        <v>0</v>
      </c>
    </row>
    <row r="448" spans="1:1">
      <c r="A448" s="9">
        <f>IF(B448&lt;&gt;"",ROW()-2,"")</f>
        <v>0</v>
      </c>
    </row>
    <row r="449" spans="1:1">
      <c r="A449" s="9">
        <f>IF(B449&lt;&gt;"",ROW()-2,"")</f>
        <v>0</v>
      </c>
    </row>
    <row r="450" spans="1:1">
      <c r="A450" s="9">
        <f>IF(B450&lt;&gt;"",ROW()-2,"")</f>
        <v>0</v>
      </c>
    </row>
    <row r="451" spans="1:1">
      <c r="A451" s="9">
        <f>IF(B451&lt;&gt;"",ROW()-2,"")</f>
        <v>0</v>
      </c>
    </row>
    <row r="452" spans="1:1">
      <c r="A452" s="9">
        <f>IF(B452&lt;&gt;"",ROW()-2,"")</f>
        <v>0</v>
      </c>
    </row>
    <row r="453" spans="1:1">
      <c r="A453" s="9">
        <f>IF(B453&lt;&gt;"",ROW()-2,"")</f>
        <v>0</v>
      </c>
    </row>
    <row r="454" spans="1:1">
      <c r="A454" s="9">
        <f>IF(B454&lt;&gt;"",ROW()-2,"")</f>
        <v>0</v>
      </c>
    </row>
    <row r="455" spans="1:1">
      <c r="A455" s="9">
        <f>IF(B455&lt;&gt;"",ROW()-2,"")</f>
        <v>0</v>
      </c>
    </row>
    <row r="456" spans="1:1">
      <c r="A456" s="9">
        <f>IF(B456&lt;&gt;"",ROW()-2,"")</f>
        <v>0</v>
      </c>
    </row>
    <row r="457" spans="1:1">
      <c r="A457" s="9">
        <f>IF(B457&lt;&gt;"",ROW()-2,"")</f>
        <v>0</v>
      </c>
    </row>
    <row r="458" spans="1:1">
      <c r="A458" s="9">
        <f>IF(B458&lt;&gt;"",ROW()-2,"")</f>
        <v>0</v>
      </c>
    </row>
    <row r="459" spans="1:1">
      <c r="A459" s="9">
        <f>IF(B459&lt;&gt;"",ROW()-2,"")</f>
        <v>0</v>
      </c>
    </row>
    <row r="460" spans="1:1">
      <c r="A460" s="9">
        <f>IF(B460&lt;&gt;"",ROW()-2,"")</f>
        <v>0</v>
      </c>
    </row>
    <row r="461" spans="1:1">
      <c r="A461" s="9">
        <f>IF(B461&lt;&gt;"",ROW()-2,"")</f>
        <v>0</v>
      </c>
    </row>
    <row r="462" spans="1:1">
      <c r="A462" s="9">
        <f>IF(B462&lt;&gt;"",ROW()-2,"")</f>
        <v>0</v>
      </c>
    </row>
    <row r="463" spans="1:1">
      <c r="A463" s="9">
        <f>IF(B463&lt;&gt;"",ROW()-2,"")</f>
        <v>0</v>
      </c>
    </row>
    <row r="464" spans="1:1">
      <c r="A464" s="9">
        <f>IF(B464&lt;&gt;"",ROW()-2,"")</f>
        <v>0</v>
      </c>
    </row>
    <row r="465" spans="1:1">
      <c r="A465" s="9">
        <f>IF(B465&lt;&gt;"",ROW()-2,"")</f>
        <v>0</v>
      </c>
    </row>
    <row r="466" spans="1:1">
      <c r="A466" s="9">
        <f>IF(B466&lt;&gt;"",ROW()-2,"")</f>
        <v>0</v>
      </c>
    </row>
    <row r="467" spans="1:1">
      <c r="A467" s="9">
        <f>IF(B467&lt;&gt;"",ROW()-2,"")</f>
        <v>0</v>
      </c>
    </row>
    <row r="468" spans="1:1">
      <c r="A468" s="9">
        <f>IF(B468&lt;&gt;"",ROW()-2,"")</f>
        <v>0</v>
      </c>
    </row>
    <row r="469" spans="1:1">
      <c r="A469" s="9">
        <f>IF(B469&lt;&gt;"",ROW()-2,"")</f>
        <v>0</v>
      </c>
    </row>
    <row r="470" spans="1:1">
      <c r="A470" s="9">
        <f>IF(B470&lt;&gt;"",ROW()-2,"")</f>
        <v>0</v>
      </c>
    </row>
    <row r="471" spans="1:1">
      <c r="A471" s="9">
        <f>IF(B471&lt;&gt;"",ROW()-2,"")</f>
        <v>0</v>
      </c>
    </row>
    <row r="472" spans="1:1">
      <c r="A472" s="9">
        <f>IF(B472&lt;&gt;"",ROW()-2,"")</f>
        <v>0</v>
      </c>
    </row>
    <row r="473" spans="1:1">
      <c r="A473" s="9">
        <f>IF(B473&lt;&gt;"",ROW()-2,"")</f>
        <v>0</v>
      </c>
    </row>
    <row r="474" spans="1:1">
      <c r="A474" s="9">
        <f>IF(B474&lt;&gt;"",ROW()-2,"")</f>
        <v>0</v>
      </c>
    </row>
    <row r="475" spans="1:1">
      <c r="A475" s="9">
        <f>IF(B475&lt;&gt;"",ROW()-2,"")</f>
        <v>0</v>
      </c>
    </row>
    <row r="476" spans="1:1">
      <c r="A476" s="9">
        <f>IF(B476&lt;&gt;"",ROW()-2,"")</f>
        <v>0</v>
      </c>
    </row>
    <row r="477" spans="1:1">
      <c r="A477" s="9">
        <f>IF(B477&lt;&gt;"",ROW()-2,"")</f>
        <v>0</v>
      </c>
    </row>
    <row r="478" spans="1:1">
      <c r="A478" s="9">
        <f>IF(B478&lt;&gt;"",ROW()-2,"")</f>
        <v>0</v>
      </c>
    </row>
    <row r="479" spans="1:1">
      <c r="A479" s="9">
        <f>IF(B479&lt;&gt;"",ROW()-2,"")</f>
        <v>0</v>
      </c>
    </row>
    <row r="480" spans="1:1">
      <c r="A480" s="9">
        <f>IF(B480&lt;&gt;"",ROW()-2,"")</f>
        <v>0</v>
      </c>
    </row>
    <row r="481" spans="1:1">
      <c r="A481" s="9">
        <f>IF(B481&lt;&gt;"",ROW()-2,"")</f>
        <v>0</v>
      </c>
    </row>
    <row r="482" spans="1:1">
      <c r="A482" s="9">
        <f>IF(B482&lt;&gt;"",ROW()-2,"")</f>
        <v>0</v>
      </c>
    </row>
    <row r="483" spans="1:1">
      <c r="A483" s="9">
        <f>IF(B483&lt;&gt;"",ROW()-2,"")</f>
        <v>0</v>
      </c>
    </row>
    <row r="484" spans="1:1">
      <c r="A484" s="9">
        <f>IF(B484&lt;&gt;"",ROW()-2,"")</f>
        <v>0</v>
      </c>
    </row>
    <row r="485" spans="1:1">
      <c r="A485" s="9">
        <f>IF(B485&lt;&gt;"",ROW()-2,"")</f>
        <v>0</v>
      </c>
    </row>
    <row r="486" spans="1:1">
      <c r="A486" s="9">
        <f>IF(B486&lt;&gt;"",ROW()-2,"")</f>
        <v>0</v>
      </c>
    </row>
    <row r="487" spans="1:1">
      <c r="A487" s="9">
        <f>IF(B487&lt;&gt;"",ROW()-2,"")</f>
        <v>0</v>
      </c>
    </row>
    <row r="488" spans="1:1">
      <c r="A488" s="9">
        <f>IF(B488&lt;&gt;"",ROW()-2,"")</f>
        <v>0</v>
      </c>
    </row>
    <row r="489" spans="1:1">
      <c r="A489" s="9">
        <f>IF(B489&lt;&gt;"",ROW()-2,"")</f>
        <v>0</v>
      </c>
    </row>
    <row r="490" spans="1:1">
      <c r="A490" s="9">
        <f>IF(B490&lt;&gt;"",ROW()-2,"")</f>
        <v>0</v>
      </c>
    </row>
    <row r="491" spans="1:1">
      <c r="A491" s="9">
        <f>IF(B491&lt;&gt;"",ROW()-2,"")</f>
        <v>0</v>
      </c>
    </row>
    <row r="492" spans="1:1">
      <c r="A492" s="9">
        <f>IF(B492&lt;&gt;"",ROW()-2,"")</f>
        <v>0</v>
      </c>
    </row>
    <row r="493" spans="1:1">
      <c r="A493" s="9">
        <f>IF(B493&lt;&gt;"",ROW()-2,"")</f>
        <v>0</v>
      </c>
    </row>
    <row r="494" spans="1:1">
      <c r="A494" s="9">
        <f>IF(B494&lt;&gt;"",ROW()-2,"")</f>
        <v>0</v>
      </c>
    </row>
    <row r="495" spans="1:1">
      <c r="A495" s="9">
        <f>IF(B495&lt;&gt;"",ROW()-2,"")</f>
        <v>0</v>
      </c>
    </row>
    <row r="496" spans="1:1">
      <c r="A496" s="9">
        <f>IF(B496&lt;&gt;"",ROW()-2,"")</f>
        <v>0</v>
      </c>
    </row>
    <row r="497" spans="1:1">
      <c r="A497" s="9">
        <f>IF(B497&lt;&gt;"",ROW()-2,"")</f>
        <v>0</v>
      </c>
    </row>
    <row r="498" spans="1:1">
      <c r="A498" s="9">
        <f>IF(B498&lt;&gt;"",ROW()-2,"")</f>
        <v>0</v>
      </c>
    </row>
    <row r="499" spans="1:1">
      <c r="A499" s="9">
        <f>IF(B499&lt;&gt;"",ROW()-2,"")</f>
        <v>0</v>
      </c>
    </row>
    <row r="500" spans="1:1">
      <c r="A500" s="9">
        <f>IF(B500&lt;&gt;"",ROW()-2,"")</f>
        <v>0</v>
      </c>
    </row>
    <row r="501" spans="1:1">
      <c r="A501" s="9">
        <f>IF(B501&lt;&gt;"",ROW()-2,"")</f>
        <v>0</v>
      </c>
    </row>
    <row r="502" spans="1:1">
      <c r="A502" s="9">
        <f>IF(B502&lt;&gt;"",ROW()-2,"")</f>
        <v>0</v>
      </c>
    </row>
  </sheetData>
  <mergeCells count="2">
    <mergeCell ref="A1:Y1"/>
    <mergeCell ref="A2:Y2"/>
  </mergeCells>
  <conditionalFormatting sqref="B4:B503">
    <cfRule type="containsBlanks" dxfId="0" priority="1">
      <formula>LEN(TRIM(B4))=0</formula>
    </cfRule>
  </conditionalFormatting>
  <conditionalFormatting sqref="Q4:Q503">
    <cfRule type="cellIs" dxfId="0" priority="2" operator="lessThanOrEqual">
      <formula>0</formula>
    </cfRule>
  </conditionalFormatting>
  <dataValidations count="4">
    <dataValidation type="list" allowBlank="1" showInputMessage="1" showErrorMessage="1" sqref="L4:L503">
      <formula1>"IGI Certified,GRS Certified,AIGS Certified,GIA Certified,Uncertified,Other"</formula1>
    </dataValidation>
    <dataValidation type="list" allowBlank="1" showInputMessage="1" showErrorMessage="1" sqref="M4:M503">
      <formula1>"Single Stone,Pair,Set,Beads,Carving,Rough,Jewellery"</formula1>
    </dataValidation>
    <dataValidation type="list" allowBlank="1" showInputMessage="1" showErrorMessage="1" sqref="T4:T503">
      <formula1>"In Stock,Sold Out,Reserved,Draft,Disabled"</formula1>
    </dataValidation>
    <dataValidation type="whole" operator="greaterThanOrEqual" allowBlank="1" showInputMessage="1" showErrorMessage="1" sqref="S4:S503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16.7109375" customWidth="1"/>
    <col min="3" max="4" width="12.7109375" customWidth="1"/>
    <col min="5" max="5" width="14.7109375" customWidth="1"/>
    <col min="6" max="6" width="12.7109375" customWidth="1"/>
    <col min="7" max="7" width="26.7109375" customWidth="1"/>
    <col min="8" max="8" width="13.7109375" customWidth="1"/>
    <col min="9" max="9" width="16.7109375" customWidth="1"/>
    <col min="10" max="10" width="18.7109375" customWidth="1"/>
    <col min="11" max="11" width="17.7109375" customWidth="1"/>
    <col min="12" max="12" width="14.7109375" customWidth="1"/>
    <col min="13" max="15" width="12.7109375" customWidth="1"/>
    <col min="16" max="16" width="13.7109375" customWidth="1"/>
    <col min="17" max="17" width="16.7109375" customWidth="1"/>
    <col min="18" max="18" width="17.7109375" customWidth="1"/>
    <col min="19" max="20" width="12.7109375" customWidth="1"/>
    <col min="21" max="22" width="17.7109375" customWidth="1"/>
    <col min="23" max="23" width="12.7109375" customWidth="1"/>
    <col min="24" max="24" width="19.7109375" customWidth="1"/>
    <col min="25" max="25" width="16.7109375" customWidth="1"/>
    <col min="26" max="26" width="25.7109375" customWidth="1"/>
    <col min="27" max="27" width="17.7109375" customWidth="1"/>
    <col min="28" max="28" width="16.7109375" customWidth="1"/>
    <col min="29" max="29" width="22.7109375" customWidth="1"/>
    <col min="30" max="30" width="21.7109375" customWidth="1"/>
    <col min="31" max="31" width="20.7109375" customWidth="1"/>
  </cols>
  <sheetData>
    <row r="1" spans="1:31" ht="30" customHeight="1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6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t="s">
        <v>119</v>
      </c>
      <c r="B3" t="s">
        <v>58</v>
      </c>
      <c r="C3" t="s">
        <v>47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59</v>
      </c>
      <c r="J3" t="s">
        <v>125</v>
      </c>
      <c r="K3" t="s">
        <v>126</v>
      </c>
      <c r="L3" t="s">
        <v>61</v>
      </c>
      <c r="M3" t="s">
        <v>127</v>
      </c>
      <c r="N3" t="s">
        <v>128</v>
      </c>
      <c r="O3" t="s">
        <v>129</v>
      </c>
      <c r="P3" t="s">
        <v>66</v>
      </c>
      <c r="Q3" t="s">
        <v>130</v>
      </c>
      <c r="R3" t="s">
        <v>64</v>
      </c>
      <c r="S3" t="s">
        <v>131</v>
      </c>
      <c r="T3" t="s">
        <v>62</v>
      </c>
      <c r="U3" t="s">
        <v>63</v>
      </c>
      <c r="V3" t="s">
        <v>132</v>
      </c>
      <c r="W3" t="s">
        <v>133</v>
      </c>
      <c r="X3" t="s">
        <v>134</v>
      </c>
      <c r="Y3" t="s">
        <v>135</v>
      </c>
      <c r="Z3" t="s">
        <v>136</v>
      </c>
      <c r="AA3" t="s">
        <v>137</v>
      </c>
      <c r="AB3" t="s">
        <v>138</v>
      </c>
      <c r="AC3" t="s">
        <v>139</v>
      </c>
      <c r="AD3" t="s">
        <v>140</v>
      </c>
      <c r="AE3" t="s">
        <v>141</v>
      </c>
    </row>
    <row r="4" spans="1:31">
      <c r="A4" s="9">
        <f>IF('01_Input_Raw_Products'!B4&lt;&gt;"",20,"")</f>
        <v>0</v>
      </c>
      <c r="B4" s="9" cm="1">
        <f t="array" ref="B4">IF('01_Input_Raw_Products'!M4&lt;&gt;"",'01_Input_Raw_Products'!M4,IFERROR(_xlfn.XLOOKUP('01_Input_Raw_Products'!F4,'10_Master_Gem_Types'!A:A,'10_Master_Gem_Types'!K:K),""))</f>
        <v>0</v>
      </c>
      <c r="C4" s="9">
        <f>'01_Input_Raw_Products'!B4</f>
        <v>0</v>
      </c>
      <c r="D4" s="9">
        <f>IF(C4="","",TEXT(I4,"0.00")&amp;" Ct "&amp;IF('01_Input_Raw_Products'!F4&lt;&gt;"",'01_Input_Raw_Products'!F4,'01_Input_Raw_Products'!D4)&amp;" "&amp;'01_Input_Raw_Products'!I4)</f>
        <v>0</v>
      </c>
      <c r="E4" s="9">
        <f>IF(C4="","",D4&amp;" | GemPundit")</f>
        <v>0</v>
      </c>
      <c r="F4" s="9" cm="1">
        <f t="array" ref="F4">IF('01_Input_Raw_Products'!X4&lt;&gt;"",'01_Input_Raw_Products'!X4,IFERROR(_xlfn.XLOOKUP('01_Input_Raw_Products'!F4,'10_Master_Gem_Types'!A:A,'10_Master_Gem_Types'!O:O),LOWER(SUBSTITUTE(IF('01_Input_Raw_Products'!F4&lt;&gt;"",'01_Input_Raw_Products'!F4,'01_Input_Raw_Products'!D4)," ","-"))))</f>
        <v>0</v>
      </c>
      <c r="G4" s="9">
        <f>'01_Input_Raw_Products'!C4</f>
        <v>0</v>
      </c>
      <c r="H4" s="9" cm="1">
        <f t="array" ref="H4">IF('01_Input_Raw_Products'!H4&lt;&gt;"",'01_Input_Raw_Products'!H4,IFERROR(_xlfn.XLOOKUP('01_Input_Raw_Products'!F4,'10_Master_Gem_Types'!A:A,'10_Master_Gem_Types'!D:D),""))</f>
        <v>0</v>
      </c>
      <c r="I4" s="7">
        <f>IF('01_Input_Raw_Products'!N4&lt;&gt;"",'01_Input_Raw_Products'!N4,IF('01_Input_Raw_Products'!O4&lt;&gt;"",'01_Input_Raw_Products'!O4*0.91,""))</f>
        <v>0</v>
      </c>
      <c r="J4" s="9" cm="1">
        <f t="array" ref="J4">IFERROR(_xlfn.XLOOKUP('01_Input_Raw_Products'!F4,'10_Master_Gem_Types'!A:A,'10_Master_Gem_Types'!N:N),"")</f>
        <v>0</v>
      </c>
      <c r="K4" s="9" cm="1">
        <f t="array" ref="K4">IF('01_Input_Raw_Products'!J4&lt;&gt;"",'01_Input_Raw_Products'!J4,IFERROR(_xlfn.XLOOKUP('01_Input_Raw_Products'!F4,'10_Master_Gem_Types'!A:A,'10_Master_Gem_Types'!E:E),""))</f>
        <v>0</v>
      </c>
      <c r="L4" s="9">
        <f>'01_Input_Raw_Products'!P4</f>
        <v>0</v>
      </c>
      <c r="M4" s="9" cm="1">
        <f t="array" ref="M4">IFERROR(_xlfn.XLOOKUP('01_Input_Raw_Products'!K4,'12_Color_Mapping'!A:A,'12_Color_Mapping'!B:B),IFERROR(_xlfn.XLOOKUP('01_Input_Raw_Products'!F4,'10_Master_Gem_Types'!A:A,'10_Master_Gem_Types'!F:F),""))</f>
        <v>0</v>
      </c>
      <c r="N4" s="9">
        <f>IF(C4="","",IF('01_Input_Raw_Products'!F4&lt;&gt;"",'01_Input_Raw_Products'!F4,'01_Input_Raw_Products'!D4))</f>
        <v>0</v>
      </c>
      <c r="O4" s="9">
        <f>IF(C4="","","Catalog Automation")</f>
        <v>0</v>
      </c>
      <c r="P4" s="9">
        <f>'01_Input_Raw_Products'!U4</f>
        <v>0</v>
      </c>
      <c r="Q4" s="7">
        <f>IF('01_Input_Raw_Products'!O4&lt;&gt;"",'01_Input_Raw_Products'!O4,IF('01_Input_Raw_Products'!N4&lt;&gt;"",'01_Input_Raw_Products'!N4*1.1,""))</f>
        <v>0</v>
      </c>
      <c r="R4" s="9">
        <f>'01_Input_Raw_Products'!S4</f>
        <v>0</v>
      </c>
      <c r="S4" s="9" cm="1">
        <f t="array" ref="S4">IFERROR(_xlfn.XLOOKUP('01_Input_Raw_Products'!F4,'10_Master_Gem_Types'!A:A,'10_Master_Gem_Types'!H:H),"")</f>
        <v>0</v>
      </c>
      <c r="T4" s="8">
        <f>'01_Input_Raw_Products'!Q4</f>
        <v>0</v>
      </c>
      <c r="U4" s="8">
        <f>'01_Input_Raw_Products'!R4</f>
        <v>0</v>
      </c>
      <c r="V4" s="7">
        <f>I4</f>
        <v>0</v>
      </c>
      <c r="W4" s="9" cm="1">
        <f t="array" ref="W4">IF('01_Input_Raw_Products'!G4&lt;&gt;"",'01_Input_Raw_Products'!G4,IFERROR(_xlfn.XLOOKUP('01_Input_Raw_Products'!F4,'10_Master_Gem_Types'!A:A,'10_Master_Gem_Types'!L:L),""))</f>
        <v>0</v>
      </c>
      <c r="X4" s="9" cm="1">
        <f t="array" ref="X4">IFERROR(_xlfn.XLOOKUP('01_Input_Raw_Products'!F4,'10_Master_Gem_Types'!A:A,'10_Master_Gem_Types'!J:J),"")</f>
        <v>0</v>
      </c>
      <c r="Y4" s="9" cm="1">
        <f t="array" ref="Y4">IFERROR(_xlfn.XLOOKUP('01_Input_Raw_Products'!F4,'10_Master_Gem_Types'!A:A,'10_Master_Gem_Types'!I:I),"")</f>
        <v>0</v>
      </c>
      <c r="Z4" s="9" cm="1">
        <f t="array" ref="Z4">IFERROR(_xlfn.XLOOKUP('01_Input_Raw_Products'!L4,'13_Certification_Stickers'!A:A,'13_Certification_Stickers'!C:C),"")</f>
        <v>0</v>
      </c>
      <c r="AA4" s="9" cm="1">
        <f t="array" ref="AA4">IFERROR(_xlfn.XLOOKUP('01_Input_Raw_Products'!S4,'14_Shipping_Rules'!A:A,'14_Shipping_Rules'!B:B),"")</f>
        <v>0</v>
      </c>
      <c r="AB4" s="9" cm="1">
        <f t="array" ref="AB4">IFERROR(_xlfn.XLOOKUP('01_Input_Raw_Products'!D4,'16_Astro_Flags'!A:A,'16_Astro_Flags'!B:B),"")</f>
        <v>0</v>
      </c>
      <c r="AC4" s="9">
        <f>IF(C4="","","Catalog, Search")</f>
        <v>0</v>
      </c>
      <c r="AD4" s="9">
        <f>IF(C4="","",IF(OR(F4="",J4="",M4="",S4="",Y4=""),"Manual Review","Ready"))</f>
        <v>0</v>
      </c>
      <c r="AE4" s="9">
        <f>IF(C4="","",TEXTJOIN("; ",TRUE,IF(F4="","Missing url_key",""),IF(J4="","Missing classification",""),IF(M4="","Missing j_colour",""),IF(S4="","Missing hsn_code",""),IF(Y4="","Missing tax_class_id","")))</f>
        <v>0</v>
      </c>
    </row>
    <row r="5" spans="1:31">
      <c r="A5" s="9">
        <f>IF('01_Input_Raw_Products'!B5&lt;&gt;"",20,"")</f>
        <v>0</v>
      </c>
      <c r="B5" s="9" cm="1">
        <f t="array" ref="B5">IF('01_Input_Raw_Products'!M5&lt;&gt;"",'01_Input_Raw_Products'!M5,IFERROR(_xlfn.XLOOKUP('01_Input_Raw_Products'!F5,'10_Master_Gem_Types'!A:A,'10_Master_Gem_Types'!K:K),""))</f>
        <v>0</v>
      </c>
      <c r="C5" s="9">
        <f>'01_Input_Raw_Products'!B5</f>
        <v>0</v>
      </c>
      <c r="D5" s="9">
        <f>IF(C5="","",TEXT(I5,"0.00")&amp;" Ct "&amp;IF('01_Input_Raw_Products'!F5&lt;&gt;"",'01_Input_Raw_Products'!F5,'01_Input_Raw_Products'!D5)&amp;" "&amp;'01_Input_Raw_Products'!I5)</f>
        <v>0</v>
      </c>
      <c r="E5" s="9">
        <f>IF(C5="","",D5&amp;" | GemPundit")</f>
        <v>0</v>
      </c>
      <c r="F5" s="9" cm="1">
        <f t="array" ref="F5">IF('01_Input_Raw_Products'!X5&lt;&gt;"",'01_Input_Raw_Products'!X5,IFERROR(_xlfn.XLOOKUP('01_Input_Raw_Products'!F5,'10_Master_Gem_Types'!A:A,'10_Master_Gem_Types'!O:O),LOWER(SUBSTITUTE(IF('01_Input_Raw_Products'!F5&lt;&gt;"",'01_Input_Raw_Products'!F5,'01_Input_Raw_Products'!D5)," ","-"))))</f>
        <v>0</v>
      </c>
      <c r="G5" s="9">
        <f>'01_Input_Raw_Products'!C5</f>
        <v>0</v>
      </c>
      <c r="H5" s="9" cm="1">
        <f t="array" ref="H5">IF('01_Input_Raw_Products'!H5&lt;&gt;"",'01_Input_Raw_Products'!H5,IFERROR(_xlfn.XLOOKUP('01_Input_Raw_Products'!F5,'10_Master_Gem_Types'!A:A,'10_Master_Gem_Types'!D:D),""))</f>
        <v>0</v>
      </c>
      <c r="I5" s="7">
        <f>IF('01_Input_Raw_Products'!N5&lt;&gt;"",'01_Input_Raw_Products'!N5,IF('01_Input_Raw_Products'!O5&lt;&gt;"",'01_Input_Raw_Products'!O5*0.91,""))</f>
        <v>0</v>
      </c>
      <c r="J5" s="9" cm="1">
        <f t="array" ref="J5">IFERROR(_xlfn.XLOOKUP('01_Input_Raw_Products'!F5,'10_Master_Gem_Types'!A:A,'10_Master_Gem_Types'!N:N),"")</f>
        <v>0</v>
      </c>
      <c r="K5" s="9" cm="1">
        <f t="array" ref="K5">IF('01_Input_Raw_Products'!J5&lt;&gt;"",'01_Input_Raw_Products'!J5,IFERROR(_xlfn.XLOOKUP('01_Input_Raw_Products'!F5,'10_Master_Gem_Types'!A:A,'10_Master_Gem_Types'!E:E),""))</f>
        <v>0</v>
      </c>
      <c r="L5" s="9">
        <f>'01_Input_Raw_Products'!P5</f>
        <v>0</v>
      </c>
      <c r="M5" s="9" cm="1">
        <f t="array" ref="M5">IFERROR(_xlfn.XLOOKUP('01_Input_Raw_Products'!K5,'12_Color_Mapping'!A:A,'12_Color_Mapping'!B:B),IFERROR(_xlfn.XLOOKUP('01_Input_Raw_Products'!F5,'10_Master_Gem_Types'!A:A,'10_Master_Gem_Types'!F:F),""))</f>
        <v>0</v>
      </c>
      <c r="N5" s="9">
        <f>IF(C5="","",IF('01_Input_Raw_Products'!F5&lt;&gt;"",'01_Input_Raw_Products'!F5,'01_Input_Raw_Products'!D5))</f>
        <v>0</v>
      </c>
      <c r="O5" s="9">
        <f>IF(C5="","","Catalog Automation")</f>
        <v>0</v>
      </c>
      <c r="P5" s="9">
        <f>'01_Input_Raw_Products'!U5</f>
        <v>0</v>
      </c>
      <c r="Q5" s="7">
        <f>IF('01_Input_Raw_Products'!O5&lt;&gt;"",'01_Input_Raw_Products'!O5,IF('01_Input_Raw_Products'!N5&lt;&gt;"",'01_Input_Raw_Products'!N5*1.1,""))</f>
        <v>0</v>
      </c>
      <c r="R5" s="9">
        <f>'01_Input_Raw_Products'!S5</f>
        <v>0</v>
      </c>
      <c r="S5" s="9" cm="1">
        <f t="array" ref="S5">IFERROR(_xlfn.XLOOKUP('01_Input_Raw_Products'!F5,'10_Master_Gem_Types'!A:A,'10_Master_Gem_Types'!H:H),"")</f>
        <v>0</v>
      </c>
      <c r="T5" s="8">
        <f>'01_Input_Raw_Products'!Q5</f>
        <v>0</v>
      </c>
      <c r="U5" s="8">
        <f>'01_Input_Raw_Products'!R5</f>
        <v>0</v>
      </c>
      <c r="V5" s="7">
        <f>I5</f>
        <v>0</v>
      </c>
      <c r="W5" s="9" cm="1">
        <f t="array" ref="W5">IF('01_Input_Raw_Products'!G5&lt;&gt;"",'01_Input_Raw_Products'!G5,IFERROR(_xlfn.XLOOKUP('01_Input_Raw_Products'!F5,'10_Master_Gem_Types'!A:A,'10_Master_Gem_Types'!L:L),""))</f>
        <v>0</v>
      </c>
      <c r="X5" s="9" cm="1">
        <f t="array" ref="X5">IFERROR(_xlfn.XLOOKUP('01_Input_Raw_Products'!F5,'10_Master_Gem_Types'!A:A,'10_Master_Gem_Types'!J:J),"")</f>
        <v>0</v>
      </c>
      <c r="Y5" s="9" cm="1">
        <f t="array" ref="Y5">IFERROR(_xlfn.XLOOKUP('01_Input_Raw_Products'!F5,'10_Master_Gem_Types'!A:A,'10_Master_Gem_Types'!I:I),"")</f>
        <v>0</v>
      </c>
      <c r="Z5" s="9" cm="1">
        <f t="array" ref="Z5">IFERROR(_xlfn.XLOOKUP('01_Input_Raw_Products'!L5,'13_Certification_Stickers'!A:A,'13_Certification_Stickers'!C:C),"")</f>
        <v>0</v>
      </c>
      <c r="AA5" s="9" cm="1">
        <f t="array" ref="AA5">IFERROR(_xlfn.XLOOKUP('01_Input_Raw_Products'!S5,'14_Shipping_Rules'!A:A,'14_Shipping_Rules'!B:B),"")</f>
        <v>0</v>
      </c>
      <c r="AB5" s="9" cm="1">
        <f t="array" ref="AB5">IFERROR(_xlfn.XLOOKUP('01_Input_Raw_Products'!D5,'16_Astro_Flags'!A:A,'16_Astro_Flags'!B:B),"")</f>
        <v>0</v>
      </c>
      <c r="AC5" s="9">
        <f>IF(C5="","","Catalog, Search")</f>
        <v>0</v>
      </c>
      <c r="AD5" s="9">
        <f>IF(C5="","",IF(OR(F5="",J5="",M5="",S5="",Y5=""),"Manual Review","Ready"))</f>
        <v>0</v>
      </c>
      <c r="AE5" s="9">
        <f>IF(C5="","",TEXTJOIN("; ",TRUE,IF(F5="","Missing url_key",""),IF(J5="","Missing classification",""),IF(M5="","Missing j_colour",""),IF(S5="","Missing hsn_code",""),IF(Y5="","Missing tax_class_id","")))</f>
        <v>0</v>
      </c>
    </row>
    <row r="6" spans="1:31">
      <c r="A6" s="9">
        <f>IF('01_Input_Raw_Products'!B6&lt;&gt;"",20,"")</f>
        <v>0</v>
      </c>
      <c r="B6" s="9" cm="1">
        <f t="array" ref="B6">IF('01_Input_Raw_Products'!M6&lt;&gt;"",'01_Input_Raw_Products'!M6,IFERROR(_xlfn.XLOOKUP('01_Input_Raw_Products'!F6,'10_Master_Gem_Types'!A:A,'10_Master_Gem_Types'!K:K),""))</f>
        <v>0</v>
      </c>
      <c r="C6" s="9">
        <f>'01_Input_Raw_Products'!B6</f>
        <v>0</v>
      </c>
      <c r="D6" s="9">
        <f>IF(C6="","",TEXT(I6,"0.00")&amp;" Ct "&amp;IF('01_Input_Raw_Products'!F6&lt;&gt;"",'01_Input_Raw_Products'!F6,'01_Input_Raw_Products'!D6)&amp;" "&amp;'01_Input_Raw_Products'!I6)</f>
        <v>0</v>
      </c>
      <c r="E6" s="9">
        <f>IF(C6="","",D6&amp;" | GemPundit")</f>
        <v>0</v>
      </c>
      <c r="F6" s="9" cm="1">
        <f t="array" ref="F6">IF('01_Input_Raw_Products'!X6&lt;&gt;"",'01_Input_Raw_Products'!X6,IFERROR(_xlfn.XLOOKUP('01_Input_Raw_Products'!F6,'10_Master_Gem_Types'!A:A,'10_Master_Gem_Types'!O:O),LOWER(SUBSTITUTE(IF('01_Input_Raw_Products'!F6&lt;&gt;"",'01_Input_Raw_Products'!F6,'01_Input_Raw_Products'!D6)," ","-"))))</f>
        <v>0</v>
      </c>
      <c r="G6" s="9">
        <f>'01_Input_Raw_Products'!C6</f>
        <v>0</v>
      </c>
      <c r="H6" s="9" cm="1">
        <f t="array" ref="H6">IF('01_Input_Raw_Products'!H6&lt;&gt;"",'01_Input_Raw_Products'!H6,IFERROR(_xlfn.XLOOKUP('01_Input_Raw_Products'!F6,'10_Master_Gem_Types'!A:A,'10_Master_Gem_Types'!D:D),""))</f>
        <v>0</v>
      </c>
      <c r="I6" s="7">
        <f>IF('01_Input_Raw_Products'!N6&lt;&gt;"",'01_Input_Raw_Products'!N6,IF('01_Input_Raw_Products'!O6&lt;&gt;"",'01_Input_Raw_Products'!O6*0.91,""))</f>
        <v>0</v>
      </c>
      <c r="J6" s="9" cm="1">
        <f t="array" ref="J6">IFERROR(_xlfn.XLOOKUP('01_Input_Raw_Products'!F6,'10_Master_Gem_Types'!A:A,'10_Master_Gem_Types'!N:N),"")</f>
        <v>0</v>
      </c>
      <c r="K6" s="9" cm="1">
        <f t="array" ref="K6">IF('01_Input_Raw_Products'!J6&lt;&gt;"",'01_Input_Raw_Products'!J6,IFERROR(_xlfn.XLOOKUP('01_Input_Raw_Products'!F6,'10_Master_Gem_Types'!A:A,'10_Master_Gem_Types'!E:E),""))</f>
        <v>0</v>
      </c>
      <c r="L6" s="9">
        <f>'01_Input_Raw_Products'!P6</f>
        <v>0</v>
      </c>
      <c r="M6" s="9" cm="1">
        <f t="array" ref="M6">IFERROR(_xlfn.XLOOKUP('01_Input_Raw_Products'!K6,'12_Color_Mapping'!A:A,'12_Color_Mapping'!B:B),IFERROR(_xlfn.XLOOKUP('01_Input_Raw_Products'!F6,'10_Master_Gem_Types'!A:A,'10_Master_Gem_Types'!F:F),""))</f>
        <v>0</v>
      </c>
      <c r="N6" s="9">
        <f>IF(C6="","",IF('01_Input_Raw_Products'!F6&lt;&gt;"",'01_Input_Raw_Products'!F6,'01_Input_Raw_Products'!D6))</f>
        <v>0</v>
      </c>
      <c r="O6" s="9">
        <f>IF(C6="","","Catalog Automation")</f>
        <v>0</v>
      </c>
      <c r="P6" s="9">
        <f>'01_Input_Raw_Products'!U6</f>
        <v>0</v>
      </c>
      <c r="Q6" s="7">
        <f>IF('01_Input_Raw_Products'!O6&lt;&gt;"",'01_Input_Raw_Products'!O6,IF('01_Input_Raw_Products'!N6&lt;&gt;"",'01_Input_Raw_Products'!N6*1.1,""))</f>
        <v>0</v>
      </c>
      <c r="R6" s="9">
        <f>'01_Input_Raw_Products'!S6</f>
        <v>0</v>
      </c>
      <c r="S6" s="9" cm="1">
        <f t="array" ref="S6">IFERROR(_xlfn.XLOOKUP('01_Input_Raw_Products'!F6,'10_Master_Gem_Types'!A:A,'10_Master_Gem_Types'!H:H),"")</f>
        <v>0</v>
      </c>
      <c r="T6" s="8">
        <f>'01_Input_Raw_Products'!Q6</f>
        <v>0</v>
      </c>
      <c r="U6" s="8">
        <f>'01_Input_Raw_Products'!R6</f>
        <v>0</v>
      </c>
      <c r="V6" s="7">
        <f>I6</f>
        <v>0</v>
      </c>
      <c r="W6" s="9" cm="1">
        <f t="array" ref="W6">IF('01_Input_Raw_Products'!G6&lt;&gt;"",'01_Input_Raw_Products'!G6,IFERROR(_xlfn.XLOOKUP('01_Input_Raw_Products'!F6,'10_Master_Gem_Types'!A:A,'10_Master_Gem_Types'!L:L),""))</f>
        <v>0</v>
      </c>
      <c r="X6" s="9" cm="1">
        <f t="array" ref="X6">IFERROR(_xlfn.XLOOKUP('01_Input_Raw_Products'!F6,'10_Master_Gem_Types'!A:A,'10_Master_Gem_Types'!J:J),"")</f>
        <v>0</v>
      </c>
      <c r="Y6" s="9" cm="1">
        <f t="array" ref="Y6">IFERROR(_xlfn.XLOOKUP('01_Input_Raw_Products'!F6,'10_Master_Gem_Types'!A:A,'10_Master_Gem_Types'!I:I),"")</f>
        <v>0</v>
      </c>
      <c r="Z6" s="9" cm="1">
        <f t="array" ref="Z6">IFERROR(_xlfn.XLOOKUP('01_Input_Raw_Products'!L6,'13_Certification_Stickers'!A:A,'13_Certification_Stickers'!C:C),"")</f>
        <v>0</v>
      </c>
      <c r="AA6" s="9" cm="1">
        <f t="array" ref="AA6">IFERROR(_xlfn.XLOOKUP('01_Input_Raw_Products'!S6,'14_Shipping_Rules'!A:A,'14_Shipping_Rules'!B:B),"")</f>
        <v>0</v>
      </c>
      <c r="AB6" s="9" cm="1">
        <f t="array" ref="AB6">IFERROR(_xlfn.XLOOKUP('01_Input_Raw_Products'!D6,'16_Astro_Flags'!A:A,'16_Astro_Flags'!B:B),"")</f>
        <v>0</v>
      </c>
      <c r="AC6" s="9">
        <f>IF(C6="","","Catalog, Search")</f>
        <v>0</v>
      </c>
      <c r="AD6" s="9">
        <f>IF(C6="","",IF(OR(F6="",J6="",M6="",S6="",Y6=""),"Manual Review","Ready"))</f>
        <v>0</v>
      </c>
      <c r="AE6" s="9">
        <f>IF(C6="","",TEXTJOIN("; ",TRUE,IF(F6="","Missing url_key",""),IF(J6="","Missing classification",""),IF(M6="","Missing j_colour",""),IF(S6="","Missing hsn_code",""),IF(Y6="","Missing tax_class_id","")))</f>
        <v>0</v>
      </c>
    </row>
    <row r="7" spans="1:31">
      <c r="A7" s="9">
        <f>IF('01_Input_Raw_Products'!B7&lt;&gt;"",20,"")</f>
        <v>0</v>
      </c>
      <c r="B7" s="9" cm="1">
        <f t="array" ref="B7">IF('01_Input_Raw_Products'!M7&lt;&gt;"",'01_Input_Raw_Products'!M7,IFERROR(_xlfn.XLOOKUP('01_Input_Raw_Products'!F7,'10_Master_Gem_Types'!A:A,'10_Master_Gem_Types'!K:K),""))</f>
        <v>0</v>
      </c>
      <c r="C7" s="9">
        <f>'01_Input_Raw_Products'!B7</f>
        <v>0</v>
      </c>
      <c r="D7" s="9">
        <f>IF(C7="","",TEXT(I7,"0.00")&amp;" Ct "&amp;IF('01_Input_Raw_Products'!F7&lt;&gt;"",'01_Input_Raw_Products'!F7,'01_Input_Raw_Products'!D7)&amp;" "&amp;'01_Input_Raw_Products'!I7)</f>
        <v>0</v>
      </c>
      <c r="E7" s="9">
        <f>IF(C7="","",D7&amp;" | GemPundit")</f>
        <v>0</v>
      </c>
      <c r="F7" s="9" cm="1">
        <f t="array" ref="F7">IF('01_Input_Raw_Products'!X7&lt;&gt;"",'01_Input_Raw_Products'!X7,IFERROR(_xlfn.XLOOKUP('01_Input_Raw_Products'!F7,'10_Master_Gem_Types'!A:A,'10_Master_Gem_Types'!O:O),LOWER(SUBSTITUTE(IF('01_Input_Raw_Products'!F7&lt;&gt;"",'01_Input_Raw_Products'!F7,'01_Input_Raw_Products'!D7)," ","-"))))</f>
        <v>0</v>
      </c>
      <c r="G7" s="9">
        <f>'01_Input_Raw_Products'!C7</f>
        <v>0</v>
      </c>
      <c r="H7" s="9" cm="1">
        <f t="array" ref="H7">IF('01_Input_Raw_Products'!H7&lt;&gt;"",'01_Input_Raw_Products'!H7,IFERROR(_xlfn.XLOOKUP('01_Input_Raw_Products'!F7,'10_Master_Gem_Types'!A:A,'10_Master_Gem_Types'!D:D),""))</f>
        <v>0</v>
      </c>
      <c r="I7" s="7">
        <f>IF('01_Input_Raw_Products'!N7&lt;&gt;"",'01_Input_Raw_Products'!N7,IF('01_Input_Raw_Products'!O7&lt;&gt;"",'01_Input_Raw_Products'!O7*0.91,""))</f>
        <v>0</v>
      </c>
      <c r="J7" s="9" cm="1">
        <f t="array" ref="J7">IFERROR(_xlfn.XLOOKUP('01_Input_Raw_Products'!F7,'10_Master_Gem_Types'!A:A,'10_Master_Gem_Types'!N:N),"")</f>
        <v>0</v>
      </c>
      <c r="K7" s="9" cm="1">
        <f t="array" ref="K7">IF('01_Input_Raw_Products'!J7&lt;&gt;"",'01_Input_Raw_Products'!J7,IFERROR(_xlfn.XLOOKUP('01_Input_Raw_Products'!F7,'10_Master_Gem_Types'!A:A,'10_Master_Gem_Types'!E:E),""))</f>
        <v>0</v>
      </c>
      <c r="L7" s="9">
        <f>'01_Input_Raw_Products'!P7</f>
        <v>0</v>
      </c>
      <c r="M7" s="9" cm="1">
        <f t="array" ref="M7">IFERROR(_xlfn.XLOOKUP('01_Input_Raw_Products'!K7,'12_Color_Mapping'!A:A,'12_Color_Mapping'!B:B),IFERROR(_xlfn.XLOOKUP('01_Input_Raw_Products'!F7,'10_Master_Gem_Types'!A:A,'10_Master_Gem_Types'!F:F),""))</f>
        <v>0</v>
      </c>
      <c r="N7" s="9">
        <f>IF(C7="","",IF('01_Input_Raw_Products'!F7&lt;&gt;"",'01_Input_Raw_Products'!F7,'01_Input_Raw_Products'!D7))</f>
        <v>0</v>
      </c>
      <c r="O7" s="9">
        <f>IF(C7="","","Catalog Automation")</f>
        <v>0</v>
      </c>
      <c r="P7" s="9">
        <f>'01_Input_Raw_Products'!U7</f>
        <v>0</v>
      </c>
      <c r="Q7" s="7">
        <f>IF('01_Input_Raw_Products'!O7&lt;&gt;"",'01_Input_Raw_Products'!O7,IF('01_Input_Raw_Products'!N7&lt;&gt;"",'01_Input_Raw_Products'!N7*1.1,""))</f>
        <v>0</v>
      </c>
      <c r="R7" s="9">
        <f>'01_Input_Raw_Products'!S7</f>
        <v>0</v>
      </c>
      <c r="S7" s="9" cm="1">
        <f t="array" ref="S7">IFERROR(_xlfn.XLOOKUP('01_Input_Raw_Products'!F7,'10_Master_Gem_Types'!A:A,'10_Master_Gem_Types'!H:H),"")</f>
        <v>0</v>
      </c>
      <c r="T7" s="8">
        <f>'01_Input_Raw_Products'!Q7</f>
        <v>0</v>
      </c>
      <c r="U7" s="8">
        <f>'01_Input_Raw_Products'!R7</f>
        <v>0</v>
      </c>
      <c r="V7" s="7">
        <f>I7</f>
        <v>0</v>
      </c>
      <c r="W7" s="9" cm="1">
        <f t="array" ref="W7">IF('01_Input_Raw_Products'!G7&lt;&gt;"",'01_Input_Raw_Products'!G7,IFERROR(_xlfn.XLOOKUP('01_Input_Raw_Products'!F7,'10_Master_Gem_Types'!A:A,'10_Master_Gem_Types'!L:L),""))</f>
        <v>0</v>
      </c>
      <c r="X7" s="9" cm="1">
        <f t="array" ref="X7">IFERROR(_xlfn.XLOOKUP('01_Input_Raw_Products'!F7,'10_Master_Gem_Types'!A:A,'10_Master_Gem_Types'!J:J),"")</f>
        <v>0</v>
      </c>
      <c r="Y7" s="9" cm="1">
        <f t="array" ref="Y7">IFERROR(_xlfn.XLOOKUP('01_Input_Raw_Products'!F7,'10_Master_Gem_Types'!A:A,'10_Master_Gem_Types'!I:I),"")</f>
        <v>0</v>
      </c>
      <c r="Z7" s="9" cm="1">
        <f t="array" ref="Z7">IFERROR(_xlfn.XLOOKUP('01_Input_Raw_Products'!L7,'13_Certification_Stickers'!A:A,'13_Certification_Stickers'!C:C),"")</f>
        <v>0</v>
      </c>
      <c r="AA7" s="9" cm="1">
        <f t="array" ref="AA7">IFERROR(_xlfn.XLOOKUP('01_Input_Raw_Products'!S7,'14_Shipping_Rules'!A:A,'14_Shipping_Rules'!B:B),"")</f>
        <v>0</v>
      </c>
      <c r="AB7" s="9" cm="1">
        <f t="array" ref="AB7">IFERROR(_xlfn.XLOOKUP('01_Input_Raw_Products'!D7,'16_Astro_Flags'!A:A,'16_Astro_Flags'!B:B),"")</f>
        <v>0</v>
      </c>
      <c r="AC7" s="9">
        <f>IF(C7="","","Catalog, Search")</f>
        <v>0</v>
      </c>
      <c r="AD7" s="9">
        <f>IF(C7="","",IF(OR(F7="",J7="",M7="",S7="",Y7=""),"Manual Review","Ready"))</f>
        <v>0</v>
      </c>
      <c r="AE7" s="9">
        <f>IF(C7="","",TEXTJOIN("; ",TRUE,IF(F7="","Missing url_key",""),IF(J7="","Missing classification",""),IF(M7="","Missing j_colour",""),IF(S7="","Missing hsn_code",""),IF(Y7="","Missing tax_class_id","")))</f>
        <v>0</v>
      </c>
    </row>
    <row r="8" spans="1:31">
      <c r="A8" s="9">
        <f>IF('01_Input_Raw_Products'!B8&lt;&gt;"",20,"")</f>
        <v>0</v>
      </c>
      <c r="B8" s="9" cm="1">
        <f t="array" ref="B8">IF('01_Input_Raw_Products'!M8&lt;&gt;"",'01_Input_Raw_Products'!M8,IFERROR(_xlfn.XLOOKUP('01_Input_Raw_Products'!F8,'10_Master_Gem_Types'!A:A,'10_Master_Gem_Types'!K:K),""))</f>
        <v>0</v>
      </c>
      <c r="C8" s="9">
        <f>'01_Input_Raw_Products'!B8</f>
        <v>0</v>
      </c>
      <c r="D8" s="9">
        <f>IF(C8="","",TEXT(I8,"0.00")&amp;" Ct "&amp;IF('01_Input_Raw_Products'!F8&lt;&gt;"",'01_Input_Raw_Products'!F8,'01_Input_Raw_Products'!D8)&amp;" "&amp;'01_Input_Raw_Products'!I8)</f>
        <v>0</v>
      </c>
      <c r="E8" s="9">
        <f>IF(C8="","",D8&amp;" | GemPundit")</f>
        <v>0</v>
      </c>
      <c r="F8" s="9" cm="1">
        <f t="array" ref="F8">IF('01_Input_Raw_Products'!X8&lt;&gt;"",'01_Input_Raw_Products'!X8,IFERROR(_xlfn.XLOOKUP('01_Input_Raw_Products'!F8,'10_Master_Gem_Types'!A:A,'10_Master_Gem_Types'!O:O),LOWER(SUBSTITUTE(IF('01_Input_Raw_Products'!F8&lt;&gt;"",'01_Input_Raw_Products'!F8,'01_Input_Raw_Products'!D8)," ","-"))))</f>
        <v>0</v>
      </c>
      <c r="G8" s="9">
        <f>'01_Input_Raw_Products'!C8</f>
        <v>0</v>
      </c>
      <c r="H8" s="9" cm="1">
        <f t="array" ref="H8">IF('01_Input_Raw_Products'!H8&lt;&gt;"",'01_Input_Raw_Products'!H8,IFERROR(_xlfn.XLOOKUP('01_Input_Raw_Products'!F8,'10_Master_Gem_Types'!A:A,'10_Master_Gem_Types'!D:D),""))</f>
        <v>0</v>
      </c>
      <c r="I8" s="7">
        <f>IF('01_Input_Raw_Products'!N8&lt;&gt;"",'01_Input_Raw_Products'!N8,IF('01_Input_Raw_Products'!O8&lt;&gt;"",'01_Input_Raw_Products'!O8*0.91,""))</f>
        <v>0</v>
      </c>
      <c r="J8" s="9" cm="1">
        <f t="array" ref="J8">IFERROR(_xlfn.XLOOKUP('01_Input_Raw_Products'!F8,'10_Master_Gem_Types'!A:A,'10_Master_Gem_Types'!N:N),"")</f>
        <v>0</v>
      </c>
      <c r="K8" s="9" cm="1">
        <f t="array" ref="K8">IF('01_Input_Raw_Products'!J8&lt;&gt;"",'01_Input_Raw_Products'!J8,IFERROR(_xlfn.XLOOKUP('01_Input_Raw_Products'!F8,'10_Master_Gem_Types'!A:A,'10_Master_Gem_Types'!E:E),""))</f>
        <v>0</v>
      </c>
      <c r="L8" s="9">
        <f>'01_Input_Raw_Products'!P8</f>
        <v>0</v>
      </c>
      <c r="M8" s="9" cm="1">
        <f t="array" ref="M8">IFERROR(_xlfn.XLOOKUP('01_Input_Raw_Products'!K8,'12_Color_Mapping'!A:A,'12_Color_Mapping'!B:B),IFERROR(_xlfn.XLOOKUP('01_Input_Raw_Products'!F8,'10_Master_Gem_Types'!A:A,'10_Master_Gem_Types'!F:F),""))</f>
        <v>0</v>
      </c>
      <c r="N8" s="9">
        <f>IF(C8="","",IF('01_Input_Raw_Products'!F8&lt;&gt;"",'01_Input_Raw_Products'!F8,'01_Input_Raw_Products'!D8))</f>
        <v>0</v>
      </c>
      <c r="O8" s="9">
        <f>IF(C8="","","Catalog Automation")</f>
        <v>0</v>
      </c>
      <c r="P8" s="9">
        <f>'01_Input_Raw_Products'!U8</f>
        <v>0</v>
      </c>
      <c r="Q8" s="7">
        <f>IF('01_Input_Raw_Products'!O8&lt;&gt;"",'01_Input_Raw_Products'!O8,IF('01_Input_Raw_Products'!N8&lt;&gt;"",'01_Input_Raw_Products'!N8*1.1,""))</f>
        <v>0</v>
      </c>
      <c r="R8" s="9">
        <f>'01_Input_Raw_Products'!S8</f>
        <v>0</v>
      </c>
      <c r="S8" s="9" cm="1">
        <f t="array" ref="S8">IFERROR(_xlfn.XLOOKUP('01_Input_Raw_Products'!F8,'10_Master_Gem_Types'!A:A,'10_Master_Gem_Types'!H:H),"")</f>
        <v>0</v>
      </c>
      <c r="T8" s="8">
        <f>'01_Input_Raw_Products'!Q8</f>
        <v>0</v>
      </c>
      <c r="U8" s="8">
        <f>'01_Input_Raw_Products'!R8</f>
        <v>0</v>
      </c>
      <c r="V8" s="7">
        <f>I8</f>
        <v>0</v>
      </c>
      <c r="W8" s="9" cm="1">
        <f t="array" ref="W8">IF('01_Input_Raw_Products'!G8&lt;&gt;"",'01_Input_Raw_Products'!G8,IFERROR(_xlfn.XLOOKUP('01_Input_Raw_Products'!F8,'10_Master_Gem_Types'!A:A,'10_Master_Gem_Types'!L:L),""))</f>
        <v>0</v>
      </c>
      <c r="X8" s="9" cm="1">
        <f t="array" ref="X8">IFERROR(_xlfn.XLOOKUP('01_Input_Raw_Products'!F8,'10_Master_Gem_Types'!A:A,'10_Master_Gem_Types'!J:J),"")</f>
        <v>0</v>
      </c>
      <c r="Y8" s="9" cm="1">
        <f t="array" ref="Y8">IFERROR(_xlfn.XLOOKUP('01_Input_Raw_Products'!F8,'10_Master_Gem_Types'!A:A,'10_Master_Gem_Types'!I:I),"")</f>
        <v>0</v>
      </c>
      <c r="Z8" s="9" cm="1">
        <f t="array" ref="Z8">IFERROR(_xlfn.XLOOKUP('01_Input_Raw_Products'!L8,'13_Certification_Stickers'!A:A,'13_Certification_Stickers'!C:C),"")</f>
        <v>0</v>
      </c>
      <c r="AA8" s="9" cm="1">
        <f t="array" ref="AA8">IFERROR(_xlfn.XLOOKUP('01_Input_Raw_Products'!S8,'14_Shipping_Rules'!A:A,'14_Shipping_Rules'!B:B),"")</f>
        <v>0</v>
      </c>
      <c r="AB8" s="9" cm="1">
        <f t="array" ref="AB8">IFERROR(_xlfn.XLOOKUP('01_Input_Raw_Products'!D8,'16_Astro_Flags'!A:A,'16_Astro_Flags'!B:B),"")</f>
        <v>0</v>
      </c>
      <c r="AC8" s="9">
        <f>IF(C8="","","Catalog, Search")</f>
        <v>0</v>
      </c>
      <c r="AD8" s="9">
        <f>IF(C8="","",IF(OR(F8="",J8="",M8="",S8="",Y8=""),"Manual Review","Ready"))</f>
        <v>0</v>
      </c>
      <c r="AE8" s="9">
        <f>IF(C8="","",TEXTJOIN("; ",TRUE,IF(F8="","Missing url_key",""),IF(J8="","Missing classification",""),IF(M8="","Missing j_colour",""),IF(S8="","Missing hsn_code",""),IF(Y8="","Missing tax_class_id","")))</f>
        <v>0</v>
      </c>
    </row>
    <row r="9" spans="1:31">
      <c r="A9" s="9">
        <f>IF('01_Input_Raw_Products'!B9&lt;&gt;"",20,"")</f>
        <v>0</v>
      </c>
      <c r="B9" s="9" cm="1">
        <f t="array" ref="B9">IF('01_Input_Raw_Products'!M9&lt;&gt;"",'01_Input_Raw_Products'!M9,IFERROR(_xlfn.XLOOKUP('01_Input_Raw_Products'!F9,'10_Master_Gem_Types'!A:A,'10_Master_Gem_Types'!K:K),""))</f>
        <v>0</v>
      </c>
      <c r="C9" s="9">
        <f>'01_Input_Raw_Products'!B9</f>
        <v>0</v>
      </c>
      <c r="D9" s="9">
        <f>IF(C9="","",TEXT(I9,"0.00")&amp;" Ct "&amp;IF('01_Input_Raw_Products'!F9&lt;&gt;"",'01_Input_Raw_Products'!F9,'01_Input_Raw_Products'!D9)&amp;" "&amp;'01_Input_Raw_Products'!I9)</f>
        <v>0</v>
      </c>
      <c r="E9" s="9">
        <f>IF(C9="","",D9&amp;" | GemPundit")</f>
        <v>0</v>
      </c>
      <c r="F9" s="9" cm="1">
        <f t="array" ref="F9">IF('01_Input_Raw_Products'!X9&lt;&gt;"",'01_Input_Raw_Products'!X9,IFERROR(_xlfn.XLOOKUP('01_Input_Raw_Products'!F9,'10_Master_Gem_Types'!A:A,'10_Master_Gem_Types'!O:O),LOWER(SUBSTITUTE(IF('01_Input_Raw_Products'!F9&lt;&gt;"",'01_Input_Raw_Products'!F9,'01_Input_Raw_Products'!D9)," ","-"))))</f>
        <v>0</v>
      </c>
      <c r="G9" s="9">
        <f>'01_Input_Raw_Products'!C9</f>
        <v>0</v>
      </c>
      <c r="H9" s="9" cm="1">
        <f t="array" ref="H9">IF('01_Input_Raw_Products'!H9&lt;&gt;"",'01_Input_Raw_Products'!H9,IFERROR(_xlfn.XLOOKUP('01_Input_Raw_Products'!F9,'10_Master_Gem_Types'!A:A,'10_Master_Gem_Types'!D:D),""))</f>
        <v>0</v>
      </c>
      <c r="I9" s="7">
        <f>IF('01_Input_Raw_Products'!N9&lt;&gt;"",'01_Input_Raw_Products'!N9,IF('01_Input_Raw_Products'!O9&lt;&gt;"",'01_Input_Raw_Products'!O9*0.91,""))</f>
        <v>0</v>
      </c>
      <c r="J9" s="9" cm="1">
        <f t="array" ref="J9">IFERROR(_xlfn.XLOOKUP('01_Input_Raw_Products'!F9,'10_Master_Gem_Types'!A:A,'10_Master_Gem_Types'!N:N),"")</f>
        <v>0</v>
      </c>
      <c r="K9" s="9" cm="1">
        <f t="array" ref="K9">IF('01_Input_Raw_Products'!J9&lt;&gt;"",'01_Input_Raw_Products'!J9,IFERROR(_xlfn.XLOOKUP('01_Input_Raw_Products'!F9,'10_Master_Gem_Types'!A:A,'10_Master_Gem_Types'!E:E),""))</f>
        <v>0</v>
      </c>
      <c r="L9" s="9">
        <f>'01_Input_Raw_Products'!P9</f>
        <v>0</v>
      </c>
      <c r="M9" s="9" cm="1">
        <f t="array" ref="M9">IFERROR(_xlfn.XLOOKUP('01_Input_Raw_Products'!K9,'12_Color_Mapping'!A:A,'12_Color_Mapping'!B:B),IFERROR(_xlfn.XLOOKUP('01_Input_Raw_Products'!F9,'10_Master_Gem_Types'!A:A,'10_Master_Gem_Types'!F:F),""))</f>
        <v>0</v>
      </c>
      <c r="N9" s="9">
        <f>IF(C9="","",IF('01_Input_Raw_Products'!F9&lt;&gt;"",'01_Input_Raw_Products'!F9,'01_Input_Raw_Products'!D9))</f>
        <v>0</v>
      </c>
      <c r="O9" s="9">
        <f>IF(C9="","","Catalog Automation")</f>
        <v>0</v>
      </c>
      <c r="P9" s="9">
        <f>'01_Input_Raw_Products'!U9</f>
        <v>0</v>
      </c>
      <c r="Q9" s="7">
        <f>IF('01_Input_Raw_Products'!O9&lt;&gt;"",'01_Input_Raw_Products'!O9,IF('01_Input_Raw_Products'!N9&lt;&gt;"",'01_Input_Raw_Products'!N9*1.1,""))</f>
        <v>0</v>
      </c>
      <c r="R9" s="9">
        <f>'01_Input_Raw_Products'!S9</f>
        <v>0</v>
      </c>
      <c r="S9" s="9" cm="1">
        <f t="array" ref="S9">IFERROR(_xlfn.XLOOKUP('01_Input_Raw_Products'!F9,'10_Master_Gem_Types'!A:A,'10_Master_Gem_Types'!H:H),"")</f>
        <v>0</v>
      </c>
      <c r="T9" s="8">
        <f>'01_Input_Raw_Products'!Q9</f>
        <v>0</v>
      </c>
      <c r="U9" s="8">
        <f>'01_Input_Raw_Products'!R9</f>
        <v>0</v>
      </c>
      <c r="V9" s="7">
        <f>I9</f>
        <v>0</v>
      </c>
      <c r="W9" s="9" cm="1">
        <f t="array" ref="W9">IF('01_Input_Raw_Products'!G9&lt;&gt;"",'01_Input_Raw_Products'!G9,IFERROR(_xlfn.XLOOKUP('01_Input_Raw_Products'!F9,'10_Master_Gem_Types'!A:A,'10_Master_Gem_Types'!L:L),""))</f>
        <v>0</v>
      </c>
      <c r="X9" s="9" cm="1">
        <f t="array" ref="X9">IFERROR(_xlfn.XLOOKUP('01_Input_Raw_Products'!F9,'10_Master_Gem_Types'!A:A,'10_Master_Gem_Types'!J:J),"")</f>
        <v>0</v>
      </c>
      <c r="Y9" s="9" cm="1">
        <f t="array" ref="Y9">IFERROR(_xlfn.XLOOKUP('01_Input_Raw_Products'!F9,'10_Master_Gem_Types'!A:A,'10_Master_Gem_Types'!I:I),"")</f>
        <v>0</v>
      </c>
      <c r="Z9" s="9" cm="1">
        <f t="array" ref="Z9">IFERROR(_xlfn.XLOOKUP('01_Input_Raw_Products'!L9,'13_Certification_Stickers'!A:A,'13_Certification_Stickers'!C:C),"")</f>
        <v>0</v>
      </c>
      <c r="AA9" s="9" cm="1">
        <f t="array" ref="AA9">IFERROR(_xlfn.XLOOKUP('01_Input_Raw_Products'!S9,'14_Shipping_Rules'!A:A,'14_Shipping_Rules'!B:B),"")</f>
        <v>0</v>
      </c>
      <c r="AB9" s="9" cm="1">
        <f t="array" ref="AB9">IFERROR(_xlfn.XLOOKUP('01_Input_Raw_Products'!D9,'16_Astro_Flags'!A:A,'16_Astro_Flags'!B:B),"")</f>
        <v>0</v>
      </c>
      <c r="AC9" s="9">
        <f>IF(C9="","","Catalog, Search")</f>
        <v>0</v>
      </c>
      <c r="AD9" s="9">
        <f>IF(C9="","",IF(OR(F9="",J9="",M9="",S9="",Y9=""),"Manual Review","Ready"))</f>
        <v>0</v>
      </c>
      <c r="AE9" s="9">
        <f>IF(C9="","",TEXTJOIN("; ",TRUE,IF(F9="","Missing url_key",""),IF(J9="","Missing classification",""),IF(M9="","Missing j_colour",""),IF(S9="","Missing hsn_code",""),IF(Y9="","Missing tax_class_id","")))</f>
        <v>0</v>
      </c>
    </row>
    <row r="10" spans="1:31">
      <c r="A10" s="9">
        <f>IF('01_Input_Raw_Products'!B10&lt;&gt;"",20,"")</f>
        <v>0</v>
      </c>
      <c r="B10" s="9" cm="1">
        <f t="array" ref="B10">IF('01_Input_Raw_Products'!M10&lt;&gt;"",'01_Input_Raw_Products'!M10,IFERROR(_xlfn.XLOOKUP('01_Input_Raw_Products'!F10,'10_Master_Gem_Types'!A:A,'10_Master_Gem_Types'!K:K),""))</f>
        <v>0</v>
      </c>
      <c r="C10" s="9">
        <f>'01_Input_Raw_Products'!B10</f>
        <v>0</v>
      </c>
      <c r="D10" s="9">
        <f>IF(C10="","",TEXT(I10,"0.00")&amp;" Ct "&amp;IF('01_Input_Raw_Products'!F10&lt;&gt;"",'01_Input_Raw_Products'!F10,'01_Input_Raw_Products'!D10)&amp;" "&amp;'01_Input_Raw_Products'!I10)</f>
        <v>0</v>
      </c>
      <c r="E10" s="9">
        <f>IF(C10="","",D10&amp;" | GemPundit")</f>
        <v>0</v>
      </c>
      <c r="F10" s="9" cm="1">
        <f t="array" ref="F10">IF('01_Input_Raw_Products'!X10&lt;&gt;"",'01_Input_Raw_Products'!X10,IFERROR(_xlfn.XLOOKUP('01_Input_Raw_Products'!F10,'10_Master_Gem_Types'!A:A,'10_Master_Gem_Types'!O:O),LOWER(SUBSTITUTE(IF('01_Input_Raw_Products'!F10&lt;&gt;"",'01_Input_Raw_Products'!F10,'01_Input_Raw_Products'!D10)," ","-"))))</f>
        <v>0</v>
      </c>
      <c r="G10" s="9">
        <f>'01_Input_Raw_Products'!C10</f>
        <v>0</v>
      </c>
      <c r="H10" s="9" cm="1">
        <f t="array" ref="H10">IF('01_Input_Raw_Products'!H10&lt;&gt;"",'01_Input_Raw_Products'!H10,IFERROR(_xlfn.XLOOKUP('01_Input_Raw_Products'!F10,'10_Master_Gem_Types'!A:A,'10_Master_Gem_Types'!D:D),""))</f>
        <v>0</v>
      </c>
      <c r="I10" s="7">
        <f>IF('01_Input_Raw_Products'!N10&lt;&gt;"",'01_Input_Raw_Products'!N10,IF('01_Input_Raw_Products'!O10&lt;&gt;"",'01_Input_Raw_Products'!O10*0.91,""))</f>
        <v>0</v>
      </c>
      <c r="J10" s="9" cm="1">
        <f t="array" ref="J10">IFERROR(_xlfn.XLOOKUP('01_Input_Raw_Products'!F10,'10_Master_Gem_Types'!A:A,'10_Master_Gem_Types'!N:N),"")</f>
        <v>0</v>
      </c>
      <c r="K10" s="9" cm="1">
        <f t="array" ref="K10">IF('01_Input_Raw_Products'!J10&lt;&gt;"",'01_Input_Raw_Products'!J10,IFERROR(_xlfn.XLOOKUP('01_Input_Raw_Products'!F10,'10_Master_Gem_Types'!A:A,'10_Master_Gem_Types'!E:E),""))</f>
        <v>0</v>
      </c>
      <c r="L10" s="9">
        <f>'01_Input_Raw_Products'!P10</f>
        <v>0</v>
      </c>
      <c r="M10" s="9" cm="1">
        <f t="array" ref="M10">IFERROR(_xlfn.XLOOKUP('01_Input_Raw_Products'!K10,'12_Color_Mapping'!A:A,'12_Color_Mapping'!B:B),IFERROR(_xlfn.XLOOKUP('01_Input_Raw_Products'!F10,'10_Master_Gem_Types'!A:A,'10_Master_Gem_Types'!F:F),""))</f>
        <v>0</v>
      </c>
      <c r="N10" s="9">
        <f>IF(C10="","",IF('01_Input_Raw_Products'!F10&lt;&gt;"",'01_Input_Raw_Products'!F10,'01_Input_Raw_Products'!D10))</f>
        <v>0</v>
      </c>
      <c r="O10" s="9">
        <f>IF(C10="","","Catalog Automation")</f>
        <v>0</v>
      </c>
      <c r="P10" s="9">
        <f>'01_Input_Raw_Products'!U10</f>
        <v>0</v>
      </c>
      <c r="Q10" s="7">
        <f>IF('01_Input_Raw_Products'!O10&lt;&gt;"",'01_Input_Raw_Products'!O10,IF('01_Input_Raw_Products'!N10&lt;&gt;"",'01_Input_Raw_Products'!N10*1.1,""))</f>
        <v>0</v>
      </c>
      <c r="R10" s="9">
        <f>'01_Input_Raw_Products'!S10</f>
        <v>0</v>
      </c>
      <c r="S10" s="9" cm="1">
        <f t="array" ref="S10">IFERROR(_xlfn.XLOOKUP('01_Input_Raw_Products'!F10,'10_Master_Gem_Types'!A:A,'10_Master_Gem_Types'!H:H),"")</f>
        <v>0</v>
      </c>
      <c r="T10" s="8">
        <f>'01_Input_Raw_Products'!Q10</f>
        <v>0</v>
      </c>
      <c r="U10" s="8">
        <f>'01_Input_Raw_Products'!R10</f>
        <v>0</v>
      </c>
      <c r="V10" s="7">
        <f>I10</f>
        <v>0</v>
      </c>
      <c r="W10" s="9" cm="1">
        <f t="array" ref="W10">IF('01_Input_Raw_Products'!G10&lt;&gt;"",'01_Input_Raw_Products'!G10,IFERROR(_xlfn.XLOOKUP('01_Input_Raw_Products'!F10,'10_Master_Gem_Types'!A:A,'10_Master_Gem_Types'!L:L),""))</f>
        <v>0</v>
      </c>
      <c r="X10" s="9" cm="1">
        <f t="array" ref="X10">IFERROR(_xlfn.XLOOKUP('01_Input_Raw_Products'!F10,'10_Master_Gem_Types'!A:A,'10_Master_Gem_Types'!J:J),"")</f>
        <v>0</v>
      </c>
      <c r="Y10" s="9" cm="1">
        <f t="array" ref="Y10">IFERROR(_xlfn.XLOOKUP('01_Input_Raw_Products'!F10,'10_Master_Gem_Types'!A:A,'10_Master_Gem_Types'!I:I),"")</f>
        <v>0</v>
      </c>
      <c r="Z10" s="9" cm="1">
        <f t="array" ref="Z10">IFERROR(_xlfn.XLOOKUP('01_Input_Raw_Products'!L10,'13_Certification_Stickers'!A:A,'13_Certification_Stickers'!C:C),"")</f>
        <v>0</v>
      </c>
      <c r="AA10" s="9" cm="1">
        <f t="array" ref="AA10">IFERROR(_xlfn.XLOOKUP('01_Input_Raw_Products'!S10,'14_Shipping_Rules'!A:A,'14_Shipping_Rules'!B:B),"")</f>
        <v>0</v>
      </c>
      <c r="AB10" s="9" cm="1">
        <f t="array" ref="AB10">IFERROR(_xlfn.XLOOKUP('01_Input_Raw_Products'!D10,'16_Astro_Flags'!A:A,'16_Astro_Flags'!B:B),"")</f>
        <v>0</v>
      </c>
      <c r="AC10" s="9">
        <f>IF(C10="","","Catalog, Search")</f>
        <v>0</v>
      </c>
      <c r="AD10" s="9">
        <f>IF(C10="","",IF(OR(F10="",J10="",M10="",S10="",Y10=""),"Manual Review","Ready"))</f>
        <v>0</v>
      </c>
      <c r="AE10" s="9">
        <f>IF(C10="","",TEXTJOIN("; ",TRUE,IF(F10="","Missing url_key",""),IF(J10="","Missing classification",""),IF(M10="","Missing j_colour",""),IF(S10="","Missing hsn_code",""),IF(Y10="","Missing tax_class_id","")))</f>
        <v>0</v>
      </c>
    </row>
    <row r="11" spans="1:31">
      <c r="A11" s="9">
        <f>IF('01_Input_Raw_Products'!B11&lt;&gt;"",20,"")</f>
        <v>0</v>
      </c>
      <c r="B11" s="9" cm="1">
        <f t="array" ref="B11">IF('01_Input_Raw_Products'!M11&lt;&gt;"",'01_Input_Raw_Products'!M11,IFERROR(_xlfn.XLOOKUP('01_Input_Raw_Products'!F11,'10_Master_Gem_Types'!A:A,'10_Master_Gem_Types'!K:K),""))</f>
        <v>0</v>
      </c>
      <c r="C11" s="9">
        <f>'01_Input_Raw_Products'!B11</f>
        <v>0</v>
      </c>
      <c r="D11" s="9">
        <f>IF(C11="","",TEXT(I11,"0.00")&amp;" Ct "&amp;IF('01_Input_Raw_Products'!F11&lt;&gt;"",'01_Input_Raw_Products'!F11,'01_Input_Raw_Products'!D11)&amp;" "&amp;'01_Input_Raw_Products'!I11)</f>
        <v>0</v>
      </c>
      <c r="E11" s="9">
        <f>IF(C11="","",D11&amp;" | GemPundit")</f>
        <v>0</v>
      </c>
      <c r="F11" s="9" cm="1">
        <f t="array" ref="F11">IF('01_Input_Raw_Products'!X11&lt;&gt;"",'01_Input_Raw_Products'!X11,IFERROR(_xlfn.XLOOKUP('01_Input_Raw_Products'!F11,'10_Master_Gem_Types'!A:A,'10_Master_Gem_Types'!O:O),LOWER(SUBSTITUTE(IF('01_Input_Raw_Products'!F11&lt;&gt;"",'01_Input_Raw_Products'!F11,'01_Input_Raw_Products'!D11)," ","-"))))</f>
        <v>0</v>
      </c>
      <c r="G11" s="9">
        <f>'01_Input_Raw_Products'!C11</f>
        <v>0</v>
      </c>
      <c r="H11" s="9" cm="1">
        <f t="array" ref="H11">IF('01_Input_Raw_Products'!H11&lt;&gt;"",'01_Input_Raw_Products'!H11,IFERROR(_xlfn.XLOOKUP('01_Input_Raw_Products'!F11,'10_Master_Gem_Types'!A:A,'10_Master_Gem_Types'!D:D),""))</f>
        <v>0</v>
      </c>
      <c r="I11" s="7">
        <f>IF('01_Input_Raw_Products'!N11&lt;&gt;"",'01_Input_Raw_Products'!N11,IF('01_Input_Raw_Products'!O11&lt;&gt;"",'01_Input_Raw_Products'!O11*0.91,""))</f>
        <v>0</v>
      </c>
      <c r="J11" s="9" cm="1">
        <f t="array" ref="J11">IFERROR(_xlfn.XLOOKUP('01_Input_Raw_Products'!F11,'10_Master_Gem_Types'!A:A,'10_Master_Gem_Types'!N:N),"")</f>
        <v>0</v>
      </c>
      <c r="K11" s="9" cm="1">
        <f t="array" ref="K11">IF('01_Input_Raw_Products'!J11&lt;&gt;"",'01_Input_Raw_Products'!J11,IFERROR(_xlfn.XLOOKUP('01_Input_Raw_Products'!F11,'10_Master_Gem_Types'!A:A,'10_Master_Gem_Types'!E:E),""))</f>
        <v>0</v>
      </c>
      <c r="L11" s="9">
        <f>'01_Input_Raw_Products'!P11</f>
        <v>0</v>
      </c>
      <c r="M11" s="9" cm="1">
        <f t="array" ref="M11">IFERROR(_xlfn.XLOOKUP('01_Input_Raw_Products'!K11,'12_Color_Mapping'!A:A,'12_Color_Mapping'!B:B),IFERROR(_xlfn.XLOOKUP('01_Input_Raw_Products'!F11,'10_Master_Gem_Types'!A:A,'10_Master_Gem_Types'!F:F),""))</f>
        <v>0</v>
      </c>
      <c r="N11" s="9">
        <f>IF(C11="","",IF('01_Input_Raw_Products'!F11&lt;&gt;"",'01_Input_Raw_Products'!F11,'01_Input_Raw_Products'!D11))</f>
        <v>0</v>
      </c>
      <c r="O11" s="9">
        <f>IF(C11="","","Catalog Automation")</f>
        <v>0</v>
      </c>
      <c r="P11" s="9">
        <f>'01_Input_Raw_Products'!U11</f>
        <v>0</v>
      </c>
      <c r="Q11" s="7">
        <f>IF('01_Input_Raw_Products'!O11&lt;&gt;"",'01_Input_Raw_Products'!O11,IF('01_Input_Raw_Products'!N11&lt;&gt;"",'01_Input_Raw_Products'!N11*1.1,""))</f>
        <v>0</v>
      </c>
      <c r="R11" s="9">
        <f>'01_Input_Raw_Products'!S11</f>
        <v>0</v>
      </c>
      <c r="S11" s="9" cm="1">
        <f t="array" ref="S11">IFERROR(_xlfn.XLOOKUP('01_Input_Raw_Products'!F11,'10_Master_Gem_Types'!A:A,'10_Master_Gem_Types'!H:H),"")</f>
        <v>0</v>
      </c>
      <c r="T11" s="8">
        <f>'01_Input_Raw_Products'!Q11</f>
        <v>0</v>
      </c>
      <c r="U11" s="8">
        <f>'01_Input_Raw_Products'!R11</f>
        <v>0</v>
      </c>
      <c r="V11" s="7">
        <f>I11</f>
        <v>0</v>
      </c>
      <c r="W11" s="9" cm="1">
        <f t="array" ref="W11">IF('01_Input_Raw_Products'!G11&lt;&gt;"",'01_Input_Raw_Products'!G11,IFERROR(_xlfn.XLOOKUP('01_Input_Raw_Products'!F11,'10_Master_Gem_Types'!A:A,'10_Master_Gem_Types'!L:L),""))</f>
        <v>0</v>
      </c>
      <c r="X11" s="9" cm="1">
        <f t="array" ref="X11">IFERROR(_xlfn.XLOOKUP('01_Input_Raw_Products'!F11,'10_Master_Gem_Types'!A:A,'10_Master_Gem_Types'!J:J),"")</f>
        <v>0</v>
      </c>
      <c r="Y11" s="9" cm="1">
        <f t="array" ref="Y11">IFERROR(_xlfn.XLOOKUP('01_Input_Raw_Products'!F11,'10_Master_Gem_Types'!A:A,'10_Master_Gem_Types'!I:I),"")</f>
        <v>0</v>
      </c>
      <c r="Z11" s="9" cm="1">
        <f t="array" ref="Z11">IFERROR(_xlfn.XLOOKUP('01_Input_Raw_Products'!L11,'13_Certification_Stickers'!A:A,'13_Certification_Stickers'!C:C),"")</f>
        <v>0</v>
      </c>
      <c r="AA11" s="9" cm="1">
        <f t="array" ref="AA11">IFERROR(_xlfn.XLOOKUP('01_Input_Raw_Products'!S11,'14_Shipping_Rules'!A:A,'14_Shipping_Rules'!B:B),"")</f>
        <v>0</v>
      </c>
      <c r="AB11" s="9" cm="1">
        <f t="array" ref="AB11">IFERROR(_xlfn.XLOOKUP('01_Input_Raw_Products'!D11,'16_Astro_Flags'!A:A,'16_Astro_Flags'!B:B),"")</f>
        <v>0</v>
      </c>
      <c r="AC11" s="9">
        <f>IF(C11="","","Catalog, Search")</f>
        <v>0</v>
      </c>
      <c r="AD11" s="9">
        <f>IF(C11="","",IF(OR(F11="",J11="",M11="",S11="",Y11=""),"Manual Review","Ready"))</f>
        <v>0</v>
      </c>
      <c r="AE11" s="9">
        <f>IF(C11="","",TEXTJOIN("; ",TRUE,IF(F11="","Missing url_key",""),IF(J11="","Missing classification",""),IF(M11="","Missing j_colour",""),IF(S11="","Missing hsn_code",""),IF(Y11="","Missing tax_class_id","")))</f>
        <v>0</v>
      </c>
    </row>
    <row r="12" spans="1:31">
      <c r="A12" s="9">
        <f>IF('01_Input_Raw_Products'!B12&lt;&gt;"",20,"")</f>
        <v>0</v>
      </c>
      <c r="B12" s="9" cm="1">
        <f t="array" ref="B12">IF('01_Input_Raw_Products'!M12&lt;&gt;"",'01_Input_Raw_Products'!M12,IFERROR(_xlfn.XLOOKUP('01_Input_Raw_Products'!F12,'10_Master_Gem_Types'!A:A,'10_Master_Gem_Types'!K:K),""))</f>
        <v>0</v>
      </c>
      <c r="C12" s="9">
        <f>'01_Input_Raw_Products'!B12</f>
        <v>0</v>
      </c>
      <c r="D12" s="9">
        <f>IF(C12="","",TEXT(I12,"0.00")&amp;" Ct "&amp;IF('01_Input_Raw_Products'!F12&lt;&gt;"",'01_Input_Raw_Products'!F12,'01_Input_Raw_Products'!D12)&amp;" "&amp;'01_Input_Raw_Products'!I12)</f>
        <v>0</v>
      </c>
      <c r="E12" s="9">
        <f>IF(C12="","",D12&amp;" | GemPundit")</f>
        <v>0</v>
      </c>
      <c r="F12" s="9" cm="1">
        <f t="array" ref="F12">IF('01_Input_Raw_Products'!X12&lt;&gt;"",'01_Input_Raw_Products'!X12,IFERROR(_xlfn.XLOOKUP('01_Input_Raw_Products'!F12,'10_Master_Gem_Types'!A:A,'10_Master_Gem_Types'!O:O),LOWER(SUBSTITUTE(IF('01_Input_Raw_Products'!F12&lt;&gt;"",'01_Input_Raw_Products'!F12,'01_Input_Raw_Products'!D12)," ","-"))))</f>
        <v>0</v>
      </c>
      <c r="G12" s="9">
        <f>'01_Input_Raw_Products'!C12</f>
        <v>0</v>
      </c>
      <c r="H12" s="9" cm="1">
        <f t="array" ref="H12">IF('01_Input_Raw_Products'!H12&lt;&gt;"",'01_Input_Raw_Products'!H12,IFERROR(_xlfn.XLOOKUP('01_Input_Raw_Products'!F12,'10_Master_Gem_Types'!A:A,'10_Master_Gem_Types'!D:D),""))</f>
        <v>0</v>
      </c>
      <c r="I12" s="7">
        <f>IF('01_Input_Raw_Products'!N12&lt;&gt;"",'01_Input_Raw_Products'!N12,IF('01_Input_Raw_Products'!O12&lt;&gt;"",'01_Input_Raw_Products'!O12*0.91,""))</f>
        <v>0</v>
      </c>
      <c r="J12" s="9" cm="1">
        <f t="array" ref="J12">IFERROR(_xlfn.XLOOKUP('01_Input_Raw_Products'!F12,'10_Master_Gem_Types'!A:A,'10_Master_Gem_Types'!N:N),"")</f>
        <v>0</v>
      </c>
      <c r="K12" s="9" cm="1">
        <f t="array" ref="K12">IF('01_Input_Raw_Products'!J12&lt;&gt;"",'01_Input_Raw_Products'!J12,IFERROR(_xlfn.XLOOKUP('01_Input_Raw_Products'!F12,'10_Master_Gem_Types'!A:A,'10_Master_Gem_Types'!E:E),""))</f>
        <v>0</v>
      </c>
      <c r="L12" s="9">
        <f>'01_Input_Raw_Products'!P12</f>
        <v>0</v>
      </c>
      <c r="M12" s="9" cm="1">
        <f t="array" ref="M12">IFERROR(_xlfn.XLOOKUP('01_Input_Raw_Products'!K12,'12_Color_Mapping'!A:A,'12_Color_Mapping'!B:B),IFERROR(_xlfn.XLOOKUP('01_Input_Raw_Products'!F12,'10_Master_Gem_Types'!A:A,'10_Master_Gem_Types'!F:F),""))</f>
        <v>0</v>
      </c>
      <c r="N12" s="9">
        <f>IF(C12="","",IF('01_Input_Raw_Products'!F12&lt;&gt;"",'01_Input_Raw_Products'!F12,'01_Input_Raw_Products'!D12))</f>
        <v>0</v>
      </c>
      <c r="O12" s="9">
        <f>IF(C12="","","Catalog Automation")</f>
        <v>0</v>
      </c>
      <c r="P12" s="9">
        <f>'01_Input_Raw_Products'!U12</f>
        <v>0</v>
      </c>
      <c r="Q12" s="7">
        <f>IF('01_Input_Raw_Products'!O12&lt;&gt;"",'01_Input_Raw_Products'!O12,IF('01_Input_Raw_Products'!N12&lt;&gt;"",'01_Input_Raw_Products'!N12*1.1,""))</f>
        <v>0</v>
      </c>
      <c r="R12" s="9">
        <f>'01_Input_Raw_Products'!S12</f>
        <v>0</v>
      </c>
      <c r="S12" s="9" cm="1">
        <f t="array" ref="S12">IFERROR(_xlfn.XLOOKUP('01_Input_Raw_Products'!F12,'10_Master_Gem_Types'!A:A,'10_Master_Gem_Types'!H:H),"")</f>
        <v>0</v>
      </c>
      <c r="T12" s="8">
        <f>'01_Input_Raw_Products'!Q12</f>
        <v>0</v>
      </c>
      <c r="U12" s="8">
        <f>'01_Input_Raw_Products'!R12</f>
        <v>0</v>
      </c>
      <c r="V12" s="7">
        <f>I12</f>
        <v>0</v>
      </c>
      <c r="W12" s="9" cm="1">
        <f t="array" ref="W12">IF('01_Input_Raw_Products'!G12&lt;&gt;"",'01_Input_Raw_Products'!G12,IFERROR(_xlfn.XLOOKUP('01_Input_Raw_Products'!F12,'10_Master_Gem_Types'!A:A,'10_Master_Gem_Types'!L:L),""))</f>
        <v>0</v>
      </c>
      <c r="X12" s="9" cm="1">
        <f t="array" ref="X12">IFERROR(_xlfn.XLOOKUP('01_Input_Raw_Products'!F12,'10_Master_Gem_Types'!A:A,'10_Master_Gem_Types'!J:J),"")</f>
        <v>0</v>
      </c>
      <c r="Y12" s="9" cm="1">
        <f t="array" ref="Y12">IFERROR(_xlfn.XLOOKUP('01_Input_Raw_Products'!F12,'10_Master_Gem_Types'!A:A,'10_Master_Gem_Types'!I:I),"")</f>
        <v>0</v>
      </c>
      <c r="Z12" s="9" cm="1">
        <f t="array" ref="Z12">IFERROR(_xlfn.XLOOKUP('01_Input_Raw_Products'!L12,'13_Certification_Stickers'!A:A,'13_Certification_Stickers'!C:C),"")</f>
        <v>0</v>
      </c>
      <c r="AA12" s="9" cm="1">
        <f t="array" ref="AA12">IFERROR(_xlfn.XLOOKUP('01_Input_Raw_Products'!S12,'14_Shipping_Rules'!A:A,'14_Shipping_Rules'!B:B),"")</f>
        <v>0</v>
      </c>
      <c r="AB12" s="9" cm="1">
        <f t="array" ref="AB12">IFERROR(_xlfn.XLOOKUP('01_Input_Raw_Products'!D12,'16_Astro_Flags'!A:A,'16_Astro_Flags'!B:B),"")</f>
        <v>0</v>
      </c>
      <c r="AC12" s="9">
        <f>IF(C12="","","Catalog, Search")</f>
        <v>0</v>
      </c>
      <c r="AD12" s="9">
        <f>IF(C12="","",IF(OR(F12="",J12="",M12="",S12="",Y12=""),"Manual Review","Ready"))</f>
        <v>0</v>
      </c>
      <c r="AE12" s="9">
        <f>IF(C12="","",TEXTJOIN("; ",TRUE,IF(F12="","Missing url_key",""),IF(J12="","Missing classification",""),IF(M12="","Missing j_colour",""),IF(S12="","Missing hsn_code",""),IF(Y12="","Missing tax_class_id","")))</f>
        <v>0</v>
      </c>
    </row>
    <row r="13" spans="1:31">
      <c r="A13" s="9">
        <f>IF('01_Input_Raw_Products'!B13&lt;&gt;"",20,"")</f>
        <v>0</v>
      </c>
      <c r="B13" s="9" cm="1">
        <f t="array" ref="B13">IF('01_Input_Raw_Products'!M13&lt;&gt;"",'01_Input_Raw_Products'!M13,IFERROR(_xlfn.XLOOKUP('01_Input_Raw_Products'!F13,'10_Master_Gem_Types'!A:A,'10_Master_Gem_Types'!K:K),""))</f>
        <v>0</v>
      </c>
      <c r="C13" s="9">
        <f>'01_Input_Raw_Products'!B13</f>
        <v>0</v>
      </c>
      <c r="D13" s="9">
        <f>IF(C13="","",TEXT(I13,"0.00")&amp;" Ct "&amp;IF('01_Input_Raw_Products'!F13&lt;&gt;"",'01_Input_Raw_Products'!F13,'01_Input_Raw_Products'!D13)&amp;" "&amp;'01_Input_Raw_Products'!I13)</f>
        <v>0</v>
      </c>
      <c r="E13" s="9">
        <f>IF(C13="","",D13&amp;" | GemPundit")</f>
        <v>0</v>
      </c>
      <c r="F13" s="9" cm="1">
        <f t="array" ref="F13">IF('01_Input_Raw_Products'!X13&lt;&gt;"",'01_Input_Raw_Products'!X13,IFERROR(_xlfn.XLOOKUP('01_Input_Raw_Products'!F13,'10_Master_Gem_Types'!A:A,'10_Master_Gem_Types'!O:O),LOWER(SUBSTITUTE(IF('01_Input_Raw_Products'!F13&lt;&gt;"",'01_Input_Raw_Products'!F13,'01_Input_Raw_Products'!D13)," ","-"))))</f>
        <v>0</v>
      </c>
      <c r="G13" s="9">
        <f>'01_Input_Raw_Products'!C13</f>
        <v>0</v>
      </c>
      <c r="H13" s="9" cm="1">
        <f t="array" ref="H13">IF('01_Input_Raw_Products'!H13&lt;&gt;"",'01_Input_Raw_Products'!H13,IFERROR(_xlfn.XLOOKUP('01_Input_Raw_Products'!F13,'10_Master_Gem_Types'!A:A,'10_Master_Gem_Types'!D:D),""))</f>
        <v>0</v>
      </c>
      <c r="I13" s="7">
        <f>IF('01_Input_Raw_Products'!N13&lt;&gt;"",'01_Input_Raw_Products'!N13,IF('01_Input_Raw_Products'!O13&lt;&gt;"",'01_Input_Raw_Products'!O13*0.91,""))</f>
        <v>0</v>
      </c>
      <c r="J13" s="9" cm="1">
        <f t="array" ref="J13">IFERROR(_xlfn.XLOOKUP('01_Input_Raw_Products'!F13,'10_Master_Gem_Types'!A:A,'10_Master_Gem_Types'!N:N),"")</f>
        <v>0</v>
      </c>
      <c r="K13" s="9" cm="1">
        <f t="array" ref="K13">IF('01_Input_Raw_Products'!J13&lt;&gt;"",'01_Input_Raw_Products'!J13,IFERROR(_xlfn.XLOOKUP('01_Input_Raw_Products'!F13,'10_Master_Gem_Types'!A:A,'10_Master_Gem_Types'!E:E),""))</f>
        <v>0</v>
      </c>
      <c r="L13" s="9">
        <f>'01_Input_Raw_Products'!P13</f>
        <v>0</v>
      </c>
      <c r="M13" s="9" cm="1">
        <f t="array" ref="M13">IFERROR(_xlfn.XLOOKUP('01_Input_Raw_Products'!K13,'12_Color_Mapping'!A:A,'12_Color_Mapping'!B:B),IFERROR(_xlfn.XLOOKUP('01_Input_Raw_Products'!F13,'10_Master_Gem_Types'!A:A,'10_Master_Gem_Types'!F:F),""))</f>
        <v>0</v>
      </c>
      <c r="N13" s="9">
        <f>IF(C13="","",IF('01_Input_Raw_Products'!F13&lt;&gt;"",'01_Input_Raw_Products'!F13,'01_Input_Raw_Products'!D13))</f>
        <v>0</v>
      </c>
      <c r="O13" s="9">
        <f>IF(C13="","","Catalog Automation")</f>
        <v>0</v>
      </c>
      <c r="P13" s="9">
        <f>'01_Input_Raw_Products'!U13</f>
        <v>0</v>
      </c>
      <c r="Q13" s="7">
        <f>IF('01_Input_Raw_Products'!O13&lt;&gt;"",'01_Input_Raw_Products'!O13,IF('01_Input_Raw_Products'!N13&lt;&gt;"",'01_Input_Raw_Products'!N13*1.1,""))</f>
        <v>0</v>
      </c>
      <c r="R13" s="9">
        <f>'01_Input_Raw_Products'!S13</f>
        <v>0</v>
      </c>
      <c r="S13" s="9" cm="1">
        <f t="array" ref="S13">IFERROR(_xlfn.XLOOKUP('01_Input_Raw_Products'!F13,'10_Master_Gem_Types'!A:A,'10_Master_Gem_Types'!H:H),"")</f>
        <v>0</v>
      </c>
      <c r="T13" s="8">
        <f>'01_Input_Raw_Products'!Q13</f>
        <v>0</v>
      </c>
      <c r="U13" s="8">
        <f>'01_Input_Raw_Products'!R13</f>
        <v>0</v>
      </c>
      <c r="V13" s="7">
        <f>I13</f>
        <v>0</v>
      </c>
      <c r="W13" s="9" cm="1">
        <f t="array" ref="W13">IF('01_Input_Raw_Products'!G13&lt;&gt;"",'01_Input_Raw_Products'!G13,IFERROR(_xlfn.XLOOKUP('01_Input_Raw_Products'!F13,'10_Master_Gem_Types'!A:A,'10_Master_Gem_Types'!L:L),""))</f>
        <v>0</v>
      </c>
      <c r="X13" s="9" cm="1">
        <f t="array" ref="X13">IFERROR(_xlfn.XLOOKUP('01_Input_Raw_Products'!F13,'10_Master_Gem_Types'!A:A,'10_Master_Gem_Types'!J:J),"")</f>
        <v>0</v>
      </c>
      <c r="Y13" s="9" cm="1">
        <f t="array" ref="Y13">IFERROR(_xlfn.XLOOKUP('01_Input_Raw_Products'!F13,'10_Master_Gem_Types'!A:A,'10_Master_Gem_Types'!I:I),"")</f>
        <v>0</v>
      </c>
      <c r="Z13" s="9" cm="1">
        <f t="array" ref="Z13">IFERROR(_xlfn.XLOOKUP('01_Input_Raw_Products'!L13,'13_Certification_Stickers'!A:A,'13_Certification_Stickers'!C:C),"")</f>
        <v>0</v>
      </c>
      <c r="AA13" s="9" cm="1">
        <f t="array" ref="AA13">IFERROR(_xlfn.XLOOKUP('01_Input_Raw_Products'!S13,'14_Shipping_Rules'!A:A,'14_Shipping_Rules'!B:B),"")</f>
        <v>0</v>
      </c>
      <c r="AB13" s="9" cm="1">
        <f t="array" ref="AB13">IFERROR(_xlfn.XLOOKUP('01_Input_Raw_Products'!D13,'16_Astro_Flags'!A:A,'16_Astro_Flags'!B:B),"")</f>
        <v>0</v>
      </c>
      <c r="AC13" s="9">
        <f>IF(C13="","","Catalog, Search")</f>
        <v>0</v>
      </c>
      <c r="AD13" s="9">
        <f>IF(C13="","",IF(OR(F13="",J13="",M13="",S13="",Y13=""),"Manual Review","Ready"))</f>
        <v>0</v>
      </c>
      <c r="AE13" s="9">
        <f>IF(C13="","",TEXTJOIN("; ",TRUE,IF(F13="","Missing url_key",""),IF(J13="","Missing classification",""),IF(M13="","Missing j_colour",""),IF(S13="","Missing hsn_code",""),IF(Y13="","Missing tax_class_id","")))</f>
        <v>0</v>
      </c>
    </row>
    <row r="14" spans="1:31">
      <c r="A14" s="9">
        <f>IF('01_Input_Raw_Products'!B14&lt;&gt;"",20,"")</f>
        <v>0</v>
      </c>
      <c r="B14" s="9" cm="1">
        <f t="array" ref="B14">IF('01_Input_Raw_Products'!M14&lt;&gt;"",'01_Input_Raw_Products'!M14,IFERROR(_xlfn.XLOOKUP('01_Input_Raw_Products'!F14,'10_Master_Gem_Types'!A:A,'10_Master_Gem_Types'!K:K),""))</f>
        <v>0</v>
      </c>
      <c r="C14" s="9">
        <f>'01_Input_Raw_Products'!B14</f>
        <v>0</v>
      </c>
      <c r="D14" s="9">
        <f>IF(C14="","",TEXT(I14,"0.00")&amp;" Ct "&amp;IF('01_Input_Raw_Products'!F14&lt;&gt;"",'01_Input_Raw_Products'!F14,'01_Input_Raw_Products'!D14)&amp;" "&amp;'01_Input_Raw_Products'!I14)</f>
        <v>0</v>
      </c>
      <c r="E14" s="9">
        <f>IF(C14="","",D14&amp;" | GemPundit")</f>
        <v>0</v>
      </c>
      <c r="F14" s="9" cm="1">
        <f t="array" ref="F14">IF('01_Input_Raw_Products'!X14&lt;&gt;"",'01_Input_Raw_Products'!X14,IFERROR(_xlfn.XLOOKUP('01_Input_Raw_Products'!F14,'10_Master_Gem_Types'!A:A,'10_Master_Gem_Types'!O:O),LOWER(SUBSTITUTE(IF('01_Input_Raw_Products'!F14&lt;&gt;"",'01_Input_Raw_Products'!F14,'01_Input_Raw_Products'!D14)," ","-"))))</f>
        <v>0</v>
      </c>
      <c r="G14" s="9">
        <f>'01_Input_Raw_Products'!C14</f>
        <v>0</v>
      </c>
      <c r="H14" s="9" cm="1">
        <f t="array" ref="H14">IF('01_Input_Raw_Products'!H14&lt;&gt;"",'01_Input_Raw_Products'!H14,IFERROR(_xlfn.XLOOKUP('01_Input_Raw_Products'!F14,'10_Master_Gem_Types'!A:A,'10_Master_Gem_Types'!D:D),""))</f>
        <v>0</v>
      </c>
      <c r="I14" s="7">
        <f>IF('01_Input_Raw_Products'!N14&lt;&gt;"",'01_Input_Raw_Products'!N14,IF('01_Input_Raw_Products'!O14&lt;&gt;"",'01_Input_Raw_Products'!O14*0.91,""))</f>
        <v>0</v>
      </c>
      <c r="J14" s="9" cm="1">
        <f t="array" ref="J14">IFERROR(_xlfn.XLOOKUP('01_Input_Raw_Products'!F14,'10_Master_Gem_Types'!A:A,'10_Master_Gem_Types'!N:N),"")</f>
        <v>0</v>
      </c>
      <c r="K14" s="9" cm="1">
        <f t="array" ref="K14">IF('01_Input_Raw_Products'!J14&lt;&gt;"",'01_Input_Raw_Products'!J14,IFERROR(_xlfn.XLOOKUP('01_Input_Raw_Products'!F14,'10_Master_Gem_Types'!A:A,'10_Master_Gem_Types'!E:E),""))</f>
        <v>0</v>
      </c>
      <c r="L14" s="9">
        <f>'01_Input_Raw_Products'!P14</f>
        <v>0</v>
      </c>
      <c r="M14" s="9" cm="1">
        <f t="array" ref="M14">IFERROR(_xlfn.XLOOKUP('01_Input_Raw_Products'!K14,'12_Color_Mapping'!A:A,'12_Color_Mapping'!B:B),IFERROR(_xlfn.XLOOKUP('01_Input_Raw_Products'!F14,'10_Master_Gem_Types'!A:A,'10_Master_Gem_Types'!F:F),""))</f>
        <v>0</v>
      </c>
      <c r="N14" s="9">
        <f>IF(C14="","",IF('01_Input_Raw_Products'!F14&lt;&gt;"",'01_Input_Raw_Products'!F14,'01_Input_Raw_Products'!D14))</f>
        <v>0</v>
      </c>
      <c r="O14" s="9">
        <f>IF(C14="","","Catalog Automation")</f>
        <v>0</v>
      </c>
      <c r="P14" s="9">
        <f>'01_Input_Raw_Products'!U14</f>
        <v>0</v>
      </c>
      <c r="Q14" s="7">
        <f>IF('01_Input_Raw_Products'!O14&lt;&gt;"",'01_Input_Raw_Products'!O14,IF('01_Input_Raw_Products'!N14&lt;&gt;"",'01_Input_Raw_Products'!N14*1.1,""))</f>
        <v>0</v>
      </c>
      <c r="R14" s="9">
        <f>'01_Input_Raw_Products'!S14</f>
        <v>0</v>
      </c>
      <c r="S14" s="9" cm="1">
        <f t="array" ref="S14">IFERROR(_xlfn.XLOOKUP('01_Input_Raw_Products'!F14,'10_Master_Gem_Types'!A:A,'10_Master_Gem_Types'!H:H),"")</f>
        <v>0</v>
      </c>
      <c r="T14" s="8">
        <f>'01_Input_Raw_Products'!Q14</f>
        <v>0</v>
      </c>
      <c r="U14" s="8">
        <f>'01_Input_Raw_Products'!R14</f>
        <v>0</v>
      </c>
      <c r="V14" s="7">
        <f>I14</f>
        <v>0</v>
      </c>
      <c r="W14" s="9" cm="1">
        <f t="array" ref="W14">IF('01_Input_Raw_Products'!G14&lt;&gt;"",'01_Input_Raw_Products'!G14,IFERROR(_xlfn.XLOOKUP('01_Input_Raw_Products'!F14,'10_Master_Gem_Types'!A:A,'10_Master_Gem_Types'!L:L),""))</f>
        <v>0</v>
      </c>
      <c r="X14" s="9" cm="1">
        <f t="array" ref="X14">IFERROR(_xlfn.XLOOKUP('01_Input_Raw_Products'!F14,'10_Master_Gem_Types'!A:A,'10_Master_Gem_Types'!J:J),"")</f>
        <v>0</v>
      </c>
      <c r="Y14" s="9" cm="1">
        <f t="array" ref="Y14">IFERROR(_xlfn.XLOOKUP('01_Input_Raw_Products'!F14,'10_Master_Gem_Types'!A:A,'10_Master_Gem_Types'!I:I),"")</f>
        <v>0</v>
      </c>
      <c r="Z14" s="9" cm="1">
        <f t="array" ref="Z14">IFERROR(_xlfn.XLOOKUP('01_Input_Raw_Products'!L14,'13_Certification_Stickers'!A:A,'13_Certification_Stickers'!C:C),"")</f>
        <v>0</v>
      </c>
      <c r="AA14" s="9" cm="1">
        <f t="array" ref="AA14">IFERROR(_xlfn.XLOOKUP('01_Input_Raw_Products'!S14,'14_Shipping_Rules'!A:A,'14_Shipping_Rules'!B:B),"")</f>
        <v>0</v>
      </c>
      <c r="AB14" s="9" cm="1">
        <f t="array" ref="AB14">IFERROR(_xlfn.XLOOKUP('01_Input_Raw_Products'!D14,'16_Astro_Flags'!A:A,'16_Astro_Flags'!B:B),"")</f>
        <v>0</v>
      </c>
      <c r="AC14" s="9">
        <f>IF(C14="","","Catalog, Search")</f>
        <v>0</v>
      </c>
      <c r="AD14" s="9">
        <f>IF(C14="","",IF(OR(F14="",J14="",M14="",S14="",Y14=""),"Manual Review","Ready"))</f>
        <v>0</v>
      </c>
      <c r="AE14" s="9">
        <f>IF(C14="","",TEXTJOIN("; ",TRUE,IF(F14="","Missing url_key",""),IF(J14="","Missing classification",""),IF(M14="","Missing j_colour",""),IF(S14="","Missing hsn_code",""),IF(Y14="","Missing tax_class_id","")))</f>
        <v>0</v>
      </c>
    </row>
    <row r="15" spans="1:31">
      <c r="A15" s="9">
        <f>IF('01_Input_Raw_Products'!B15&lt;&gt;"",20,"")</f>
        <v>0</v>
      </c>
      <c r="B15" s="9" cm="1">
        <f t="array" ref="B15">IF('01_Input_Raw_Products'!M15&lt;&gt;"",'01_Input_Raw_Products'!M15,IFERROR(_xlfn.XLOOKUP('01_Input_Raw_Products'!F15,'10_Master_Gem_Types'!A:A,'10_Master_Gem_Types'!K:K),""))</f>
        <v>0</v>
      </c>
      <c r="C15" s="9">
        <f>'01_Input_Raw_Products'!B15</f>
        <v>0</v>
      </c>
      <c r="D15" s="9">
        <f>IF(C15="","",TEXT(I15,"0.00")&amp;" Ct "&amp;IF('01_Input_Raw_Products'!F15&lt;&gt;"",'01_Input_Raw_Products'!F15,'01_Input_Raw_Products'!D15)&amp;" "&amp;'01_Input_Raw_Products'!I15)</f>
        <v>0</v>
      </c>
      <c r="E15" s="9">
        <f>IF(C15="","",D15&amp;" | GemPundit")</f>
        <v>0</v>
      </c>
      <c r="F15" s="9" cm="1">
        <f t="array" ref="F15">IF('01_Input_Raw_Products'!X15&lt;&gt;"",'01_Input_Raw_Products'!X15,IFERROR(_xlfn.XLOOKUP('01_Input_Raw_Products'!F15,'10_Master_Gem_Types'!A:A,'10_Master_Gem_Types'!O:O),LOWER(SUBSTITUTE(IF('01_Input_Raw_Products'!F15&lt;&gt;"",'01_Input_Raw_Products'!F15,'01_Input_Raw_Products'!D15)," ","-"))))</f>
        <v>0</v>
      </c>
      <c r="G15" s="9">
        <f>'01_Input_Raw_Products'!C15</f>
        <v>0</v>
      </c>
      <c r="H15" s="9" cm="1">
        <f t="array" ref="H15">IF('01_Input_Raw_Products'!H15&lt;&gt;"",'01_Input_Raw_Products'!H15,IFERROR(_xlfn.XLOOKUP('01_Input_Raw_Products'!F15,'10_Master_Gem_Types'!A:A,'10_Master_Gem_Types'!D:D),""))</f>
        <v>0</v>
      </c>
      <c r="I15" s="7">
        <f>IF('01_Input_Raw_Products'!N15&lt;&gt;"",'01_Input_Raw_Products'!N15,IF('01_Input_Raw_Products'!O15&lt;&gt;"",'01_Input_Raw_Products'!O15*0.91,""))</f>
        <v>0</v>
      </c>
      <c r="J15" s="9" cm="1">
        <f t="array" ref="J15">IFERROR(_xlfn.XLOOKUP('01_Input_Raw_Products'!F15,'10_Master_Gem_Types'!A:A,'10_Master_Gem_Types'!N:N),"")</f>
        <v>0</v>
      </c>
      <c r="K15" s="9" cm="1">
        <f t="array" ref="K15">IF('01_Input_Raw_Products'!J15&lt;&gt;"",'01_Input_Raw_Products'!J15,IFERROR(_xlfn.XLOOKUP('01_Input_Raw_Products'!F15,'10_Master_Gem_Types'!A:A,'10_Master_Gem_Types'!E:E),""))</f>
        <v>0</v>
      </c>
      <c r="L15" s="9">
        <f>'01_Input_Raw_Products'!P15</f>
        <v>0</v>
      </c>
      <c r="M15" s="9" cm="1">
        <f t="array" ref="M15">IFERROR(_xlfn.XLOOKUP('01_Input_Raw_Products'!K15,'12_Color_Mapping'!A:A,'12_Color_Mapping'!B:B),IFERROR(_xlfn.XLOOKUP('01_Input_Raw_Products'!F15,'10_Master_Gem_Types'!A:A,'10_Master_Gem_Types'!F:F),""))</f>
        <v>0</v>
      </c>
      <c r="N15" s="9">
        <f>IF(C15="","",IF('01_Input_Raw_Products'!F15&lt;&gt;"",'01_Input_Raw_Products'!F15,'01_Input_Raw_Products'!D15))</f>
        <v>0</v>
      </c>
      <c r="O15" s="9">
        <f>IF(C15="","","Catalog Automation")</f>
        <v>0</v>
      </c>
      <c r="P15" s="9">
        <f>'01_Input_Raw_Products'!U15</f>
        <v>0</v>
      </c>
      <c r="Q15" s="7">
        <f>IF('01_Input_Raw_Products'!O15&lt;&gt;"",'01_Input_Raw_Products'!O15,IF('01_Input_Raw_Products'!N15&lt;&gt;"",'01_Input_Raw_Products'!N15*1.1,""))</f>
        <v>0</v>
      </c>
      <c r="R15" s="9">
        <f>'01_Input_Raw_Products'!S15</f>
        <v>0</v>
      </c>
      <c r="S15" s="9" cm="1">
        <f t="array" ref="S15">IFERROR(_xlfn.XLOOKUP('01_Input_Raw_Products'!F15,'10_Master_Gem_Types'!A:A,'10_Master_Gem_Types'!H:H),"")</f>
        <v>0</v>
      </c>
      <c r="T15" s="8">
        <f>'01_Input_Raw_Products'!Q15</f>
        <v>0</v>
      </c>
      <c r="U15" s="8">
        <f>'01_Input_Raw_Products'!R15</f>
        <v>0</v>
      </c>
      <c r="V15" s="7">
        <f>I15</f>
        <v>0</v>
      </c>
      <c r="W15" s="9" cm="1">
        <f t="array" ref="W15">IF('01_Input_Raw_Products'!G15&lt;&gt;"",'01_Input_Raw_Products'!G15,IFERROR(_xlfn.XLOOKUP('01_Input_Raw_Products'!F15,'10_Master_Gem_Types'!A:A,'10_Master_Gem_Types'!L:L),""))</f>
        <v>0</v>
      </c>
      <c r="X15" s="9" cm="1">
        <f t="array" ref="X15">IFERROR(_xlfn.XLOOKUP('01_Input_Raw_Products'!F15,'10_Master_Gem_Types'!A:A,'10_Master_Gem_Types'!J:J),"")</f>
        <v>0</v>
      </c>
      <c r="Y15" s="9" cm="1">
        <f t="array" ref="Y15">IFERROR(_xlfn.XLOOKUP('01_Input_Raw_Products'!F15,'10_Master_Gem_Types'!A:A,'10_Master_Gem_Types'!I:I),"")</f>
        <v>0</v>
      </c>
      <c r="Z15" s="9" cm="1">
        <f t="array" ref="Z15">IFERROR(_xlfn.XLOOKUP('01_Input_Raw_Products'!L15,'13_Certification_Stickers'!A:A,'13_Certification_Stickers'!C:C),"")</f>
        <v>0</v>
      </c>
      <c r="AA15" s="9" cm="1">
        <f t="array" ref="AA15">IFERROR(_xlfn.XLOOKUP('01_Input_Raw_Products'!S15,'14_Shipping_Rules'!A:A,'14_Shipping_Rules'!B:B),"")</f>
        <v>0</v>
      </c>
      <c r="AB15" s="9" cm="1">
        <f t="array" ref="AB15">IFERROR(_xlfn.XLOOKUP('01_Input_Raw_Products'!D15,'16_Astro_Flags'!A:A,'16_Astro_Flags'!B:B),"")</f>
        <v>0</v>
      </c>
      <c r="AC15" s="9">
        <f>IF(C15="","","Catalog, Search")</f>
        <v>0</v>
      </c>
      <c r="AD15" s="9">
        <f>IF(C15="","",IF(OR(F15="",J15="",M15="",S15="",Y15=""),"Manual Review","Ready"))</f>
        <v>0</v>
      </c>
      <c r="AE15" s="9">
        <f>IF(C15="","",TEXTJOIN("; ",TRUE,IF(F15="","Missing url_key",""),IF(J15="","Missing classification",""),IF(M15="","Missing j_colour",""),IF(S15="","Missing hsn_code",""),IF(Y15="","Missing tax_class_id","")))</f>
        <v>0</v>
      </c>
    </row>
    <row r="16" spans="1:31">
      <c r="A16" s="9">
        <f>IF('01_Input_Raw_Products'!B16&lt;&gt;"",20,"")</f>
        <v>0</v>
      </c>
      <c r="B16" s="9" cm="1">
        <f t="array" ref="B16">IF('01_Input_Raw_Products'!M16&lt;&gt;"",'01_Input_Raw_Products'!M16,IFERROR(_xlfn.XLOOKUP('01_Input_Raw_Products'!F16,'10_Master_Gem_Types'!A:A,'10_Master_Gem_Types'!K:K),""))</f>
        <v>0</v>
      </c>
      <c r="C16" s="9">
        <f>'01_Input_Raw_Products'!B16</f>
        <v>0</v>
      </c>
      <c r="D16" s="9">
        <f>IF(C16="","",TEXT(I16,"0.00")&amp;" Ct "&amp;IF('01_Input_Raw_Products'!F16&lt;&gt;"",'01_Input_Raw_Products'!F16,'01_Input_Raw_Products'!D16)&amp;" "&amp;'01_Input_Raw_Products'!I16)</f>
        <v>0</v>
      </c>
      <c r="E16" s="9">
        <f>IF(C16="","",D16&amp;" | GemPundit")</f>
        <v>0</v>
      </c>
      <c r="F16" s="9" cm="1">
        <f t="array" ref="F16">IF('01_Input_Raw_Products'!X16&lt;&gt;"",'01_Input_Raw_Products'!X16,IFERROR(_xlfn.XLOOKUP('01_Input_Raw_Products'!F16,'10_Master_Gem_Types'!A:A,'10_Master_Gem_Types'!O:O),LOWER(SUBSTITUTE(IF('01_Input_Raw_Products'!F16&lt;&gt;"",'01_Input_Raw_Products'!F16,'01_Input_Raw_Products'!D16)," ","-"))))</f>
        <v>0</v>
      </c>
      <c r="G16" s="9">
        <f>'01_Input_Raw_Products'!C16</f>
        <v>0</v>
      </c>
      <c r="H16" s="9" cm="1">
        <f t="array" ref="H16">IF('01_Input_Raw_Products'!H16&lt;&gt;"",'01_Input_Raw_Products'!H16,IFERROR(_xlfn.XLOOKUP('01_Input_Raw_Products'!F16,'10_Master_Gem_Types'!A:A,'10_Master_Gem_Types'!D:D),""))</f>
        <v>0</v>
      </c>
      <c r="I16" s="7">
        <f>IF('01_Input_Raw_Products'!N16&lt;&gt;"",'01_Input_Raw_Products'!N16,IF('01_Input_Raw_Products'!O16&lt;&gt;"",'01_Input_Raw_Products'!O16*0.91,""))</f>
        <v>0</v>
      </c>
      <c r="J16" s="9" cm="1">
        <f t="array" ref="J16">IFERROR(_xlfn.XLOOKUP('01_Input_Raw_Products'!F16,'10_Master_Gem_Types'!A:A,'10_Master_Gem_Types'!N:N),"")</f>
        <v>0</v>
      </c>
      <c r="K16" s="9" cm="1">
        <f t="array" ref="K16">IF('01_Input_Raw_Products'!J16&lt;&gt;"",'01_Input_Raw_Products'!J16,IFERROR(_xlfn.XLOOKUP('01_Input_Raw_Products'!F16,'10_Master_Gem_Types'!A:A,'10_Master_Gem_Types'!E:E),""))</f>
        <v>0</v>
      </c>
      <c r="L16" s="9">
        <f>'01_Input_Raw_Products'!P16</f>
        <v>0</v>
      </c>
      <c r="M16" s="9" cm="1">
        <f t="array" ref="M16">IFERROR(_xlfn.XLOOKUP('01_Input_Raw_Products'!K16,'12_Color_Mapping'!A:A,'12_Color_Mapping'!B:B),IFERROR(_xlfn.XLOOKUP('01_Input_Raw_Products'!F16,'10_Master_Gem_Types'!A:A,'10_Master_Gem_Types'!F:F),""))</f>
        <v>0</v>
      </c>
      <c r="N16" s="9">
        <f>IF(C16="","",IF('01_Input_Raw_Products'!F16&lt;&gt;"",'01_Input_Raw_Products'!F16,'01_Input_Raw_Products'!D16))</f>
        <v>0</v>
      </c>
      <c r="O16" s="9">
        <f>IF(C16="","","Catalog Automation")</f>
        <v>0</v>
      </c>
      <c r="P16" s="9">
        <f>'01_Input_Raw_Products'!U16</f>
        <v>0</v>
      </c>
      <c r="Q16" s="7">
        <f>IF('01_Input_Raw_Products'!O16&lt;&gt;"",'01_Input_Raw_Products'!O16,IF('01_Input_Raw_Products'!N16&lt;&gt;"",'01_Input_Raw_Products'!N16*1.1,""))</f>
        <v>0</v>
      </c>
      <c r="R16" s="9">
        <f>'01_Input_Raw_Products'!S16</f>
        <v>0</v>
      </c>
      <c r="S16" s="9" cm="1">
        <f t="array" ref="S16">IFERROR(_xlfn.XLOOKUP('01_Input_Raw_Products'!F16,'10_Master_Gem_Types'!A:A,'10_Master_Gem_Types'!H:H),"")</f>
        <v>0</v>
      </c>
      <c r="T16" s="8">
        <f>'01_Input_Raw_Products'!Q16</f>
        <v>0</v>
      </c>
      <c r="U16" s="8">
        <f>'01_Input_Raw_Products'!R16</f>
        <v>0</v>
      </c>
      <c r="V16" s="7">
        <f>I16</f>
        <v>0</v>
      </c>
      <c r="W16" s="9" cm="1">
        <f t="array" ref="W16">IF('01_Input_Raw_Products'!G16&lt;&gt;"",'01_Input_Raw_Products'!G16,IFERROR(_xlfn.XLOOKUP('01_Input_Raw_Products'!F16,'10_Master_Gem_Types'!A:A,'10_Master_Gem_Types'!L:L),""))</f>
        <v>0</v>
      </c>
      <c r="X16" s="9" cm="1">
        <f t="array" ref="X16">IFERROR(_xlfn.XLOOKUP('01_Input_Raw_Products'!F16,'10_Master_Gem_Types'!A:A,'10_Master_Gem_Types'!J:J),"")</f>
        <v>0</v>
      </c>
      <c r="Y16" s="9" cm="1">
        <f t="array" ref="Y16">IFERROR(_xlfn.XLOOKUP('01_Input_Raw_Products'!F16,'10_Master_Gem_Types'!A:A,'10_Master_Gem_Types'!I:I),"")</f>
        <v>0</v>
      </c>
      <c r="Z16" s="9" cm="1">
        <f t="array" ref="Z16">IFERROR(_xlfn.XLOOKUP('01_Input_Raw_Products'!L16,'13_Certification_Stickers'!A:A,'13_Certification_Stickers'!C:C),"")</f>
        <v>0</v>
      </c>
      <c r="AA16" s="9" cm="1">
        <f t="array" ref="AA16">IFERROR(_xlfn.XLOOKUP('01_Input_Raw_Products'!S16,'14_Shipping_Rules'!A:A,'14_Shipping_Rules'!B:B),"")</f>
        <v>0</v>
      </c>
      <c r="AB16" s="9" cm="1">
        <f t="array" ref="AB16">IFERROR(_xlfn.XLOOKUP('01_Input_Raw_Products'!D16,'16_Astro_Flags'!A:A,'16_Astro_Flags'!B:B),"")</f>
        <v>0</v>
      </c>
      <c r="AC16" s="9">
        <f>IF(C16="","","Catalog, Search")</f>
        <v>0</v>
      </c>
      <c r="AD16" s="9">
        <f>IF(C16="","",IF(OR(F16="",J16="",M16="",S16="",Y16=""),"Manual Review","Ready"))</f>
        <v>0</v>
      </c>
      <c r="AE16" s="9">
        <f>IF(C16="","",TEXTJOIN("; ",TRUE,IF(F16="","Missing url_key",""),IF(J16="","Missing classification",""),IF(M16="","Missing j_colour",""),IF(S16="","Missing hsn_code",""),IF(Y16="","Missing tax_class_id","")))</f>
        <v>0</v>
      </c>
    </row>
    <row r="17" spans="1:31">
      <c r="A17" s="9">
        <f>IF('01_Input_Raw_Products'!B17&lt;&gt;"",20,"")</f>
        <v>0</v>
      </c>
      <c r="B17" s="9" cm="1">
        <f t="array" ref="B17">IF('01_Input_Raw_Products'!M17&lt;&gt;"",'01_Input_Raw_Products'!M17,IFERROR(_xlfn.XLOOKUP('01_Input_Raw_Products'!F17,'10_Master_Gem_Types'!A:A,'10_Master_Gem_Types'!K:K),""))</f>
        <v>0</v>
      </c>
      <c r="C17" s="9">
        <f>'01_Input_Raw_Products'!B17</f>
        <v>0</v>
      </c>
      <c r="D17" s="9">
        <f>IF(C17="","",TEXT(I17,"0.00")&amp;" Ct "&amp;IF('01_Input_Raw_Products'!F17&lt;&gt;"",'01_Input_Raw_Products'!F17,'01_Input_Raw_Products'!D17)&amp;" "&amp;'01_Input_Raw_Products'!I17)</f>
        <v>0</v>
      </c>
      <c r="E17" s="9">
        <f>IF(C17="","",D17&amp;" | GemPundit")</f>
        <v>0</v>
      </c>
      <c r="F17" s="9" cm="1">
        <f t="array" ref="F17">IF('01_Input_Raw_Products'!X17&lt;&gt;"",'01_Input_Raw_Products'!X17,IFERROR(_xlfn.XLOOKUP('01_Input_Raw_Products'!F17,'10_Master_Gem_Types'!A:A,'10_Master_Gem_Types'!O:O),LOWER(SUBSTITUTE(IF('01_Input_Raw_Products'!F17&lt;&gt;"",'01_Input_Raw_Products'!F17,'01_Input_Raw_Products'!D17)," ","-"))))</f>
        <v>0</v>
      </c>
      <c r="G17" s="9">
        <f>'01_Input_Raw_Products'!C17</f>
        <v>0</v>
      </c>
      <c r="H17" s="9" cm="1">
        <f t="array" ref="H17">IF('01_Input_Raw_Products'!H17&lt;&gt;"",'01_Input_Raw_Products'!H17,IFERROR(_xlfn.XLOOKUP('01_Input_Raw_Products'!F17,'10_Master_Gem_Types'!A:A,'10_Master_Gem_Types'!D:D),""))</f>
        <v>0</v>
      </c>
      <c r="I17" s="7">
        <f>IF('01_Input_Raw_Products'!N17&lt;&gt;"",'01_Input_Raw_Products'!N17,IF('01_Input_Raw_Products'!O17&lt;&gt;"",'01_Input_Raw_Products'!O17*0.91,""))</f>
        <v>0</v>
      </c>
      <c r="J17" s="9" cm="1">
        <f t="array" ref="J17">IFERROR(_xlfn.XLOOKUP('01_Input_Raw_Products'!F17,'10_Master_Gem_Types'!A:A,'10_Master_Gem_Types'!N:N),"")</f>
        <v>0</v>
      </c>
      <c r="K17" s="9" cm="1">
        <f t="array" ref="K17">IF('01_Input_Raw_Products'!J17&lt;&gt;"",'01_Input_Raw_Products'!J17,IFERROR(_xlfn.XLOOKUP('01_Input_Raw_Products'!F17,'10_Master_Gem_Types'!A:A,'10_Master_Gem_Types'!E:E),""))</f>
        <v>0</v>
      </c>
      <c r="L17" s="9">
        <f>'01_Input_Raw_Products'!P17</f>
        <v>0</v>
      </c>
      <c r="M17" s="9" cm="1">
        <f t="array" ref="M17">IFERROR(_xlfn.XLOOKUP('01_Input_Raw_Products'!K17,'12_Color_Mapping'!A:A,'12_Color_Mapping'!B:B),IFERROR(_xlfn.XLOOKUP('01_Input_Raw_Products'!F17,'10_Master_Gem_Types'!A:A,'10_Master_Gem_Types'!F:F),""))</f>
        <v>0</v>
      </c>
      <c r="N17" s="9">
        <f>IF(C17="","",IF('01_Input_Raw_Products'!F17&lt;&gt;"",'01_Input_Raw_Products'!F17,'01_Input_Raw_Products'!D17))</f>
        <v>0</v>
      </c>
      <c r="O17" s="9">
        <f>IF(C17="","","Catalog Automation")</f>
        <v>0</v>
      </c>
      <c r="P17" s="9">
        <f>'01_Input_Raw_Products'!U17</f>
        <v>0</v>
      </c>
      <c r="Q17" s="7">
        <f>IF('01_Input_Raw_Products'!O17&lt;&gt;"",'01_Input_Raw_Products'!O17,IF('01_Input_Raw_Products'!N17&lt;&gt;"",'01_Input_Raw_Products'!N17*1.1,""))</f>
        <v>0</v>
      </c>
      <c r="R17" s="9">
        <f>'01_Input_Raw_Products'!S17</f>
        <v>0</v>
      </c>
      <c r="S17" s="9" cm="1">
        <f t="array" ref="S17">IFERROR(_xlfn.XLOOKUP('01_Input_Raw_Products'!F17,'10_Master_Gem_Types'!A:A,'10_Master_Gem_Types'!H:H),"")</f>
        <v>0</v>
      </c>
      <c r="T17" s="8">
        <f>'01_Input_Raw_Products'!Q17</f>
        <v>0</v>
      </c>
      <c r="U17" s="8">
        <f>'01_Input_Raw_Products'!R17</f>
        <v>0</v>
      </c>
      <c r="V17" s="7">
        <f>I17</f>
        <v>0</v>
      </c>
      <c r="W17" s="9" cm="1">
        <f t="array" ref="W17">IF('01_Input_Raw_Products'!G17&lt;&gt;"",'01_Input_Raw_Products'!G17,IFERROR(_xlfn.XLOOKUP('01_Input_Raw_Products'!F17,'10_Master_Gem_Types'!A:A,'10_Master_Gem_Types'!L:L),""))</f>
        <v>0</v>
      </c>
      <c r="X17" s="9" cm="1">
        <f t="array" ref="X17">IFERROR(_xlfn.XLOOKUP('01_Input_Raw_Products'!F17,'10_Master_Gem_Types'!A:A,'10_Master_Gem_Types'!J:J),"")</f>
        <v>0</v>
      </c>
      <c r="Y17" s="9" cm="1">
        <f t="array" ref="Y17">IFERROR(_xlfn.XLOOKUP('01_Input_Raw_Products'!F17,'10_Master_Gem_Types'!A:A,'10_Master_Gem_Types'!I:I),"")</f>
        <v>0</v>
      </c>
      <c r="Z17" s="9" cm="1">
        <f t="array" ref="Z17">IFERROR(_xlfn.XLOOKUP('01_Input_Raw_Products'!L17,'13_Certification_Stickers'!A:A,'13_Certification_Stickers'!C:C),"")</f>
        <v>0</v>
      </c>
      <c r="AA17" s="9" cm="1">
        <f t="array" ref="AA17">IFERROR(_xlfn.XLOOKUP('01_Input_Raw_Products'!S17,'14_Shipping_Rules'!A:A,'14_Shipping_Rules'!B:B),"")</f>
        <v>0</v>
      </c>
      <c r="AB17" s="9" cm="1">
        <f t="array" ref="AB17">IFERROR(_xlfn.XLOOKUP('01_Input_Raw_Products'!D17,'16_Astro_Flags'!A:A,'16_Astro_Flags'!B:B),"")</f>
        <v>0</v>
      </c>
      <c r="AC17" s="9">
        <f>IF(C17="","","Catalog, Search")</f>
        <v>0</v>
      </c>
      <c r="AD17" s="9">
        <f>IF(C17="","",IF(OR(F17="",J17="",M17="",S17="",Y17=""),"Manual Review","Ready"))</f>
        <v>0</v>
      </c>
      <c r="AE17" s="9">
        <f>IF(C17="","",TEXTJOIN("; ",TRUE,IF(F17="","Missing url_key",""),IF(J17="","Missing classification",""),IF(M17="","Missing j_colour",""),IF(S17="","Missing hsn_code",""),IF(Y17="","Missing tax_class_id","")))</f>
        <v>0</v>
      </c>
    </row>
    <row r="18" spans="1:31">
      <c r="A18" s="9">
        <f>IF('01_Input_Raw_Products'!B18&lt;&gt;"",20,"")</f>
        <v>0</v>
      </c>
      <c r="B18" s="9" cm="1">
        <f t="array" ref="B18">IF('01_Input_Raw_Products'!M18&lt;&gt;"",'01_Input_Raw_Products'!M18,IFERROR(_xlfn.XLOOKUP('01_Input_Raw_Products'!F18,'10_Master_Gem_Types'!A:A,'10_Master_Gem_Types'!K:K),""))</f>
        <v>0</v>
      </c>
      <c r="C18" s="9">
        <f>'01_Input_Raw_Products'!B18</f>
        <v>0</v>
      </c>
      <c r="D18" s="9">
        <f>IF(C18="","",TEXT(I18,"0.00")&amp;" Ct "&amp;IF('01_Input_Raw_Products'!F18&lt;&gt;"",'01_Input_Raw_Products'!F18,'01_Input_Raw_Products'!D18)&amp;" "&amp;'01_Input_Raw_Products'!I18)</f>
        <v>0</v>
      </c>
      <c r="E18" s="9">
        <f>IF(C18="","",D18&amp;" | GemPundit")</f>
        <v>0</v>
      </c>
      <c r="F18" s="9" cm="1">
        <f t="array" ref="F18">IF('01_Input_Raw_Products'!X18&lt;&gt;"",'01_Input_Raw_Products'!X18,IFERROR(_xlfn.XLOOKUP('01_Input_Raw_Products'!F18,'10_Master_Gem_Types'!A:A,'10_Master_Gem_Types'!O:O),LOWER(SUBSTITUTE(IF('01_Input_Raw_Products'!F18&lt;&gt;"",'01_Input_Raw_Products'!F18,'01_Input_Raw_Products'!D18)," ","-"))))</f>
        <v>0</v>
      </c>
      <c r="G18" s="9">
        <f>'01_Input_Raw_Products'!C18</f>
        <v>0</v>
      </c>
      <c r="H18" s="9" cm="1">
        <f t="array" ref="H18">IF('01_Input_Raw_Products'!H18&lt;&gt;"",'01_Input_Raw_Products'!H18,IFERROR(_xlfn.XLOOKUP('01_Input_Raw_Products'!F18,'10_Master_Gem_Types'!A:A,'10_Master_Gem_Types'!D:D),""))</f>
        <v>0</v>
      </c>
      <c r="I18" s="7">
        <f>IF('01_Input_Raw_Products'!N18&lt;&gt;"",'01_Input_Raw_Products'!N18,IF('01_Input_Raw_Products'!O18&lt;&gt;"",'01_Input_Raw_Products'!O18*0.91,""))</f>
        <v>0</v>
      </c>
      <c r="J18" s="9" cm="1">
        <f t="array" ref="J18">IFERROR(_xlfn.XLOOKUP('01_Input_Raw_Products'!F18,'10_Master_Gem_Types'!A:A,'10_Master_Gem_Types'!N:N),"")</f>
        <v>0</v>
      </c>
      <c r="K18" s="9" cm="1">
        <f t="array" ref="K18">IF('01_Input_Raw_Products'!J18&lt;&gt;"",'01_Input_Raw_Products'!J18,IFERROR(_xlfn.XLOOKUP('01_Input_Raw_Products'!F18,'10_Master_Gem_Types'!A:A,'10_Master_Gem_Types'!E:E),""))</f>
        <v>0</v>
      </c>
      <c r="L18" s="9">
        <f>'01_Input_Raw_Products'!P18</f>
        <v>0</v>
      </c>
      <c r="M18" s="9" cm="1">
        <f t="array" ref="M18">IFERROR(_xlfn.XLOOKUP('01_Input_Raw_Products'!K18,'12_Color_Mapping'!A:A,'12_Color_Mapping'!B:B),IFERROR(_xlfn.XLOOKUP('01_Input_Raw_Products'!F18,'10_Master_Gem_Types'!A:A,'10_Master_Gem_Types'!F:F),""))</f>
        <v>0</v>
      </c>
      <c r="N18" s="9">
        <f>IF(C18="","",IF('01_Input_Raw_Products'!F18&lt;&gt;"",'01_Input_Raw_Products'!F18,'01_Input_Raw_Products'!D18))</f>
        <v>0</v>
      </c>
      <c r="O18" s="9">
        <f>IF(C18="","","Catalog Automation")</f>
        <v>0</v>
      </c>
      <c r="P18" s="9">
        <f>'01_Input_Raw_Products'!U18</f>
        <v>0</v>
      </c>
      <c r="Q18" s="7">
        <f>IF('01_Input_Raw_Products'!O18&lt;&gt;"",'01_Input_Raw_Products'!O18,IF('01_Input_Raw_Products'!N18&lt;&gt;"",'01_Input_Raw_Products'!N18*1.1,""))</f>
        <v>0</v>
      </c>
      <c r="R18" s="9">
        <f>'01_Input_Raw_Products'!S18</f>
        <v>0</v>
      </c>
      <c r="S18" s="9" cm="1">
        <f t="array" ref="S18">IFERROR(_xlfn.XLOOKUP('01_Input_Raw_Products'!F18,'10_Master_Gem_Types'!A:A,'10_Master_Gem_Types'!H:H),"")</f>
        <v>0</v>
      </c>
      <c r="T18" s="8">
        <f>'01_Input_Raw_Products'!Q18</f>
        <v>0</v>
      </c>
      <c r="U18" s="8">
        <f>'01_Input_Raw_Products'!R18</f>
        <v>0</v>
      </c>
      <c r="V18" s="7">
        <f>I18</f>
        <v>0</v>
      </c>
      <c r="W18" s="9" cm="1">
        <f t="array" ref="W18">IF('01_Input_Raw_Products'!G18&lt;&gt;"",'01_Input_Raw_Products'!G18,IFERROR(_xlfn.XLOOKUP('01_Input_Raw_Products'!F18,'10_Master_Gem_Types'!A:A,'10_Master_Gem_Types'!L:L),""))</f>
        <v>0</v>
      </c>
      <c r="X18" s="9" cm="1">
        <f t="array" ref="X18">IFERROR(_xlfn.XLOOKUP('01_Input_Raw_Products'!F18,'10_Master_Gem_Types'!A:A,'10_Master_Gem_Types'!J:J),"")</f>
        <v>0</v>
      </c>
      <c r="Y18" s="9" cm="1">
        <f t="array" ref="Y18">IFERROR(_xlfn.XLOOKUP('01_Input_Raw_Products'!F18,'10_Master_Gem_Types'!A:A,'10_Master_Gem_Types'!I:I),"")</f>
        <v>0</v>
      </c>
      <c r="Z18" s="9" cm="1">
        <f t="array" ref="Z18">IFERROR(_xlfn.XLOOKUP('01_Input_Raw_Products'!L18,'13_Certification_Stickers'!A:A,'13_Certification_Stickers'!C:C),"")</f>
        <v>0</v>
      </c>
      <c r="AA18" s="9" cm="1">
        <f t="array" ref="AA18">IFERROR(_xlfn.XLOOKUP('01_Input_Raw_Products'!S18,'14_Shipping_Rules'!A:A,'14_Shipping_Rules'!B:B),"")</f>
        <v>0</v>
      </c>
      <c r="AB18" s="9" cm="1">
        <f t="array" ref="AB18">IFERROR(_xlfn.XLOOKUP('01_Input_Raw_Products'!D18,'16_Astro_Flags'!A:A,'16_Astro_Flags'!B:B),"")</f>
        <v>0</v>
      </c>
      <c r="AC18" s="9">
        <f>IF(C18="","","Catalog, Search")</f>
        <v>0</v>
      </c>
      <c r="AD18" s="9">
        <f>IF(C18="","",IF(OR(F18="",J18="",M18="",S18="",Y18=""),"Manual Review","Ready"))</f>
        <v>0</v>
      </c>
      <c r="AE18" s="9">
        <f>IF(C18="","",TEXTJOIN("; ",TRUE,IF(F18="","Missing url_key",""),IF(J18="","Missing classification",""),IF(M18="","Missing j_colour",""),IF(S18="","Missing hsn_code",""),IF(Y18="","Missing tax_class_id","")))</f>
        <v>0</v>
      </c>
    </row>
    <row r="19" spans="1:31">
      <c r="A19" s="9">
        <f>IF('01_Input_Raw_Products'!B19&lt;&gt;"",20,"")</f>
        <v>0</v>
      </c>
      <c r="B19" s="9" cm="1">
        <f t="array" ref="B19">IF('01_Input_Raw_Products'!M19&lt;&gt;"",'01_Input_Raw_Products'!M19,IFERROR(_xlfn.XLOOKUP('01_Input_Raw_Products'!F19,'10_Master_Gem_Types'!A:A,'10_Master_Gem_Types'!K:K),""))</f>
        <v>0</v>
      </c>
      <c r="C19" s="9">
        <f>'01_Input_Raw_Products'!B19</f>
        <v>0</v>
      </c>
      <c r="D19" s="9">
        <f>IF(C19="","",TEXT(I19,"0.00")&amp;" Ct "&amp;IF('01_Input_Raw_Products'!F19&lt;&gt;"",'01_Input_Raw_Products'!F19,'01_Input_Raw_Products'!D19)&amp;" "&amp;'01_Input_Raw_Products'!I19)</f>
        <v>0</v>
      </c>
      <c r="E19" s="9">
        <f>IF(C19="","",D19&amp;" | GemPundit")</f>
        <v>0</v>
      </c>
      <c r="F19" s="9" cm="1">
        <f t="array" ref="F19">IF('01_Input_Raw_Products'!X19&lt;&gt;"",'01_Input_Raw_Products'!X19,IFERROR(_xlfn.XLOOKUP('01_Input_Raw_Products'!F19,'10_Master_Gem_Types'!A:A,'10_Master_Gem_Types'!O:O),LOWER(SUBSTITUTE(IF('01_Input_Raw_Products'!F19&lt;&gt;"",'01_Input_Raw_Products'!F19,'01_Input_Raw_Products'!D19)," ","-"))))</f>
        <v>0</v>
      </c>
      <c r="G19" s="9">
        <f>'01_Input_Raw_Products'!C19</f>
        <v>0</v>
      </c>
      <c r="H19" s="9" cm="1">
        <f t="array" ref="H19">IF('01_Input_Raw_Products'!H19&lt;&gt;"",'01_Input_Raw_Products'!H19,IFERROR(_xlfn.XLOOKUP('01_Input_Raw_Products'!F19,'10_Master_Gem_Types'!A:A,'10_Master_Gem_Types'!D:D),""))</f>
        <v>0</v>
      </c>
      <c r="I19" s="7">
        <f>IF('01_Input_Raw_Products'!N19&lt;&gt;"",'01_Input_Raw_Products'!N19,IF('01_Input_Raw_Products'!O19&lt;&gt;"",'01_Input_Raw_Products'!O19*0.91,""))</f>
        <v>0</v>
      </c>
      <c r="J19" s="9" cm="1">
        <f t="array" ref="J19">IFERROR(_xlfn.XLOOKUP('01_Input_Raw_Products'!F19,'10_Master_Gem_Types'!A:A,'10_Master_Gem_Types'!N:N),"")</f>
        <v>0</v>
      </c>
      <c r="K19" s="9" cm="1">
        <f t="array" ref="K19">IF('01_Input_Raw_Products'!J19&lt;&gt;"",'01_Input_Raw_Products'!J19,IFERROR(_xlfn.XLOOKUP('01_Input_Raw_Products'!F19,'10_Master_Gem_Types'!A:A,'10_Master_Gem_Types'!E:E),""))</f>
        <v>0</v>
      </c>
      <c r="L19" s="9">
        <f>'01_Input_Raw_Products'!P19</f>
        <v>0</v>
      </c>
      <c r="M19" s="9" cm="1">
        <f t="array" ref="M19">IFERROR(_xlfn.XLOOKUP('01_Input_Raw_Products'!K19,'12_Color_Mapping'!A:A,'12_Color_Mapping'!B:B),IFERROR(_xlfn.XLOOKUP('01_Input_Raw_Products'!F19,'10_Master_Gem_Types'!A:A,'10_Master_Gem_Types'!F:F),""))</f>
        <v>0</v>
      </c>
      <c r="N19" s="9">
        <f>IF(C19="","",IF('01_Input_Raw_Products'!F19&lt;&gt;"",'01_Input_Raw_Products'!F19,'01_Input_Raw_Products'!D19))</f>
        <v>0</v>
      </c>
      <c r="O19" s="9">
        <f>IF(C19="","","Catalog Automation")</f>
        <v>0</v>
      </c>
      <c r="P19" s="9">
        <f>'01_Input_Raw_Products'!U19</f>
        <v>0</v>
      </c>
      <c r="Q19" s="7">
        <f>IF('01_Input_Raw_Products'!O19&lt;&gt;"",'01_Input_Raw_Products'!O19,IF('01_Input_Raw_Products'!N19&lt;&gt;"",'01_Input_Raw_Products'!N19*1.1,""))</f>
        <v>0</v>
      </c>
      <c r="R19" s="9">
        <f>'01_Input_Raw_Products'!S19</f>
        <v>0</v>
      </c>
      <c r="S19" s="9" cm="1">
        <f t="array" ref="S19">IFERROR(_xlfn.XLOOKUP('01_Input_Raw_Products'!F19,'10_Master_Gem_Types'!A:A,'10_Master_Gem_Types'!H:H),"")</f>
        <v>0</v>
      </c>
      <c r="T19" s="8">
        <f>'01_Input_Raw_Products'!Q19</f>
        <v>0</v>
      </c>
      <c r="U19" s="8">
        <f>'01_Input_Raw_Products'!R19</f>
        <v>0</v>
      </c>
      <c r="V19" s="7">
        <f>I19</f>
        <v>0</v>
      </c>
      <c r="W19" s="9" cm="1">
        <f t="array" ref="W19">IF('01_Input_Raw_Products'!G19&lt;&gt;"",'01_Input_Raw_Products'!G19,IFERROR(_xlfn.XLOOKUP('01_Input_Raw_Products'!F19,'10_Master_Gem_Types'!A:A,'10_Master_Gem_Types'!L:L),""))</f>
        <v>0</v>
      </c>
      <c r="X19" s="9" cm="1">
        <f t="array" ref="X19">IFERROR(_xlfn.XLOOKUP('01_Input_Raw_Products'!F19,'10_Master_Gem_Types'!A:A,'10_Master_Gem_Types'!J:J),"")</f>
        <v>0</v>
      </c>
      <c r="Y19" s="9" cm="1">
        <f t="array" ref="Y19">IFERROR(_xlfn.XLOOKUP('01_Input_Raw_Products'!F19,'10_Master_Gem_Types'!A:A,'10_Master_Gem_Types'!I:I),"")</f>
        <v>0</v>
      </c>
      <c r="Z19" s="9" cm="1">
        <f t="array" ref="Z19">IFERROR(_xlfn.XLOOKUP('01_Input_Raw_Products'!L19,'13_Certification_Stickers'!A:A,'13_Certification_Stickers'!C:C),"")</f>
        <v>0</v>
      </c>
      <c r="AA19" s="9" cm="1">
        <f t="array" ref="AA19">IFERROR(_xlfn.XLOOKUP('01_Input_Raw_Products'!S19,'14_Shipping_Rules'!A:A,'14_Shipping_Rules'!B:B),"")</f>
        <v>0</v>
      </c>
      <c r="AB19" s="9" cm="1">
        <f t="array" ref="AB19">IFERROR(_xlfn.XLOOKUP('01_Input_Raw_Products'!D19,'16_Astro_Flags'!A:A,'16_Astro_Flags'!B:B),"")</f>
        <v>0</v>
      </c>
      <c r="AC19" s="9">
        <f>IF(C19="","","Catalog, Search")</f>
        <v>0</v>
      </c>
      <c r="AD19" s="9">
        <f>IF(C19="","",IF(OR(F19="",J19="",M19="",S19="",Y19=""),"Manual Review","Ready"))</f>
        <v>0</v>
      </c>
      <c r="AE19" s="9">
        <f>IF(C19="","",TEXTJOIN("; ",TRUE,IF(F19="","Missing url_key",""),IF(J19="","Missing classification",""),IF(M19="","Missing j_colour",""),IF(S19="","Missing hsn_code",""),IF(Y19="","Missing tax_class_id","")))</f>
        <v>0</v>
      </c>
    </row>
    <row r="20" spans="1:31">
      <c r="A20" s="9">
        <f>IF('01_Input_Raw_Products'!B20&lt;&gt;"",20,"")</f>
        <v>0</v>
      </c>
      <c r="B20" s="9" cm="1">
        <f t="array" ref="B20">IF('01_Input_Raw_Products'!M20&lt;&gt;"",'01_Input_Raw_Products'!M20,IFERROR(_xlfn.XLOOKUP('01_Input_Raw_Products'!F20,'10_Master_Gem_Types'!A:A,'10_Master_Gem_Types'!K:K),""))</f>
        <v>0</v>
      </c>
      <c r="C20" s="9">
        <f>'01_Input_Raw_Products'!B20</f>
        <v>0</v>
      </c>
      <c r="D20" s="9">
        <f>IF(C20="","",TEXT(I20,"0.00")&amp;" Ct "&amp;IF('01_Input_Raw_Products'!F20&lt;&gt;"",'01_Input_Raw_Products'!F20,'01_Input_Raw_Products'!D20)&amp;" "&amp;'01_Input_Raw_Products'!I20)</f>
        <v>0</v>
      </c>
      <c r="E20" s="9">
        <f>IF(C20="","",D20&amp;" | GemPundit")</f>
        <v>0</v>
      </c>
      <c r="F20" s="9" cm="1">
        <f t="array" ref="F20">IF('01_Input_Raw_Products'!X20&lt;&gt;"",'01_Input_Raw_Products'!X20,IFERROR(_xlfn.XLOOKUP('01_Input_Raw_Products'!F20,'10_Master_Gem_Types'!A:A,'10_Master_Gem_Types'!O:O),LOWER(SUBSTITUTE(IF('01_Input_Raw_Products'!F20&lt;&gt;"",'01_Input_Raw_Products'!F20,'01_Input_Raw_Products'!D20)," ","-"))))</f>
        <v>0</v>
      </c>
      <c r="G20" s="9">
        <f>'01_Input_Raw_Products'!C20</f>
        <v>0</v>
      </c>
      <c r="H20" s="9" cm="1">
        <f t="array" ref="H20">IF('01_Input_Raw_Products'!H20&lt;&gt;"",'01_Input_Raw_Products'!H20,IFERROR(_xlfn.XLOOKUP('01_Input_Raw_Products'!F20,'10_Master_Gem_Types'!A:A,'10_Master_Gem_Types'!D:D),""))</f>
        <v>0</v>
      </c>
      <c r="I20" s="7">
        <f>IF('01_Input_Raw_Products'!N20&lt;&gt;"",'01_Input_Raw_Products'!N20,IF('01_Input_Raw_Products'!O20&lt;&gt;"",'01_Input_Raw_Products'!O20*0.91,""))</f>
        <v>0</v>
      </c>
      <c r="J20" s="9" cm="1">
        <f t="array" ref="J20">IFERROR(_xlfn.XLOOKUP('01_Input_Raw_Products'!F20,'10_Master_Gem_Types'!A:A,'10_Master_Gem_Types'!N:N),"")</f>
        <v>0</v>
      </c>
      <c r="K20" s="9" cm="1">
        <f t="array" ref="K20">IF('01_Input_Raw_Products'!J20&lt;&gt;"",'01_Input_Raw_Products'!J20,IFERROR(_xlfn.XLOOKUP('01_Input_Raw_Products'!F20,'10_Master_Gem_Types'!A:A,'10_Master_Gem_Types'!E:E),""))</f>
        <v>0</v>
      </c>
      <c r="L20" s="9">
        <f>'01_Input_Raw_Products'!P20</f>
        <v>0</v>
      </c>
      <c r="M20" s="9" cm="1">
        <f t="array" ref="M20">IFERROR(_xlfn.XLOOKUP('01_Input_Raw_Products'!K20,'12_Color_Mapping'!A:A,'12_Color_Mapping'!B:B),IFERROR(_xlfn.XLOOKUP('01_Input_Raw_Products'!F20,'10_Master_Gem_Types'!A:A,'10_Master_Gem_Types'!F:F),""))</f>
        <v>0</v>
      </c>
      <c r="N20" s="9">
        <f>IF(C20="","",IF('01_Input_Raw_Products'!F20&lt;&gt;"",'01_Input_Raw_Products'!F20,'01_Input_Raw_Products'!D20))</f>
        <v>0</v>
      </c>
      <c r="O20" s="9">
        <f>IF(C20="","","Catalog Automation")</f>
        <v>0</v>
      </c>
      <c r="P20" s="9">
        <f>'01_Input_Raw_Products'!U20</f>
        <v>0</v>
      </c>
      <c r="Q20" s="7">
        <f>IF('01_Input_Raw_Products'!O20&lt;&gt;"",'01_Input_Raw_Products'!O20,IF('01_Input_Raw_Products'!N20&lt;&gt;"",'01_Input_Raw_Products'!N20*1.1,""))</f>
        <v>0</v>
      </c>
      <c r="R20" s="9">
        <f>'01_Input_Raw_Products'!S20</f>
        <v>0</v>
      </c>
      <c r="S20" s="9" cm="1">
        <f t="array" ref="S20">IFERROR(_xlfn.XLOOKUP('01_Input_Raw_Products'!F20,'10_Master_Gem_Types'!A:A,'10_Master_Gem_Types'!H:H),"")</f>
        <v>0</v>
      </c>
      <c r="T20" s="8">
        <f>'01_Input_Raw_Products'!Q20</f>
        <v>0</v>
      </c>
      <c r="U20" s="8">
        <f>'01_Input_Raw_Products'!R20</f>
        <v>0</v>
      </c>
      <c r="V20" s="7">
        <f>I20</f>
        <v>0</v>
      </c>
      <c r="W20" s="9" cm="1">
        <f t="array" ref="W20">IF('01_Input_Raw_Products'!G20&lt;&gt;"",'01_Input_Raw_Products'!G20,IFERROR(_xlfn.XLOOKUP('01_Input_Raw_Products'!F20,'10_Master_Gem_Types'!A:A,'10_Master_Gem_Types'!L:L),""))</f>
        <v>0</v>
      </c>
      <c r="X20" s="9" cm="1">
        <f t="array" ref="X20">IFERROR(_xlfn.XLOOKUP('01_Input_Raw_Products'!F20,'10_Master_Gem_Types'!A:A,'10_Master_Gem_Types'!J:J),"")</f>
        <v>0</v>
      </c>
      <c r="Y20" s="9" cm="1">
        <f t="array" ref="Y20">IFERROR(_xlfn.XLOOKUP('01_Input_Raw_Products'!F20,'10_Master_Gem_Types'!A:A,'10_Master_Gem_Types'!I:I),"")</f>
        <v>0</v>
      </c>
      <c r="Z20" s="9" cm="1">
        <f t="array" ref="Z20">IFERROR(_xlfn.XLOOKUP('01_Input_Raw_Products'!L20,'13_Certification_Stickers'!A:A,'13_Certification_Stickers'!C:C),"")</f>
        <v>0</v>
      </c>
      <c r="AA20" s="9" cm="1">
        <f t="array" ref="AA20">IFERROR(_xlfn.XLOOKUP('01_Input_Raw_Products'!S20,'14_Shipping_Rules'!A:A,'14_Shipping_Rules'!B:B),"")</f>
        <v>0</v>
      </c>
      <c r="AB20" s="9" cm="1">
        <f t="array" ref="AB20">IFERROR(_xlfn.XLOOKUP('01_Input_Raw_Products'!D20,'16_Astro_Flags'!A:A,'16_Astro_Flags'!B:B),"")</f>
        <v>0</v>
      </c>
      <c r="AC20" s="9">
        <f>IF(C20="","","Catalog, Search")</f>
        <v>0</v>
      </c>
      <c r="AD20" s="9">
        <f>IF(C20="","",IF(OR(F20="",J20="",M20="",S20="",Y20=""),"Manual Review","Ready"))</f>
        <v>0</v>
      </c>
      <c r="AE20" s="9">
        <f>IF(C20="","",TEXTJOIN("; ",TRUE,IF(F20="","Missing url_key",""),IF(J20="","Missing classification",""),IF(M20="","Missing j_colour",""),IF(S20="","Missing hsn_code",""),IF(Y20="","Missing tax_class_id","")))</f>
        <v>0</v>
      </c>
    </row>
    <row r="21" spans="1:31">
      <c r="A21" s="9">
        <f>IF('01_Input_Raw_Products'!B21&lt;&gt;"",20,"")</f>
        <v>0</v>
      </c>
      <c r="B21" s="9" cm="1">
        <f t="array" ref="B21">IF('01_Input_Raw_Products'!M21&lt;&gt;"",'01_Input_Raw_Products'!M21,IFERROR(_xlfn.XLOOKUP('01_Input_Raw_Products'!F21,'10_Master_Gem_Types'!A:A,'10_Master_Gem_Types'!K:K),""))</f>
        <v>0</v>
      </c>
      <c r="C21" s="9">
        <f>'01_Input_Raw_Products'!B21</f>
        <v>0</v>
      </c>
      <c r="D21" s="9">
        <f>IF(C21="","",TEXT(I21,"0.00")&amp;" Ct "&amp;IF('01_Input_Raw_Products'!F21&lt;&gt;"",'01_Input_Raw_Products'!F21,'01_Input_Raw_Products'!D21)&amp;" "&amp;'01_Input_Raw_Products'!I21)</f>
        <v>0</v>
      </c>
      <c r="E21" s="9">
        <f>IF(C21="","",D21&amp;" | GemPundit")</f>
        <v>0</v>
      </c>
      <c r="F21" s="9" cm="1">
        <f t="array" ref="F21">IF('01_Input_Raw_Products'!X21&lt;&gt;"",'01_Input_Raw_Products'!X21,IFERROR(_xlfn.XLOOKUP('01_Input_Raw_Products'!F21,'10_Master_Gem_Types'!A:A,'10_Master_Gem_Types'!O:O),LOWER(SUBSTITUTE(IF('01_Input_Raw_Products'!F21&lt;&gt;"",'01_Input_Raw_Products'!F21,'01_Input_Raw_Products'!D21)," ","-"))))</f>
        <v>0</v>
      </c>
      <c r="G21" s="9">
        <f>'01_Input_Raw_Products'!C21</f>
        <v>0</v>
      </c>
      <c r="H21" s="9" cm="1">
        <f t="array" ref="H21">IF('01_Input_Raw_Products'!H21&lt;&gt;"",'01_Input_Raw_Products'!H21,IFERROR(_xlfn.XLOOKUP('01_Input_Raw_Products'!F21,'10_Master_Gem_Types'!A:A,'10_Master_Gem_Types'!D:D),""))</f>
        <v>0</v>
      </c>
      <c r="I21" s="7">
        <f>IF('01_Input_Raw_Products'!N21&lt;&gt;"",'01_Input_Raw_Products'!N21,IF('01_Input_Raw_Products'!O21&lt;&gt;"",'01_Input_Raw_Products'!O21*0.91,""))</f>
        <v>0</v>
      </c>
      <c r="J21" s="9" cm="1">
        <f t="array" ref="J21">IFERROR(_xlfn.XLOOKUP('01_Input_Raw_Products'!F21,'10_Master_Gem_Types'!A:A,'10_Master_Gem_Types'!N:N),"")</f>
        <v>0</v>
      </c>
      <c r="K21" s="9" cm="1">
        <f t="array" ref="K21">IF('01_Input_Raw_Products'!J21&lt;&gt;"",'01_Input_Raw_Products'!J21,IFERROR(_xlfn.XLOOKUP('01_Input_Raw_Products'!F21,'10_Master_Gem_Types'!A:A,'10_Master_Gem_Types'!E:E),""))</f>
        <v>0</v>
      </c>
      <c r="L21" s="9">
        <f>'01_Input_Raw_Products'!P21</f>
        <v>0</v>
      </c>
      <c r="M21" s="9" cm="1">
        <f t="array" ref="M21">IFERROR(_xlfn.XLOOKUP('01_Input_Raw_Products'!K21,'12_Color_Mapping'!A:A,'12_Color_Mapping'!B:B),IFERROR(_xlfn.XLOOKUP('01_Input_Raw_Products'!F21,'10_Master_Gem_Types'!A:A,'10_Master_Gem_Types'!F:F),""))</f>
        <v>0</v>
      </c>
      <c r="N21" s="9">
        <f>IF(C21="","",IF('01_Input_Raw_Products'!F21&lt;&gt;"",'01_Input_Raw_Products'!F21,'01_Input_Raw_Products'!D21))</f>
        <v>0</v>
      </c>
      <c r="O21" s="9">
        <f>IF(C21="","","Catalog Automation")</f>
        <v>0</v>
      </c>
      <c r="P21" s="9">
        <f>'01_Input_Raw_Products'!U21</f>
        <v>0</v>
      </c>
      <c r="Q21" s="7">
        <f>IF('01_Input_Raw_Products'!O21&lt;&gt;"",'01_Input_Raw_Products'!O21,IF('01_Input_Raw_Products'!N21&lt;&gt;"",'01_Input_Raw_Products'!N21*1.1,""))</f>
        <v>0</v>
      </c>
      <c r="R21" s="9">
        <f>'01_Input_Raw_Products'!S21</f>
        <v>0</v>
      </c>
      <c r="S21" s="9" cm="1">
        <f t="array" ref="S21">IFERROR(_xlfn.XLOOKUP('01_Input_Raw_Products'!F21,'10_Master_Gem_Types'!A:A,'10_Master_Gem_Types'!H:H),"")</f>
        <v>0</v>
      </c>
      <c r="T21" s="8">
        <f>'01_Input_Raw_Products'!Q21</f>
        <v>0</v>
      </c>
      <c r="U21" s="8">
        <f>'01_Input_Raw_Products'!R21</f>
        <v>0</v>
      </c>
      <c r="V21" s="7">
        <f>I21</f>
        <v>0</v>
      </c>
      <c r="W21" s="9" cm="1">
        <f t="array" ref="W21">IF('01_Input_Raw_Products'!G21&lt;&gt;"",'01_Input_Raw_Products'!G21,IFERROR(_xlfn.XLOOKUP('01_Input_Raw_Products'!F21,'10_Master_Gem_Types'!A:A,'10_Master_Gem_Types'!L:L),""))</f>
        <v>0</v>
      </c>
      <c r="X21" s="9" cm="1">
        <f t="array" ref="X21">IFERROR(_xlfn.XLOOKUP('01_Input_Raw_Products'!F21,'10_Master_Gem_Types'!A:A,'10_Master_Gem_Types'!J:J),"")</f>
        <v>0</v>
      </c>
      <c r="Y21" s="9" cm="1">
        <f t="array" ref="Y21">IFERROR(_xlfn.XLOOKUP('01_Input_Raw_Products'!F21,'10_Master_Gem_Types'!A:A,'10_Master_Gem_Types'!I:I),"")</f>
        <v>0</v>
      </c>
      <c r="Z21" s="9" cm="1">
        <f t="array" ref="Z21">IFERROR(_xlfn.XLOOKUP('01_Input_Raw_Products'!L21,'13_Certification_Stickers'!A:A,'13_Certification_Stickers'!C:C),"")</f>
        <v>0</v>
      </c>
      <c r="AA21" s="9" cm="1">
        <f t="array" ref="AA21">IFERROR(_xlfn.XLOOKUP('01_Input_Raw_Products'!S21,'14_Shipping_Rules'!A:A,'14_Shipping_Rules'!B:B),"")</f>
        <v>0</v>
      </c>
      <c r="AB21" s="9" cm="1">
        <f t="array" ref="AB21">IFERROR(_xlfn.XLOOKUP('01_Input_Raw_Products'!D21,'16_Astro_Flags'!A:A,'16_Astro_Flags'!B:B),"")</f>
        <v>0</v>
      </c>
      <c r="AC21" s="9">
        <f>IF(C21="","","Catalog, Search")</f>
        <v>0</v>
      </c>
      <c r="AD21" s="9">
        <f>IF(C21="","",IF(OR(F21="",J21="",M21="",S21="",Y21=""),"Manual Review","Ready"))</f>
        <v>0</v>
      </c>
      <c r="AE21" s="9">
        <f>IF(C21="","",TEXTJOIN("; ",TRUE,IF(F21="","Missing url_key",""),IF(J21="","Missing classification",""),IF(M21="","Missing j_colour",""),IF(S21="","Missing hsn_code",""),IF(Y21="","Missing tax_class_id","")))</f>
        <v>0</v>
      </c>
    </row>
    <row r="22" spans="1:31">
      <c r="A22" s="9">
        <f>IF('01_Input_Raw_Products'!B22&lt;&gt;"",20,"")</f>
        <v>0</v>
      </c>
      <c r="B22" s="9" cm="1">
        <f t="array" ref="B22">IF('01_Input_Raw_Products'!M22&lt;&gt;"",'01_Input_Raw_Products'!M22,IFERROR(_xlfn.XLOOKUP('01_Input_Raw_Products'!F22,'10_Master_Gem_Types'!A:A,'10_Master_Gem_Types'!K:K),""))</f>
        <v>0</v>
      </c>
      <c r="C22" s="9">
        <f>'01_Input_Raw_Products'!B22</f>
        <v>0</v>
      </c>
      <c r="D22" s="9">
        <f>IF(C22="","",TEXT(I22,"0.00")&amp;" Ct "&amp;IF('01_Input_Raw_Products'!F22&lt;&gt;"",'01_Input_Raw_Products'!F22,'01_Input_Raw_Products'!D22)&amp;" "&amp;'01_Input_Raw_Products'!I22)</f>
        <v>0</v>
      </c>
      <c r="E22" s="9">
        <f>IF(C22="","",D22&amp;" | GemPundit")</f>
        <v>0</v>
      </c>
      <c r="F22" s="9" cm="1">
        <f t="array" ref="F22">IF('01_Input_Raw_Products'!X22&lt;&gt;"",'01_Input_Raw_Products'!X22,IFERROR(_xlfn.XLOOKUP('01_Input_Raw_Products'!F22,'10_Master_Gem_Types'!A:A,'10_Master_Gem_Types'!O:O),LOWER(SUBSTITUTE(IF('01_Input_Raw_Products'!F22&lt;&gt;"",'01_Input_Raw_Products'!F22,'01_Input_Raw_Products'!D22)," ","-"))))</f>
        <v>0</v>
      </c>
      <c r="G22" s="9">
        <f>'01_Input_Raw_Products'!C22</f>
        <v>0</v>
      </c>
      <c r="H22" s="9" cm="1">
        <f t="array" ref="H22">IF('01_Input_Raw_Products'!H22&lt;&gt;"",'01_Input_Raw_Products'!H22,IFERROR(_xlfn.XLOOKUP('01_Input_Raw_Products'!F22,'10_Master_Gem_Types'!A:A,'10_Master_Gem_Types'!D:D),""))</f>
        <v>0</v>
      </c>
      <c r="I22" s="7">
        <f>IF('01_Input_Raw_Products'!N22&lt;&gt;"",'01_Input_Raw_Products'!N22,IF('01_Input_Raw_Products'!O22&lt;&gt;"",'01_Input_Raw_Products'!O22*0.91,""))</f>
        <v>0</v>
      </c>
      <c r="J22" s="9" cm="1">
        <f t="array" ref="J22">IFERROR(_xlfn.XLOOKUP('01_Input_Raw_Products'!F22,'10_Master_Gem_Types'!A:A,'10_Master_Gem_Types'!N:N),"")</f>
        <v>0</v>
      </c>
      <c r="K22" s="9" cm="1">
        <f t="array" ref="K22">IF('01_Input_Raw_Products'!J22&lt;&gt;"",'01_Input_Raw_Products'!J22,IFERROR(_xlfn.XLOOKUP('01_Input_Raw_Products'!F22,'10_Master_Gem_Types'!A:A,'10_Master_Gem_Types'!E:E),""))</f>
        <v>0</v>
      </c>
      <c r="L22" s="9">
        <f>'01_Input_Raw_Products'!P22</f>
        <v>0</v>
      </c>
      <c r="M22" s="9" cm="1">
        <f t="array" ref="M22">IFERROR(_xlfn.XLOOKUP('01_Input_Raw_Products'!K22,'12_Color_Mapping'!A:A,'12_Color_Mapping'!B:B),IFERROR(_xlfn.XLOOKUP('01_Input_Raw_Products'!F22,'10_Master_Gem_Types'!A:A,'10_Master_Gem_Types'!F:F),""))</f>
        <v>0</v>
      </c>
      <c r="N22" s="9">
        <f>IF(C22="","",IF('01_Input_Raw_Products'!F22&lt;&gt;"",'01_Input_Raw_Products'!F22,'01_Input_Raw_Products'!D22))</f>
        <v>0</v>
      </c>
      <c r="O22" s="9">
        <f>IF(C22="","","Catalog Automation")</f>
        <v>0</v>
      </c>
      <c r="P22" s="9">
        <f>'01_Input_Raw_Products'!U22</f>
        <v>0</v>
      </c>
      <c r="Q22" s="7">
        <f>IF('01_Input_Raw_Products'!O22&lt;&gt;"",'01_Input_Raw_Products'!O22,IF('01_Input_Raw_Products'!N22&lt;&gt;"",'01_Input_Raw_Products'!N22*1.1,""))</f>
        <v>0</v>
      </c>
      <c r="R22" s="9">
        <f>'01_Input_Raw_Products'!S22</f>
        <v>0</v>
      </c>
      <c r="S22" s="9" cm="1">
        <f t="array" ref="S22">IFERROR(_xlfn.XLOOKUP('01_Input_Raw_Products'!F22,'10_Master_Gem_Types'!A:A,'10_Master_Gem_Types'!H:H),"")</f>
        <v>0</v>
      </c>
      <c r="T22" s="8">
        <f>'01_Input_Raw_Products'!Q22</f>
        <v>0</v>
      </c>
      <c r="U22" s="8">
        <f>'01_Input_Raw_Products'!R22</f>
        <v>0</v>
      </c>
      <c r="V22" s="7">
        <f>I22</f>
        <v>0</v>
      </c>
      <c r="W22" s="9" cm="1">
        <f t="array" ref="W22">IF('01_Input_Raw_Products'!G22&lt;&gt;"",'01_Input_Raw_Products'!G22,IFERROR(_xlfn.XLOOKUP('01_Input_Raw_Products'!F22,'10_Master_Gem_Types'!A:A,'10_Master_Gem_Types'!L:L),""))</f>
        <v>0</v>
      </c>
      <c r="X22" s="9" cm="1">
        <f t="array" ref="X22">IFERROR(_xlfn.XLOOKUP('01_Input_Raw_Products'!F22,'10_Master_Gem_Types'!A:A,'10_Master_Gem_Types'!J:J),"")</f>
        <v>0</v>
      </c>
      <c r="Y22" s="9" cm="1">
        <f t="array" ref="Y22">IFERROR(_xlfn.XLOOKUP('01_Input_Raw_Products'!F22,'10_Master_Gem_Types'!A:A,'10_Master_Gem_Types'!I:I),"")</f>
        <v>0</v>
      </c>
      <c r="Z22" s="9" cm="1">
        <f t="array" ref="Z22">IFERROR(_xlfn.XLOOKUP('01_Input_Raw_Products'!L22,'13_Certification_Stickers'!A:A,'13_Certification_Stickers'!C:C),"")</f>
        <v>0</v>
      </c>
      <c r="AA22" s="9" cm="1">
        <f t="array" ref="AA22">IFERROR(_xlfn.XLOOKUP('01_Input_Raw_Products'!S22,'14_Shipping_Rules'!A:A,'14_Shipping_Rules'!B:B),"")</f>
        <v>0</v>
      </c>
      <c r="AB22" s="9" cm="1">
        <f t="array" ref="AB22">IFERROR(_xlfn.XLOOKUP('01_Input_Raw_Products'!D22,'16_Astro_Flags'!A:A,'16_Astro_Flags'!B:B),"")</f>
        <v>0</v>
      </c>
      <c r="AC22" s="9">
        <f>IF(C22="","","Catalog, Search")</f>
        <v>0</v>
      </c>
      <c r="AD22" s="9">
        <f>IF(C22="","",IF(OR(F22="",J22="",M22="",S22="",Y22=""),"Manual Review","Ready"))</f>
        <v>0</v>
      </c>
      <c r="AE22" s="9">
        <f>IF(C22="","",TEXTJOIN("; ",TRUE,IF(F22="","Missing url_key",""),IF(J22="","Missing classification",""),IF(M22="","Missing j_colour",""),IF(S22="","Missing hsn_code",""),IF(Y22="","Missing tax_class_id","")))</f>
        <v>0</v>
      </c>
    </row>
    <row r="23" spans="1:31">
      <c r="A23" s="9">
        <f>IF('01_Input_Raw_Products'!B23&lt;&gt;"",20,"")</f>
        <v>0</v>
      </c>
      <c r="B23" s="9" cm="1">
        <f t="array" ref="B23">IF('01_Input_Raw_Products'!M23&lt;&gt;"",'01_Input_Raw_Products'!M23,IFERROR(_xlfn.XLOOKUP('01_Input_Raw_Products'!F23,'10_Master_Gem_Types'!A:A,'10_Master_Gem_Types'!K:K),""))</f>
        <v>0</v>
      </c>
      <c r="C23" s="9">
        <f>'01_Input_Raw_Products'!B23</f>
        <v>0</v>
      </c>
      <c r="D23" s="9">
        <f>IF(C23="","",TEXT(I23,"0.00")&amp;" Ct "&amp;IF('01_Input_Raw_Products'!F23&lt;&gt;"",'01_Input_Raw_Products'!F23,'01_Input_Raw_Products'!D23)&amp;" "&amp;'01_Input_Raw_Products'!I23)</f>
        <v>0</v>
      </c>
      <c r="E23" s="9">
        <f>IF(C23="","",D23&amp;" | GemPundit")</f>
        <v>0</v>
      </c>
      <c r="F23" s="9" cm="1">
        <f t="array" ref="F23">IF('01_Input_Raw_Products'!X23&lt;&gt;"",'01_Input_Raw_Products'!X23,IFERROR(_xlfn.XLOOKUP('01_Input_Raw_Products'!F23,'10_Master_Gem_Types'!A:A,'10_Master_Gem_Types'!O:O),LOWER(SUBSTITUTE(IF('01_Input_Raw_Products'!F23&lt;&gt;"",'01_Input_Raw_Products'!F23,'01_Input_Raw_Products'!D23)," ","-"))))</f>
        <v>0</v>
      </c>
      <c r="G23" s="9">
        <f>'01_Input_Raw_Products'!C23</f>
        <v>0</v>
      </c>
      <c r="H23" s="9" cm="1">
        <f t="array" ref="H23">IF('01_Input_Raw_Products'!H23&lt;&gt;"",'01_Input_Raw_Products'!H23,IFERROR(_xlfn.XLOOKUP('01_Input_Raw_Products'!F23,'10_Master_Gem_Types'!A:A,'10_Master_Gem_Types'!D:D),""))</f>
        <v>0</v>
      </c>
      <c r="I23" s="7">
        <f>IF('01_Input_Raw_Products'!N23&lt;&gt;"",'01_Input_Raw_Products'!N23,IF('01_Input_Raw_Products'!O23&lt;&gt;"",'01_Input_Raw_Products'!O23*0.91,""))</f>
        <v>0</v>
      </c>
      <c r="J23" s="9" cm="1">
        <f t="array" ref="J23">IFERROR(_xlfn.XLOOKUP('01_Input_Raw_Products'!F23,'10_Master_Gem_Types'!A:A,'10_Master_Gem_Types'!N:N),"")</f>
        <v>0</v>
      </c>
      <c r="K23" s="9" cm="1">
        <f t="array" ref="K23">IF('01_Input_Raw_Products'!J23&lt;&gt;"",'01_Input_Raw_Products'!J23,IFERROR(_xlfn.XLOOKUP('01_Input_Raw_Products'!F23,'10_Master_Gem_Types'!A:A,'10_Master_Gem_Types'!E:E),""))</f>
        <v>0</v>
      </c>
      <c r="L23" s="9">
        <f>'01_Input_Raw_Products'!P23</f>
        <v>0</v>
      </c>
      <c r="M23" s="9" cm="1">
        <f t="array" ref="M23">IFERROR(_xlfn.XLOOKUP('01_Input_Raw_Products'!K23,'12_Color_Mapping'!A:A,'12_Color_Mapping'!B:B),IFERROR(_xlfn.XLOOKUP('01_Input_Raw_Products'!F23,'10_Master_Gem_Types'!A:A,'10_Master_Gem_Types'!F:F),""))</f>
        <v>0</v>
      </c>
      <c r="N23" s="9">
        <f>IF(C23="","",IF('01_Input_Raw_Products'!F23&lt;&gt;"",'01_Input_Raw_Products'!F23,'01_Input_Raw_Products'!D23))</f>
        <v>0</v>
      </c>
      <c r="O23" s="9">
        <f>IF(C23="","","Catalog Automation")</f>
        <v>0</v>
      </c>
      <c r="P23" s="9">
        <f>'01_Input_Raw_Products'!U23</f>
        <v>0</v>
      </c>
      <c r="Q23" s="7">
        <f>IF('01_Input_Raw_Products'!O23&lt;&gt;"",'01_Input_Raw_Products'!O23,IF('01_Input_Raw_Products'!N23&lt;&gt;"",'01_Input_Raw_Products'!N23*1.1,""))</f>
        <v>0</v>
      </c>
      <c r="R23" s="9">
        <f>'01_Input_Raw_Products'!S23</f>
        <v>0</v>
      </c>
      <c r="S23" s="9" cm="1">
        <f t="array" ref="S23">IFERROR(_xlfn.XLOOKUP('01_Input_Raw_Products'!F23,'10_Master_Gem_Types'!A:A,'10_Master_Gem_Types'!H:H),"")</f>
        <v>0</v>
      </c>
      <c r="T23" s="8">
        <f>'01_Input_Raw_Products'!Q23</f>
        <v>0</v>
      </c>
      <c r="U23" s="8">
        <f>'01_Input_Raw_Products'!R23</f>
        <v>0</v>
      </c>
      <c r="V23" s="7">
        <f>I23</f>
        <v>0</v>
      </c>
      <c r="W23" s="9" cm="1">
        <f t="array" ref="W23">IF('01_Input_Raw_Products'!G23&lt;&gt;"",'01_Input_Raw_Products'!G23,IFERROR(_xlfn.XLOOKUP('01_Input_Raw_Products'!F23,'10_Master_Gem_Types'!A:A,'10_Master_Gem_Types'!L:L),""))</f>
        <v>0</v>
      </c>
      <c r="X23" s="9" cm="1">
        <f t="array" ref="X23">IFERROR(_xlfn.XLOOKUP('01_Input_Raw_Products'!F23,'10_Master_Gem_Types'!A:A,'10_Master_Gem_Types'!J:J),"")</f>
        <v>0</v>
      </c>
      <c r="Y23" s="9" cm="1">
        <f t="array" ref="Y23">IFERROR(_xlfn.XLOOKUP('01_Input_Raw_Products'!F23,'10_Master_Gem_Types'!A:A,'10_Master_Gem_Types'!I:I),"")</f>
        <v>0</v>
      </c>
      <c r="Z23" s="9" cm="1">
        <f t="array" ref="Z23">IFERROR(_xlfn.XLOOKUP('01_Input_Raw_Products'!L23,'13_Certification_Stickers'!A:A,'13_Certification_Stickers'!C:C),"")</f>
        <v>0</v>
      </c>
      <c r="AA23" s="9" cm="1">
        <f t="array" ref="AA23">IFERROR(_xlfn.XLOOKUP('01_Input_Raw_Products'!S23,'14_Shipping_Rules'!A:A,'14_Shipping_Rules'!B:B),"")</f>
        <v>0</v>
      </c>
      <c r="AB23" s="9" cm="1">
        <f t="array" ref="AB23">IFERROR(_xlfn.XLOOKUP('01_Input_Raw_Products'!D23,'16_Astro_Flags'!A:A,'16_Astro_Flags'!B:B),"")</f>
        <v>0</v>
      </c>
      <c r="AC23" s="9">
        <f>IF(C23="","","Catalog, Search")</f>
        <v>0</v>
      </c>
      <c r="AD23" s="9">
        <f>IF(C23="","",IF(OR(F23="",J23="",M23="",S23="",Y23=""),"Manual Review","Ready"))</f>
        <v>0</v>
      </c>
      <c r="AE23" s="9">
        <f>IF(C23="","",TEXTJOIN("; ",TRUE,IF(F23="","Missing url_key",""),IF(J23="","Missing classification",""),IF(M23="","Missing j_colour",""),IF(S23="","Missing hsn_code",""),IF(Y23="","Missing tax_class_id","")))</f>
        <v>0</v>
      </c>
    </row>
    <row r="24" spans="1:31">
      <c r="A24" s="9">
        <f>IF('01_Input_Raw_Products'!B24&lt;&gt;"",20,"")</f>
        <v>0</v>
      </c>
      <c r="B24" s="9" cm="1">
        <f t="array" ref="B24">IF('01_Input_Raw_Products'!M24&lt;&gt;"",'01_Input_Raw_Products'!M24,IFERROR(_xlfn.XLOOKUP('01_Input_Raw_Products'!F24,'10_Master_Gem_Types'!A:A,'10_Master_Gem_Types'!K:K),""))</f>
        <v>0</v>
      </c>
      <c r="C24" s="9">
        <f>'01_Input_Raw_Products'!B24</f>
        <v>0</v>
      </c>
      <c r="D24" s="9">
        <f>IF(C24="","",TEXT(I24,"0.00")&amp;" Ct "&amp;IF('01_Input_Raw_Products'!F24&lt;&gt;"",'01_Input_Raw_Products'!F24,'01_Input_Raw_Products'!D24)&amp;" "&amp;'01_Input_Raw_Products'!I24)</f>
        <v>0</v>
      </c>
      <c r="E24" s="9">
        <f>IF(C24="","",D24&amp;" | GemPundit")</f>
        <v>0</v>
      </c>
      <c r="F24" s="9" cm="1">
        <f t="array" ref="F24">IF('01_Input_Raw_Products'!X24&lt;&gt;"",'01_Input_Raw_Products'!X24,IFERROR(_xlfn.XLOOKUP('01_Input_Raw_Products'!F24,'10_Master_Gem_Types'!A:A,'10_Master_Gem_Types'!O:O),LOWER(SUBSTITUTE(IF('01_Input_Raw_Products'!F24&lt;&gt;"",'01_Input_Raw_Products'!F24,'01_Input_Raw_Products'!D24)," ","-"))))</f>
        <v>0</v>
      </c>
      <c r="G24" s="9">
        <f>'01_Input_Raw_Products'!C24</f>
        <v>0</v>
      </c>
      <c r="H24" s="9" cm="1">
        <f t="array" ref="H24">IF('01_Input_Raw_Products'!H24&lt;&gt;"",'01_Input_Raw_Products'!H24,IFERROR(_xlfn.XLOOKUP('01_Input_Raw_Products'!F24,'10_Master_Gem_Types'!A:A,'10_Master_Gem_Types'!D:D),""))</f>
        <v>0</v>
      </c>
      <c r="I24" s="7">
        <f>IF('01_Input_Raw_Products'!N24&lt;&gt;"",'01_Input_Raw_Products'!N24,IF('01_Input_Raw_Products'!O24&lt;&gt;"",'01_Input_Raw_Products'!O24*0.91,""))</f>
        <v>0</v>
      </c>
      <c r="J24" s="9" cm="1">
        <f t="array" ref="J24">IFERROR(_xlfn.XLOOKUP('01_Input_Raw_Products'!F24,'10_Master_Gem_Types'!A:A,'10_Master_Gem_Types'!N:N),"")</f>
        <v>0</v>
      </c>
      <c r="K24" s="9" cm="1">
        <f t="array" ref="K24">IF('01_Input_Raw_Products'!J24&lt;&gt;"",'01_Input_Raw_Products'!J24,IFERROR(_xlfn.XLOOKUP('01_Input_Raw_Products'!F24,'10_Master_Gem_Types'!A:A,'10_Master_Gem_Types'!E:E),""))</f>
        <v>0</v>
      </c>
      <c r="L24" s="9">
        <f>'01_Input_Raw_Products'!P24</f>
        <v>0</v>
      </c>
      <c r="M24" s="9" cm="1">
        <f t="array" ref="M24">IFERROR(_xlfn.XLOOKUP('01_Input_Raw_Products'!K24,'12_Color_Mapping'!A:A,'12_Color_Mapping'!B:B),IFERROR(_xlfn.XLOOKUP('01_Input_Raw_Products'!F24,'10_Master_Gem_Types'!A:A,'10_Master_Gem_Types'!F:F),""))</f>
        <v>0</v>
      </c>
      <c r="N24" s="9">
        <f>IF(C24="","",IF('01_Input_Raw_Products'!F24&lt;&gt;"",'01_Input_Raw_Products'!F24,'01_Input_Raw_Products'!D24))</f>
        <v>0</v>
      </c>
      <c r="O24" s="9">
        <f>IF(C24="","","Catalog Automation")</f>
        <v>0</v>
      </c>
      <c r="P24" s="9">
        <f>'01_Input_Raw_Products'!U24</f>
        <v>0</v>
      </c>
      <c r="Q24" s="7">
        <f>IF('01_Input_Raw_Products'!O24&lt;&gt;"",'01_Input_Raw_Products'!O24,IF('01_Input_Raw_Products'!N24&lt;&gt;"",'01_Input_Raw_Products'!N24*1.1,""))</f>
        <v>0</v>
      </c>
      <c r="R24" s="9">
        <f>'01_Input_Raw_Products'!S24</f>
        <v>0</v>
      </c>
      <c r="S24" s="9" cm="1">
        <f t="array" ref="S24">IFERROR(_xlfn.XLOOKUP('01_Input_Raw_Products'!F24,'10_Master_Gem_Types'!A:A,'10_Master_Gem_Types'!H:H),"")</f>
        <v>0</v>
      </c>
      <c r="T24" s="8">
        <f>'01_Input_Raw_Products'!Q24</f>
        <v>0</v>
      </c>
      <c r="U24" s="8">
        <f>'01_Input_Raw_Products'!R24</f>
        <v>0</v>
      </c>
      <c r="V24" s="7">
        <f>I24</f>
        <v>0</v>
      </c>
      <c r="W24" s="9" cm="1">
        <f t="array" ref="W24">IF('01_Input_Raw_Products'!G24&lt;&gt;"",'01_Input_Raw_Products'!G24,IFERROR(_xlfn.XLOOKUP('01_Input_Raw_Products'!F24,'10_Master_Gem_Types'!A:A,'10_Master_Gem_Types'!L:L),""))</f>
        <v>0</v>
      </c>
      <c r="X24" s="9" cm="1">
        <f t="array" ref="X24">IFERROR(_xlfn.XLOOKUP('01_Input_Raw_Products'!F24,'10_Master_Gem_Types'!A:A,'10_Master_Gem_Types'!J:J),"")</f>
        <v>0</v>
      </c>
      <c r="Y24" s="9" cm="1">
        <f t="array" ref="Y24">IFERROR(_xlfn.XLOOKUP('01_Input_Raw_Products'!F24,'10_Master_Gem_Types'!A:A,'10_Master_Gem_Types'!I:I),"")</f>
        <v>0</v>
      </c>
      <c r="Z24" s="9" cm="1">
        <f t="array" ref="Z24">IFERROR(_xlfn.XLOOKUP('01_Input_Raw_Products'!L24,'13_Certification_Stickers'!A:A,'13_Certification_Stickers'!C:C),"")</f>
        <v>0</v>
      </c>
      <c r="AA24" s="9" cm="1">
        <f t="array" ref="AA24">IFERROR(_xlfn.XLOOKUP('01_Input_Raw_Products'!S24,'14_Shipping_Rules'!A:A,'14_Shipping_Rules'!B:B),"")</f>
        <v>0</v>
      </c>
      <c r="AB24" s="9" cm="1">
        <f t="array" ref="AB24">IFERROR(_xlfn.XLOOKUP('01_Input_Raw_Products'!D24,'16_Astro_Flags'!A:A,'16_Astro_Flags'!B:B),"")</f>
        <v>0</v>
      </c>
      <c r="AC24" s="9">
        <f>IF(C24="","","Catalog, Search")</f>
        <v>0</v>
      </c>
      <c r="AD24" s="9">
        <f>IF(C24="","",IF(OR(F24="",J24="",M24="",S24="",Y24=""),"Manual Review","Ready"))</f>
        <v>0</v>
      </c>
      <c r="AE24" s="9">
        <f>IF(C24="","",TEXTJOIN("; ",TRUE,IF(F24="","Missing url_key",""),IF(J24="","Missing classification",""),IF(M24="","Missing j_colour",""),IF(S24="","Missing hsn_code",""),IF(Y24="","Missing tax_class_id","")))</f>
        <v>0</v>
      </c>
    </row>
    <row r="25" spans="1:31">
      <c r="A25" s="9">
        <f>IF('01_Input_Raw_Products'!B25&lt;&gt;"",20,"")</f>
        <v>0</v>
      </c>
      <c r="B25" s="9" cm="1">
        <f t="array" ref="B25">IF('01_Input_Raw_Products'!M25&lt;&gt;"",'01_Input_Raw_Products'!M25,IFERROR(_xlfn.XLOOKUP('01_Input_Raw_Products'!F25,'10_Master_Gem_Types'!A:A,'10_Master_Gem_Types'!K:K),""))</f>
        <v>0</v>
      </c>
      <c r="C25" s="9">
        <f>'01_Input_Raw_Products'!B25</f>
        <v>0</v>
      </c>
      <c r="D25" s="9">
        <f>IF(C25="","",TEXT(I25,"0.00")&amp;" Ct "&amp;IF('01_Input_Raw_Products'!F25&lt;&gt;"",'01_Input_Raw_Products'!F25,'01_Input_Raw_Products'!D25)&amp;" "&amp;'01_Input_Raw_Products'!I25)</f>
        <v>0</v>
      </c>
      <c r="E25" s="9">
        <f>IF(C25="","",D25&amp;" | GemPundit")</f>
        <v>0</v>
      </c>
      <c r="F25" s="9" cm="1">
        <f t="array" ref="F25">IF('01_Input_Raw_Products'!X25&lt;&gt;"",'01_Input_Raw_Products'!X25,IFERROR(_xlfn.XLOOKUP('01_Input_Raw_Products'!F25,'10_Master_Gem_Types'!A:A,'10_Master_Gem_Types'!O:O),LOWER(SUBSTITUTE(IF('01_Input_Raw_Products'!F25&lt;&gt;"",'01_Input_Raw_Products'!F25,'01_Input_Raw_Products'!D25)," ","-"))))</f>
        <v>0</v>
      </c>
      <c r="G25" s="9">
        <f>'01_Input_Raw_Products'!C25</f>
        <v>0</v>
      </c>
      <c r="H25" s="9" cm="1">
        <f t="array" ref="H25">IF('01_Input_Raw_Products'!H25&lt;&gt;"",'01_Input_Raw_Products'!H25,IFERROR(_xlfn.XLOOKUP('01_Input_Raw_Products'!F25,'10_Master_Gem_Types'!A:A,'10_Master_Gem_Types'!D:D),""))</f>
        <v>0</v>
      </c>
      <c r="I25" s="7">
        <f>IF('01_Input_Raw_Products'!N25&lt;&gt;"",'01_Input_Raw_Products'!N25,IF('01_Input_Raw_Products'!O25&lt;&gt;"",'01_Input_Raw_Products'!O25*0.91,""))</f>
        <v>0</v>
      </c>
      <c r="J25" s="9" cm="1">
        <f t="array" ref="J25">IFERROR(_xlfn.XLOOKUP('01_Input_Raw_Products'!F25,'10_Master_Gem_Types'!A:A,'10_Master_Gem_Types'!N:N),"")</f>
        <v>0</v>
      </c>
      <c r="K25" s="9" cm="1">
        <f t="array" ref="K25">IF('01_Input_Raw_Products'!J25&lt;&gt;"",'01_Input_Raw_Products'!J25,IFERROR(_xlfn.XLOOKUP('01_Input_Raw_Products'!F25,'10_Master_Gem_Types'!A:A,'10_Master_Gem_Types'!E:E),""))</f>
        <v>0</v>
      </c>
      <c r="L25" s="9">
        <f>'01_Input_Raw_Products'!P25</f>
        <v>0</v>
      </c>
      <c r="M25" s="9" cm="1">
        <f t="array" ref="M25">IFERROR(_xlfn.XLOOKUP('01_Input_Raw_Products'!K25,'12_Color_Mapping'!A:A,'12_Color_Mapping'!B:B),IFERROR(_xlfn.XLOOKUP('01_Input_Raw_Products'!F25,'10_Master_Gem_Types'!A:A,'10_Master_Gem_Types'!F:F),""))</f>
        <v>0</v>
      </c>
      <c r="N25" s="9">
        <f>IF(C25="","",IF('01_Input_Raw_Products'!F25&lt;&gt;"",'01_Input_Raw_Products'!F25,'01_Input_Raw_Products'!D25))</f>
        <v>0</v>
      </c>
      <c r="O25" s="9">
        <f>IF(C25="","","Catalog Automation")</f>
        <v>0</v>
      </c>
      <c r="P25" s="9">
        <f>'01_Input_Raw_Products'!U25</f>
        <v>0</v>
      </c>
      <c r="Q25" s="7">
        <f>IF('01_Input_Raw_Products'!O25&lt;&gt;"",'01_Input_Raw_Products'!O25,IF('01_Input_Raw_Products'!N25&lt;&gt;"",'01_Input_Raw_Products'!N25*1.1,""))</f>
        <v>0</v>
      </c>
      <c r="R25" s="9">
        <f>'01_Input_Raw_Products'!S25</f>
        <v>0</v>
      </c>
      <c r="S25" s="9" cm="1">
        <f t="array" ref="S25">IFERROR(_xlfn.XLOOKUP('01_Input_Raw_Products'!F25,'10_Master_Gem_Types'!A:A,'10_Master_Gem_Types'!H:H),"")</f>
        <v>0</v>
      </c>
      <c r="T25" s="8">
        <f>'01_Input_Raw_Products'!Q25</f>
        <v>0</v>
      </c>
      <c r="U25" s="8">
        <f>'01_Input_Raw_Products'!R25</f>
        <v>0</v>
      </c>
      <c r="V25" s="7">
        <f>I25</f>
        <v>0</v>
      </c>
      <c r="W25" s="9" cm="1">
        <f t="array" ref="W25">IF('01_Input_Raw_Products'!G25&lt;&gt;"",'01_Input_Raw_Products'!G25,IFERROR(_xlfn.XLOOKUP('01_Input_Raw_Products'!F25,'10_Master_Gem_Types'!A:A,'10_Master_Gem_Types'!L:L),""))</f>
        <v>0</v>
      </c>
      <c r="X25" s="9" cm="1">
        <f t="array" ref="X25">IFERROR(_xlfn.XLOOKUP('01_Input_Raw_Products'!F25,'10_Master_Gem_Types'!A:A,'10_Master_Gem_Types'!J:J),"")</f>
        <v>0</v>
      </c>
      <c r="Y25" s="9" cm="1">
        <f t="array" ref="Y25">IFERROR(_xlfn.XLOOKUP('01_Input_Raw_Products'!F25,'10_Master_Gem_Types'!A:A,'10_Master_Gem_Types'!I:I),"")</f>
        <v>0</v>
      </c>
      <c r="Z25" s="9" cm="1">
        <f t="array" ref="Z25">IFERROR(_xlfn.XLOOKUP('01_Input_Raw_Products'!L25,'13_Certification_Stickers'!A:A,'13_Certification_Stickers'!C:C),"")</f>
        <v>0</v>
      </c>
      <c r="AA25" s="9" cm="1">
        <f t="array" ref="AA25">IFERROR(_xlfn.XLOOKUP('01_Input_Raw_Products'!S25,'14_Shipping_Rules'!A:A,'14_Shipping_Rules'!B:B),"")</f>
        <v>0</v>
      </c>
      <c r="AB25" s="9" cm="1">
        <f t="array" ref="AB25">IFERROR(_xlfn.XLOOKUP('01_Input_Raw_Products'!D25,'16_Astro_Flags'!A:A,'16_Astro_Flags'!B:B),"")</f>
        <v>0</v>
      </c>
      <c r="AC25" s="9">
        <f>IF(C25="","","Catalog, Search")</f>
        <v>0</v>
      </c>
      <c r="AD25" s="9">
        <f>IF(C25="","",IF(OR(F25="",J25="",M25="",S25="",Y25=""),"Manual Review","Ready"))</f>
        <v>0</v>
      </c>
      <c r="AE25" s="9">
        <f>IF(C25="","",TEXTJOIN("; ",TRUE,IF(F25="","Missing url_key",""),IF(J25="","Missing classification",""),IF(M25="","Missing j_colour",""),IF(S25="","Missing hsn_code",""),IF(Y25="","Missing tax_class_id","")))</f>
        <v>0</v>
      </c>
    </row>
    <row r="26" spans="1:31">
      <c r="A26" s="9">
        <f>IF('01_Input_Raw_Products'!B26&lt;&gt;"",20,"")</f>
        <v>0</v>
      </c>
      <c r="B26" s="9" cm="1">
        <f t="array" ref="B26">IF('01_Input_Raw_Products'!M26&lt;&gt;"",'01_Input_Raw_Products'!M26,IFERROR(_xlfn.XLOOKUP('01_Input_Raw_Products'!F26,'10_Master_Gem_Types'!A:A,'10_Master_Gem_Types'!K:K),""))</f>
        <v>0</v>
      </c>
      <c r="C26" s="9">
        <f>'01_Input_Raw_Products'!B26</f>
        <v>0</v>
      </c>
      <c r="D26" s="9">
        <f>IF(C26="","",TEXT(I26,"0.00")&amp;" Ct "&amp;IF('01_Input_Raw_Products'!F26&lt;&gt;"",'01_Input_Raw_Products'!F26,'01_Input_Raw_Products'!D26)&amp;" "&amp;'01_Input_Raw_Products'!I26)</f>
        <v>0</v>
      </c>
      <c r="E26" s="9">
        <f>IF(C26="","",D26&amp;" | GemPundit")</f>
        <v>0</v>
      </c>
      <c r="F26" s="9" cm="1">
        <f t="array" ref="F26">IF('01_Input_Raw_Products'!X26&lt;&gt;"",'01_Input_Raw_Products'!X26,IFERROR(_xlfn.XLOOKUP('01_Input_Raw_Products'!F26,'10_Master_Gem_Types'!A:A,'10_Master_Gem_Types'!O:O),LOWER(SUBSTITUTE(IF('01_Input_Raw_Products'!F26&lt;&gt;"",'01_Input_Raw_Products'!F26,'01_Input_Raw_Products'!D26)," ","-"))))</f>
        <v>0</v>
      </c>
      <c r="G26" s="9">
        <f>'01_Input_Raw_Products'!C26</f>
        <v>0</v>
      </c>
      <c r="H26" s="9" cm="1">
        <f t="array" ref="H26">IF('01_Input_Raw_Products'!H26&lt;&gt;"",'01_Input_Raw_Products'!H26,IFERROR(_xlfn.XLOOKUP('01_Input_Raw_Products'!F26,'10_Master_Gem_Types'!A:A,'10_Master_Gem_Types'!D:D),""))</f>
        <v>0</v>
      </c>
      <c r="I26" s="7">
        <f>IF('01_Input_Raw_Products'!N26&lt;&gt;"",'01_Input_Raw_Products'!N26,IF('01_Input_Raw_Products'!O26&lt;&gt;"",'01_Input_Raw_Products'!O26*0.91,""))</f>
        <v>0</v>
      </c>
      <c r="J26" s="9" cm="1">
        <f t="array" ref="J26">IFERROR(_xlfn.XLOOKUP('01_Input_Raw_Products'!F26,'10_Master_Gem_Types'!A:A,'10_Master_Gem_Types'!N:N),"")</f>
        <v>0</v>
      </c>
      <c r="K26" s="9" cm="1">
        <f t="array" ref="K26">IF('01_Input_Raw_Products'!J26&lt;&gt;"",'01_Input_Raw_Products'!J26,IFERROR(_xlfn.XLOOKUP('01_Input_Raw_Products'!F26,'10_Master_Gem_Types'!A:A,'10_Master_Gem_Types'!E:E),""))</f>
        <v>0</v>
      </c>
      <c r="L26" s="9">
        <f>'01_Input_Raw_Products'!P26</f>
        <v>0</v>
      </c>
      <c r="M26" s="9" cm="1">
        <f t="array" ref="M26">IFERROR(_xlfn.XLOOKUP('01_Input_Raw_Products'!K26,'12_Color_Mapping'!A:A,'12_Color_Mapping'!B:B),IFERROR(_xlfn.XLOOKUP('01_Input_Raw_Products'!F26,'10_Master_Gem_Types'!A:A,'10_Master_Gem_Types'!F:F),""))</f>
        <v>0</v>
      </c>
      <c r="N26" s="9">
        <f>IF(C26="","",IF('01_Input_Raw_Products'!F26&lt;&gt;"",'01_Input_Raw_Products'!F26,'01_Input_Raw_Products'!D26))</f>
        <v>0</v>
      </c>
      <c r="O26" s="9">
        <f>IF(C26="","","Catalog Automation")</f>
        <v>0</v>
      </c>
      <c r="P26" s="9">
        <f>'01_Input_Raw_Products'!U26</f>
        <v>0</v>
      </c>
      <c r="Q26" s="7">
        <f>IF('01_Input_Raw_Products'!O26&lt;&gt;"",'01_Input_Raw_Products'!O26,IF('01_Input_Raw_Products'!N26&lt;&gt;"",'01_Input_Raw_Products'!N26*1.1,""))</f>
        <v>0</v>
      </c>
      <c r="R26" s="9">
        <f>'01_Input_Raw_Products'!S26</f>
        <v>0</v>
      </c>
      <c r="S26" s="9" cm="1">
        <f t="array" ref="S26">IFERROR(_xlfn.XLOOKUP('01_Input_Raw_Products'!F26,'10_Master_Gem_Types'!A:A,'10_Master_Gem_Types'!H:H),"")</f>
        <v>0</v>
      </c>
      <c r="T26" s="8">
        <f>'01_Input_Raw_Products'!Q26</f>
        <v>0</v>
      </c>
      <c r="U26" s="8">
        <f>'01_Input_Raw_Products'!R26</f>
        <v>0</v>
      </c>
      <c r="V26" s="7">
        <f>I26</f>
        <v>0</v>
      </c>
      <c r="W26" s="9" cm="1">
        <f t="array" ref="W26">IF('01_Input_Raw_Products'!G26&lt;&gt;"",'01_Input_Raw_Products'!G26,IFERROR(_xlfn.XLOOKUP('01_Input_Raw_Products'!F26,'10_Master_Gem_Types'!A:A,'10_Master_Gem_Types'!L:L),""))</f>
        <v>0</v>
      </c>
      <c r="X26" s="9" cm="1">
        <f t="array" ref="X26">IFERROR(_xlfn.XLOOKUP('01_Input_Raw_Products'!F26,'10_Master_Gem_Types'!A:A,'10_Master_Gem_Types'!J:J),"")</f>
        <v>0</v>
      </c>
      <c r="Y26" s="9" cm="1">
        <f t="array" ref="Y26">IFERROR(_xlfn.XLOOKUP('01_Input_Raw_Products'!F26,'10_Master_Gem_Types'!A:A,'10_Master_Gem_Types'!I:I),"")</f>
        <v>0</v>
      </c>
      <c r="Z26" s="9" cm="1">
        <f t="array" ref="Z26">IFERROR(_xlfn.XLOOKUP('01_Input_Raw_Products'!L26,'13_Certification_Stickers'!A:A,'13_Certification_Stickers'!C:C),"")</f>
        <v>0</v>
      </c>
      <c r="AA26" s="9" cm="1">
        <f t="array" ref="AA26">IFERROR(_xlfn.XLOOKUP('01_Input_Raw_Products'!S26,'14_Shipping_Rules'!A:A,'14_Shipping_Rules'!B:B),"")</f>
        <v>0</v>
      </c>
      <c r="AB26" s="9" cm="1">
        <f t="array" ref="AB26">IFERROR(_xlfn.XLOOKUP('01_Input_Raw_Products'!D26,'16_Astro_Flags'!A:A,'16_Astro_Flags'!B:B),"")</f>
        <v>0</v>
      </c>
      <c r="AC26" s="9">
        <f>IF(C26="","","Catalog, Search")</f>
        <v>0</v>
      </c>
      <c r="AD26" s="9">
        <f>IF(C26="","",IF(OR(F26="",J26="",M26="",S26="",Y26=""),"Manual Review","Ready"))</f>
        <v>0</v>
      </c>
      <c r="AE26" s="9">
        <f>IF(C26="","",TEXTJOIN("; ",TRUE,IF(F26="","Missing url_key",""),IF(J26="","Missing classification",""),IF(M26="","Missing j_colour",""),IF(S26="","Missing hsn_code",""),IF(Y26="","Missing tax_class_id","")))</f>
        <v>0</v>
      </c>
    </row>
    <row r="27" spans="1:31">
      <c r="A27" s="9">
        <f>IF('01_Input_Raw_Products'!B27&lt;&gt;"",20,"")</f>
        <v>0</v>
      </c>
      <c r="B27" s="9" cm="1">
        <f t="array" ref="B27">IF('01_Input_Raw_Products'!M27&lt;&gt;"",'01_Input_Raw_Products'!M27,IFERROR(_xlfn.XLOOKUP('01_Input_Raw_Products'!F27,'10_Master_Gem_Types'!A:A,'10_Master_Gem_Types'!K:K),""))</f>
        <v>0</v>
      </c>
      <c r="C27" s="9">
        <f>'01_Input_Raw_Products'!B27</f>
        <v>0</v>
      </c>
      <c r="D27" s="9">
        <f>IF(C27="","",TEXT(I27,"0.00")&amp;" Ct "&amp;IF('01_Input_Raw_Products'!F27&lt;&gt;"",'01_Input_Raw_Products'!F27,'01_Input_Raw_Products'!D27)&amp;" "&amp;'01_Input_Raw_Products'!I27)</f>
        <v>0</v>
      </c>
      <c r="E27" s="9">
        <f>IF(C27="","",D27&amp;" | GemPundit")</f>
        <v>0</v>
      </c>
      <c r="F27" s="9" cm="1">
        <f t="array" ref="F27">IF('01_Input_Raw_Products'!X27&lt;&gt;"",'01_Input_Raw_Products'!X27,IFERROR(_xlfn.XLOOKUP('01_Input_Raw_Products'!F27,'10_Master_Gem_Types'!A:A,'10_Master_Gem_Types'!O:O),LOWER(SUBSTITUTE(IF('01_Input_Raw_Products'!F27&lt;&gt;"",'01_Input_Raw_Products'!F27,'01_Input_Raw_Products'!D27)," ","-"))))</f>
        <v>0</v>
      </c>
      <c r="G27" s="9">
        <f>'01_Input_Raw_Products'!C27</f>
        <v>0</v>
      </c>
      <c r="H27" s="9" cm="1">
        <f t="array" ref="H27">IF('01_Input_Raw_Products'!H27&lt;&gt;"",'01_Input_Raw_Products'!H27,IFERROR(_xlfn.XLOOKUP('01_Input_Raw_Products'!F27,'10_Master_Gem_Types'!A:A,'10_Master_Gem_Types'!D:D),""))</f>
        <v>0</v>
      </c>
      <c r="I27" s="7">
        <f>IF('01_Input_Raw_Products'!N27&lt;&gt;"",'01_Input_Raw_Products'!N27,IF('01_Input_Raw_Products'!O27&lt;&gt;"",'01_Input_Raw_Products'!O27*0.91,""))</f>
        <v>0</v>
      </c>
      <c r="J27" s="9" cm="1">
        <f t="array" ref="J27">IFERROR(_xlfn.XLOOKUP('01_Input_Raw_Products'!F27,'10_Master_Gem_Types'!A:A,'10_Master_Gem_Types'!N:N),"")</f>
        <v>0</v>
      </c>
      <c r="K27" s="9" cm="1">
        <f t="array" ref="K27">IF('01_Input_Raw_Products'!J27&lt;&gt;"",'01_Input_Raw_Products'!J27,IFERROR(_xlfn.XLOOKUP('01_Input_Raw_Products'!F27,'10_Master_Gem_Types'!A:A,'10_Master_Gem_Types'!E:E),""))</f>
        <v>0</v>
      </c>
      <c r="L27" s="9">
        <f>'01_Input_Raw_Products'!P27</f>
        <v>0</v>
      </c>
      <c r="M27" s="9" cm="1">
        <f t="array" ref="M27">IFERROR(_xlfn.XLOOKUP('01_Input_Raw_Products'!K27,'12_Color_Mapping'!A:A,'12_Color_Mapping'!B:B),IFERROR(_xlfn.XLOOKUP('01_Input_Raw_Products'!F27,'10_Master_Gem_Types'!A:A,'10_Master_Gem_Types'!F:F),""))</f>
        <v>0</v>
      </c>
      <c r="N27" s="9">
        <f>IF(C27="","",IF('01_Input_Raw_Products'!F27&lt;&gt;"",'01_Input_Raw_Products'!F27,'01_Input_Raw_Products'!D27))</f>
        <v>0</v>
      </c>
      <c r="O27" s="9">
        <f>IF(C27="","","Catalog Automation")</f>
        <v>0</v>
      </c>
      <c r="P27" s="9">
        <f>'01_Input_Raw_Products'!U27</f>
        <v>0</v>
      </c>
      <c r="Q27" s="7">
        <f>IF('01_Input_Raw_Products'!O27&lt;&gt;"",'01_Input_Raw_Products'!O27,IF('01_Input_Raw_Products'!N27&lt;&gt;"",'01_Input_Raw_Products'!N27*1.1,""))</f>
        <v>0</v>
      </c>
      <c r="R27" s="9">
        <f>'01_Input_Raw_Products'!S27</f>
        <v>0</v>
      </c>
      <c r="S27" s="9" cm="1">
        <f t="array" ref="S27">IFERROR(_xlfn.XLOOKUP('01_Input_Raw_Products'!F27,'10_Master_Gem_Types'!A:A,'10_Master_Gem_Types'!H:H),"")</f>
        <v>0</v>
      </c>
      <c r="T27" s="8">
        <f>'01_Input_Raw_Products'!Q27</f>
        <v>0</v>
      </c>
      <c r="U27" s="8">
        <f>'01_Input_Raw_Products'!R27</f>
        <v>0</v>
      </c>
      <c r="V27" s="7">
        <f>I27</f>
        <v>0</v>
      </c>
      <c r="W27" s="9" cm="1">
        <f t="array" ref="W27">IF('01_Input_Raw_Products'!G27&lt;&gt;"",'01_Input_Raw_Products'!G27,IFERROR(_xlfn.XLOOKUP('01_Input_Raw_Products'!F27,'10_Master_Gem_Types'!A:A,'10_Master_Gem_Types'!L:L),""))</f>
        <v>0</v>
      </c>
      <c r="X27" s="9" cm="1">
        <f t="array" ref="X27">IFERROR(_xlfn.XLOOKUP('01_Input_Raw_Products'!F27,'10_Master_Gem_Types'!A:A,'10_Master_Gem_Types'!J:J),"")</f>
        <v>0</v>
      </c>
      <c r="Y27" s="9" cm="1">
        <f t="array" ref="Y27">IFERROR(_xlfn.XLOOKUP('01_Input_Raw_Products'!F27,'10_Master_Gem_Types'!A:A,'10_Master_Gem_Types'!I:I),"")</f>
        <v>0</v>
      </c>
      <c r="Z27" s="9" cm="1">
        <f t="array" ref="Z27">IFERROR(_xlfn.XLOOKUP('01_Input_Raw_Products'!L27,'13_Certification_Stickers'!A:A,'13_Certification_Stickers'!C:C),"")</f>
        <v>0</v>
      </c>
      <c r="AA27" s="9" cm="1">
        <f t="array" ref="AA27">IFERROR(_xlfn.XLOOKUP('01_Input_Raw_Products'!S27,'14_Shipping_Rules'!A:A,'14_Shipping_Rules'!B:B),"")</f>
        <v>0</v>
      </c>
      <c r="AB27" s="9" cm="1">
        <f t="array" ref="AB27">IFERROR(_xlfn.XLOOKUP('01_Input_Raw_Products'!D27,'16_Astro_Flags'!A:A,'16_Astro_Flags'!B:B),"")</f>
        <v>0</v>
      </c>
      <c r="AC27" s="9">
        <f>IF(C27="","","Catalog, Search")</f>
        <v>0</v>
      </c>
      <c r="AD27" s="9">
        <f>IF(C27="","",IF(OR(F27="",J27="",M27="",S27="",Y27=""),"Manual Review","Ready"))</f>
        <v>0</v>
      </c>
      <c r="AE27" s="9">
        <f>IF(C27="","",TEXTJOIN("; ",TRUE,IF(F27="","Missing url_key",""),IF(J27="","Missing classification",""),IF(M27="","Missing j_colour",""),IF(S27="","Missing hsn_code",""),IF(Y27="","Missing tax_class_id","")))</f>
        <v>0</v>
      </c>
    </row>
    <row r="28" spans="1:31">
      <c r="A28" s="9">
        <f>IF('01_Input_Raw_Products'!B28&lt;&gt;"",20,"")</f>
        <v>0</v>
      </c>
      <c r="B28" s="9" cm="1">
        <f t="array" ref="B28">IF('01_Input_Raw_Products'!M28&lt;&gt;"",'01_Input_Raw_Products'!M28,IFERROR(_xlfn.XLOOKUP('01_Input_Raw_Products'!F28,'10_Master_Gem_Types'!A:A,'10_Master_Gem_Types'!K:K),""))</f>
        <v>0</v>
      </c>
      <c r="C28" s="9">
        <f>'01_Input_Raw_Products'!B28</f>
        <v>0</v>
      </c>
      <c r="D28" s="9">
        <f>IF(C28="","",TEXT(I28,"0.00")&amp;" Ct "&amp;IF('01_Input_Raw_Products'!F28&lt;&gt;"",'01_Input_Raw_Products'!F28,'01_Input_Raw_Products'!D28)&amp;" "&amp;'01_Input_Raw_Products'!I28)</f>
        <v>0</v>
      </c>
      <c r="E28" s="9">
        <f>IF(C28="","",D28&amp;" | GemPundit")</f>
        <v>0</v>
      </c>
      <c r="F28" s="9" cm="1">
        <f t="array" ref="F28">IF('01_Input_Raw_Products'!X28&lt;&gt;"",'01_Input_Raw_Products'!X28,IFERROR(_xlfn.XLOOKUP('01_Input_Raw_Products'!F28,'10_Master_Gem_Types'!A:A,'10_Master_Gem_Types'!O:O),LOWER(SUBSTITUTE(IF('01_Input_Raw_Products'!F28&lt;&gt;"",'01_Input_Raw_Products'!F28,'01_Input_Raw_Products'!D28)," ","-"))))</f>
        <v>0</v>
      </c>
      <c r="G28" s="9">
        <f>'01_Input_Raw_Products'!C28</f>
        <v>0</v>
      </c>
      <c r="H28" s="9" cm="1">
        <f t="array" ref="H28">IF('01_Input_Raw_Products'!H28&lt;&gt;"",'01_Input_Raw_Products'!H28,IFERROR(_xlfn.XLOOKUP('01_Input_Raw_Products'!F28,'10_Master_Gem_Types'!A:A,'10_Master_Gem_Types'!D:D),""))</f>
        <v>0</v>
      </c>
      <c r="I28" s="7">
        <f>IF('01_Input_Raw_Products'!N28&lt;&gt;"",'01_Input_Raw_Products'!N28,IF('01_Input_Raw_Products'!O28&lt;&gt;"",'01_Input_Raw_Products'!O28*0.91,""))</f>
        <v>0</v>
      </c>
      <c r="J28" s="9" cm="1">
        <f t="array" ref="J28">IFERROR(_xlfn.XLOOKUP('01_Input_Raw_Products'!F28,'10_Master_Gem_Types'!A:A,'10_Master_Gem_Types'!N:N),"")</f>
        <v>0</v>
      </c>
      <c r="K28" s="9" cm="1">
        <f t="array" ref="K28">IF('01_Input_Raw_Products'!J28&lt;&gt;"",'01_Input_Raw_Products'!J28,IFERROR(_xlfn.XLOOKUP('01_Input_Raw_Products'!F28,'10_Master_Gem_Types'!A:A,'10_Master_Gem_Types'!E:E),""))</f>
        <v>0</v>
      </c>
      <c r="L28" s="9">
        <f>'01_Input_Raw_Products'!P28</f>
        <v>0</v>
      </c>
      <c r="M28" s="9" cm="1">
        <f t="array" ref="M28">IFERROR(_xlfn.XLOOKUP('01_Input_Raw_Products'!K28,'12_Color_Mapping'!A:A,'12_Color_Mapping'!B:B),IFERROR(_xlfn.XLOOKUP('01_Input_Raw_Products'!F28,'10_Master_Gem_Types'!A:A,'10_Master_Gem_Types'!F:F),""))</f>
        <v>0</v>
      </c>
      <c r="N28" s="9">
        <f>IF(C28="","",IF('01_Input_Raw_Products'!F28&lt;&gt;"",'01_Input_Raw_Products'!F28,'01_Input_Raw_Products'!D28))</f>
        <v>0</v>
      </c>
      <c r="O28" s="9">
        <f>IF(C28="","","Catalog Automation")</f>
        <v>0</v>
      </c>
      <c r="P28" s="9">
        <f>'01_Input_Raw_Products'!U28</f>
        <v>0</v>
      </c>
      <c r="Q28" s="7">
        <f>IF('01_Input_Raw_Products'!O28&lt;&gt;"",'01_Input_Raw_Products'!O28,IF('01_Input_Raw_Products'!N28&lt;&gt;"",'01_Input_Raw_Products'!N28*1.1,""))</f>
        <v>0</v>
      </c>
      <c r="R28" s="9">
        <f>'01_Input_Raw_Products'!S28</f>
        <v>0</v>
      </c>
      <c r="S28" s="9" cm="1">
        <f t="array" ref="S28">IFERROR(_xlfn.XLOOKUP('01_Input_Raw_Products'!F28,'10_Master_Gem_Types'!A:A,'10_Master_Gem_Types'!H:H),"")</f>
        <v>0</v>
      </c>
      <c r="T28" s="8">
        <f>'01_Input_Raw_Products'!Q28</f>
        <v>0</v>
      </c>
      <c r="U28" s="8">
        <f>'01_Input_Raw_Products'!R28</f>
        <v>0</v>
      </c>
      <c r="V28" s="7">
        <f>I28</f>
        <v>0</v>
      </c>
      <c r="W28" s="9" cm="1">
        <f t="array" ref="W28">IF('01_Input_Raw_Products'!G28&lt;&gt;"",'01_Input_Raw_Products'!G28,IFERROR(_xlfn.XLOOKUP('01_Input_Raw_Products'!F28,'10_Master_Gem_Types'!A:A,'10_Master_Gem_Types'!L:L),""))</f>
        <v>0</v>
      </c>
      <c r="X28" s="9" cm="1">
        <f t="array" ref="X28">IFERROR(_xlfn.XLOOKUP('01_Input_Raw_Products'!F28,'10_Master_Gem_Types'!A:A,'10_Master_Gem_Types'!J:J),"")</f>
        <v>0</v>
      </c>
      <c r="Y28" s="9" cm="1">
        <f t="array" ref="Y28">IFERROR(_xlfn.XLOOKUP('01_Input_Raw_Products'!F28,'10_Master_Gem_Types'!A:A,'10_Master_Gem_Types'!I:I),"")</f>
        <v>0</v>
      </c>
      <c r="Z28" s="9" cm="1">
        <f t="array" ref="Z28">IFERROR(_xlfn.XLOOKUP('01_Input_Raw_Products'!L28,'13_Certification_Stickers'!A:A,'13_Certification_Stickers'!C:C),"")</f>
        <v>0</v>
      </c>
      <c r="AA28" s="9" cm="1">
        <f t="array" ref="AA28">IFERROR(_xlfn.XLOOKUP('01_Input_Raw_Products'!S28,'14_Shipping_Rules'!A:A,'14_Shipping_Rules'!B:B),"")</f>
        <v>0</v>
      </c>
      <c r="AB28" s="9" cm="1">
        <f t="array" ref="AB28">IFERROR(_xlfn.XLOOKUP('01_Input_Raw_Products'!D28,'16_Astro_Flags'!A:A,'16_Astro_Flags'!B:B),"")</f>
        <v>0</v>
      </c>
      <c r="AC28" s="9">
        <f>IF(C28="","","Catalog, Search")</f>
        <v>0</v>
      </c>
      <c r="AD28" s="9">
        <f>IF(C28="","",IF(OR(F28="",J28="",M28="",S28="",Y28=""),"Manual Review","Ready"))</f>
        <v>0</v>
      </c>
      <c r="AE28" s="9">
        <f>IF(C28="","",TEXTJOIN("; ",TRUE,IF(F28="","Missing url_key",""),IF(J28="","Missing classification",""),IF(M28="","Missing j_colour",""),IF(S28="","Missing hsn_code",""),IF(Y28="","Missing tax_class_id","")))</f>
        <v>0</v>
      </c>
    </row>
    <row r="29" spans="1:31">
      <c r="A29" s="9">
        <f>IF('01_Input_Raw_Products'!B29&lt;&gt;"",20,"")</f>
        <v>0</v>
      </c>
      <c r="B29" s="9" cm="1">
        <f t="array" ref="B29">IF('01_Input_Raw_Products'!M29&lt;&gt;"",'01_Input_Raw_Products'!M29,IFERROR(_xlfn.XLOOKUP('01_Input_Raw_Products'!F29,'10_Master_Gem_Types'!A:A,'10_Master_Gem_Types'!K:K),""))</f>
        <v>0</v>
      </c>
      <c r="C29" s="9">
        <f>'01_Input_Raw_Products'!B29</f>
        <v>0</v>
      </c>
      <c r="D29" s="9">
        <f>IF(C29="","",TEXT(I29,"0.00")&amp;" Ct "&amp;IF('01_Input_Raw_Products'!F29&lt;&gt;"",'01_Input_Raw_Products'!F29,'01_Input_Raw_Products'!D29)&amp;" "&amp;'01_Input_Raw_Products'!I29)</f>
        <v>0</v>
      </c>
      <c r="E29" s="9">
        <f>IF(C29="","",D29&amp;" | GemPundit")</f>
        <v>0</v>
      </c>
      <c r="F29" s="9" cm="1">
        <f t="array" ref="F29">IF('01_Input_Raw_Products'!X29&lt;&gt;"",'01_Input_Raw_Products'!X29,IFERROR(_xlfn.XLOOKUP('01_Input_Raw_Products'!F29,'10_Master_Gem_Types'!A:A,'10_Master_Gem_Types'!O:O),LOWER(SUBSTITUTE(IF('01_Input_Raw_Products'!F29&lt;&gt;"",'01_Input_Raw_Products'!F29,'01_Input_Raw_Products'!D29)," ","-"))))</f>
        <v>0</v>
      </c>
      <c r="G29" s="9">
        <f>'01_Input_Raw_Products'!C29</f>
        <v>0</v>
      </c>
      <c r="H29" s="9" cm="1">
        <f t="array" ref="H29">IF('01_Input_Raw_Products'!H29&lt;&gt;"",'01_Input_Raw_Products'!H29,IFERROR(_xlfn.XLOOKUP('01_Input_Raw_Products'!F29,'10_Master_Gem_Types'!A:A,'10_Master_Gem_Types'!D:D),""))</f>
        <v>0</v>
      </c>
      <c r="I29" s="7">
        <f>IF('01_Input_Raw_Products'!N29&lt;&gt;"",'01_Input_Raw_Products'!N29,IF('01_Input_Raw_Products'!O29&lt;&gt;"",'01_Input_Raw_Products'!O29*0.91,""))</f>
        <v>0</v>
      </c>
      <c r="J29" s="9" cm="1">
        <f t="array" ref="J29">IFERROR(_xlfn.XLOOKUP('01_Input_Raw_Products'!F29,'10_Master_Gem_Types'!A:A,'10_Master_Gem_Types'!N:N),"")</f>
        <v>0</v>
      </c>
      <c r="K29" s="9" cm="1">
        <f t="array" ref="K29">IF('01_Input_Raw_Products'!J29&lt;&gt;"",'01_Input_Raw_Products'!J29,IFERROR(_xlfn.XLOOKUP('01_Input_Raw_Products'!F29,'10_Master_Gem_Types'!A:A,'10_Master_Gem_Types'!E:E),""))</f>
        <v>0</v>
      </c>
      <c r="L29" s="9">
        <f>'01_Input_Raw_Products'!P29</f>
        <v>0</v>
      </c>
      <c r="M29" s="9" cm="1">
        <f t="array" ref="M29">IFERROR(_xlfn.XLOOKUP('01_Input_Raw_Products'!K29,'12_Color_Mapping'!A:A,'12_Color_Mapping'!B:B),IFERROR(_xlfn.XLOOKUP('01_Input_Raw_Products'!F29,'10_Master_Gem_Types'!A:A,'10_Master_Gem_Types'!F:F),""))</f>
        <v>0</v>
      </c>
      <c r="N29" s="9">
        <f>IF(C29="","",IF('01_Input_Raw_Products'!F29&lt;&gt;"",'01_Input_Raw_Products'!F29,'01_Input_Raw_Products'!D29))</f>
        <v>0</v>
      </c>
      <c r="O29" s="9">
        <f>IF(C29="","","Catalog Automation")</f>
        <v>0</v>
      </c>
      <c r="P29" s="9">
        <f>'01_Input_Raw_Products'!U29</f>
        <v>0</v>
      </c>
      <c r="Q29" s="7">
        <f>IF('01_Input_Raw_Products'!O29&lt;&gt;"",'01_Input_Raw_Products'!O29,IF('01_Input_Raw_Products'!N29&lt;&gt;"",'01_Input_Raw_Products'!N29*1.1,""))</f>
        <v>0</v>
      </c>
      <c r="R29" s="9">
        <f>'01_Input_Raw_Products'!S29</f>
        <v>0</v>
      </c>
      <c r="S29" s="9" cm="1">
        <f t="array" ref="S29">IFERROR(_xlfn.XLOOKUP('01_Input_Raw_Products'!F29,'10_Master_Gem_Types'!A:A,'10_Master_Gem_Types'!H:H),"")</f>
        <v>0</v>
      </c>
      <c r="T29" s="8">
        <f>'01_Input_Raw_Products'!Q29</f>
        <v>0</v>
      </c>
      <c r="U29" s="8">
        <f>'01_Input_Raw_Products'!R29</f>
        <v>0</v>
      </c>
      <c r="V29" s="7">
        <f>I29</f>
        <v>0</v>
      </c>
      <c r="W29" s="9" cm="1">
        <f t="array" ref="W29">IF('01_Input_Raw_Products'!G29&lt;&gt;"",'01_Input_Raw_Products'!G29,IFERROR(_xlfn.XLOOKUP('01_Input_Raw_Products'!F29,'10_Master_Gem_Types'!A:A,'10_Master_Gem_Types'!L:L),""))</f>
        <v>0</v>
      </c>
      <c r="X29" s="9" cm="1">
        <f t="array" ref="X29">IFERROR(_xlfn.XLOOKUP('01_Input_Raw_Products'!F29,'10_Master_Gem_Types'!A:A,'10_Master_Gem_Types'!J:J),"")</f>
        <v>0</v>
      </c>
      <c r="Y29" s="9" cm="1">
        <f t="array" ref="Y29">IFERROR(_xlfn.XLOOKUP('01_Input_Raw_Products'!F29,'10_Master_Gem_Types'!A:A,'10_Master_Gem_Types'!I:I),"")</f>
        <v>0</v>
      </c>
      <c r="Z29" s="9" cm="1">
        <f t="array" ref="Z29">IFERROR(_xlfn.XLOOKUP('01_Input_Raw_Products'!L29,'13_Certification_Stickers'!A:A,'13_Certification_Stickers'!C:C),"")</f>
        <v>0</v>
      </c>
      <c r="AA29" s="9" cm="1">
        <f t="array" ref="AA29">IFERROR(_xlfn.XLOOKUP('01_Input_Raw_Products'!S29,'14_Shipping_Rules'!A:A,'14_Shipping_Rules'!B:B),"")</f>
        <v>0</v>
      </c>
      <c r="AB29" s="9" cm="1">
        <f t="array" ref="AB29">IFERROR(_xlfn.XLOOKUP('01_Input_Raw_Products'!D29,'16_Astro_Flags'!A:A,'16_Astro_Flags'!B:B),"")</f>
        <v>0</v>
      </c>
      <c r="AC29" s="9">
        <f>IF(C29="","","Catalog, Search")</f>
        <v>0</v>
      </c>
      <c r="AD29" s="9">
        <f>IF(C29="","",IF(OR(F29="",J29="",M29="",S29="",Y29=""),"Manual Review","Ready"))</f>
        <v>0</v>
      </c>
      <c r="AE29" s="9">
        <f>IF(C29="","",TEXTJOIN("; ",TRUE,IF(F29="","Missing url_key",""),IF(J29="","Missing classification",""),IF(M29="","Missing j_colour",""),IF(S29="","Missing hsn_code",""),IF(Y29="","Missing tax_class_id","")))</f>
        <v>0</v>
      </c>
    </row>
    <row r="30" spans="1:31">
      <c r="A30" s="9">
        <f>IF('01_Input_Raw_Products'!B30&lt;&gt;"",20,"")</f>
        <v>0</v>
      </c>
      <c r="B30" s="9" cm="1">
        <f t="array" ref="B30">IF('01_Input_Raw_Products'!M30&lt;&gt;"",'01_Input_Raw_Products'!M30,IFERROR(_xlfn.XLOOKUP('01_Input_Raw_Products'!F30,'10_Master_Gem_Types'!A:A,'10_Master_Gem_Types'!K:K),""))</f>
        <v>0</v>
      </c>
      <c r="C30" s="9">
        <f>'01_Input_Raw_Products'!B30</f>
        <v>0</v>
      </c>
      <c r="D30" s="9">
        <f>IF(C30="","",TEXT(I30,"0.00")&amp;" Ct "&amp;IF('01_Input_Raw_Products'!F30&lt;&gt;"",'01_Input_Raw_Products'!F30,'01_Input_Raw_Products'!D30)&amp;" "&amp;'01_Input_Raw_Products'!I30)</f>
        <v>0</v>
      </c>
      <c r="E30" s="9">
        <f>IF(C30="","",D30&amp;" | GemPundit")</f>
        <v>0</v>
      </c>
      <c r="F30" s="9" cm="1">
        <f t="array" ref="F30">IF('01_Input_Raw_Products'!X30&lt;&gt;"",'01_Input_Raw_Products'!X30,IFERROR(_xlfn.XLOOKUP('01_Input_Raw_Products'!F30,'10_Master_Gem_Types'!A:A,'10_Master_Gem_Types'!O:O),LOWER(SUBSTITUTE(IF('01_Input_Raw_Products'!F30&lt;&gt;"",'01_Input_Raw_Products'!F30,'01_Input_Raw_Products'!D30)," ","-"))))</f>
        <v>0</v>
      </c>
      <c r="G30" s="9">
        <f>'01_Input_Raw_Products'!C30</f>
        <v>0</v>
      </c>
      <c r="H30" s="9" cm="1">
        <f t="array" ref="H30">IF('01_Input_Raw_Products'!H30&lt;&gt;"",'01_Input_Raw_Products'!H30,IFERROR(_xlfn.XLOOKUP('01_Input_Raw_Products'!F30,'10_Master_Gem_Types'!A:A,'10_Master_Gem_Types'!D:D),""))</f>
        <v>0</v>
      </c>
      <c r="I30" s="7">
        <f>IF('01_Input_Raw_Products'!N30&lt;&gt;"",'01_Input_Raw_Products'!N30,IF('01_Input_Raw_Products'!O30&lt;&gt;"",'01_Input_Raw_Products'!O30*0.91,""))</f>
        <v>0</v>
      </c>
      <c r="J30" s="9" cm="1">
        <f t="array" ref="J30">IFERROR(_xlfn.XLOOKUP('01_Input_Raw_Products'!F30,'10_Master_Gem_Types'!A:A,'10_Master_Gem_Types'!N:N),"")</f>
        <v>0</v>
      </c>
      <c r="K30" s="9" cm="1">
        <f t="array" ref="K30">IF('01_Input_Raw_Products'!J30&lt;&gt;"",'01_Input_Raw_Products'!J30,IFERROR(_xlfn.XLOOKUP('01_Input_Raw_Products'!F30,'10_Master_Gem_Types'!A:A,'10_Master_Gem_Types'!E:E),""))</f>
        <v>0</v>
      </c>
      <c r="L30" s="9">
        <f>'01_Input_Raw_Products'!P30</f>
        <v>0</v>
      </c>
      <c r="M30" s="9" cm="1">
        <f t="array" ref="M30">IFERROR(_xlfn.XLOOKUP('01_Input_Raw_Products'!K30,'12_Color_Mapping'!A:A,'12_Color_Mapping'!B:B),IFERROR(_xlfn.XLOOKUP('01_Input_Raw_Products'!F30,'10_Master_Gem_Types'!A:A,'10_Master_Gem_Types'!F:F),""))</f>
        <v>0</v>
      </c>
      <c r="N30" s="9">
        <f>IF(C30="","",IF('01_Input_Raw_Products'!F30&lt;&gt;"",'01_Input_Raw_Products'!F30,'01_Input_Raw_Products'!D30))</f>
        <v>0</v>
      </c>
      <c r="O30" s="9">
        <f>IF(C30="","","Catalog Automation")</f>
        <v>0</v>
      </c>
      <c r="P30" s="9">
        <f>'01_Input_Raw_Products'!U30</f>
        <v>0</v>
      </c>
      <c r="Q30" s="7">
        <f>IF('01_Input_Raw_Products'!O30&lt;&gt;"",'01_Input_Raw_Products'!O30,IF('01_Input_Raw_Products'!N30&lt;&gt;"",'01_Input_Raw_Products'!N30*1.1,""))</f>
        <v>0</v>
      </c>
      <c r="R30" s="9">
        <f>'01_Input_Raw_Products'!S30</f>
        <v>0</v>
      </c>
      <c r="S30" s="9" cm="1">
        <f t="array" ref="S30">IFERROR(_xlfn.XLOOKUP('01_Input_Raw_Products'!F30,'10_Master_Gem_Types'!A:A,'10_Master_Gem_Types'!H:H),"")</f>
        <v>0</v>
      </c>
      <c r="T30" s="8">
        <f>'01_Input_Raw_Products'!Q30</f>
        <v>0</v>
      </c>
      <c r="U30" s="8">
        <f>'01_Input_Raw_Products'!R30</f>
        <v>0</v>
      </c>
      <c r="V30" s="7">
        <f>I30</f>
        <v>0</v>
      </c>
      <c r="W30" s="9" cm="1">
        <f t="array" ref="W30">IF('01_Input_Raw_Products'!G30&lt;&gt;"",'01_Input_Raw_Products'!G30,IFERROR(_xlfn.XLOOKUP('01_Input_Raw_Products'!F30,'10_Master_Gem_Types'!A:A,'10_Master_Gem_Types'!L:L),""))</f>
        <v>0</v>
      </c>
      <c r="X30" s="9" cm="1">
        <f t="array" ref="X30">IFERROR(_xlfn.XLOOKUP('01_Input_Raw_Products'!F30,'10_Master_Gem_Types'!A:A,'10_Master_Gem_Types'!J:J),"")</f>
        <v>0</v>
      </c>
      <c r="Y30" s="9" cm="1">
        <f t="array" ref="Y30">IFERROR(_xlfn.XLOOKUP('01_Input_Raw_Products'!F30,'10_Master_Gem_Types'!A:A,'10_Master_Gem_Types'!I:I),"")</f>
        <v>0</v>
      </c>
      <c r="Z30" s="9" cm="1">
        <f t="array" ref="Z30">IFERROR(_xlfn.XLOOKUP('01_Input_Raw_Products'!L30,'13_Certification_Stickers'!A:A,'13_Certification_Stickers'!C:C),"")</f>
        <v>0</v>
      </c>
      <c r="AA30" s="9" cm="1">
        <f t="array" ref="AA30">IFERROR(_xlfn.XLOOKUP('01_Input_Raw_Products'!S30,'14_Shipping_Rules'!A:A,'14_Shipping_Rules'!B:B),"")</f>
        <v>0</v>
      </c>
      <c r="AB30" s="9" cm="1">
        <f t="array" ref="AB30">IFERROR(_xlfn.XLOOKUP('01_Input_Raw_Products'!D30,'16_Astro_Flags'!A:A,'16_Astro_Flags'!B:B),"")</f>
        <v>0</v>
      </c>
      <c r="AC30" s="9">
        <f>IF(C30="","","Catalog, Search")</f>
        <v>0</v>
      </c>
      <c r="AD30" s="9">
        <f>IF(C30="","",IF(OR(F30="",J30="",M30="",S30="",Y30=""),"Manual Review","Ready"))</f>
        <v>0</v>
      </c>
      <c r="AE30" s="9">
        <f>IF(C30="","",TEXTJOIN("; ",TRUE,IF(F30="","Missing url_key",""),IF(J30="","Missing classification",""),IF(M30="","Missing j_colour",""),IF(S30="","Missing hsn_code",""),IF(Y30="","Missing tax_class_id","")))</f>
        <v>0</v>
      </c>
    </row>
    <row r="31" spans="1:31">
      <c r="A31" s="9">
        <f>IF('01_Input_Raw_Products'!B31&lt;&gt;"",20,"")</f>
        <v>0</v>
      </c>
      <c r="B31" s="9" cm="1">
        <f t="array" ref="B31">IF('01_Input_Raw_Products'!M31&lt;&gt;"",'01_Input_Raw_Products'!M31,IFERROR(_xlfn.XLOOKUP('01_Input_Raw_Products'!F31,'10_Master_Gem_Types'!A:A,'10_Master_Gem_Types'!K:K),""))</f>
        <v>0</v>
      </c>
      <c r="C31" s="9">
        <f>'01_Input_Raw_Products'!B31</f>
        <v>0</v>
      </c>
      <c r="D31" s="9">
        <f>IF(C31="","",TEXT(I31,"0.00")&amp;" Ct "&amp;IF('01_Input_Raw_Products'!F31&lt;&gt;"",'01_Input_Raw_Products'!F31,'01_Input_Raw_Products'!D31)&amp;" "&amp;'01_Input_Raw_Products'!I31)</f>
        <v>0</v>
      </c>
      <c r="E31" s="9">
        <f>IF(C31="","",D31&amp;" | GemPundit")</f>
        <v>0</v>
      </c>
      <c r="F31" s="9" cm="1">
        <f t="array" ref="F31">IF('01_Input_Raw_Products'!X31&lt;&gt;"",'01_Input_Raw_Products'!X31,IFERROR(_xlfn.XLOOKUP('01_Input_Raw_Products'!F31,'10_Master_Gem_Types'!A:A,'10_Master_Gem_Types'!O:O),LOWER(SUBSTITUTE(IF('01_Input_Raw_Products'!F31&lt;&gt;"",'01_Input_Raw_Products'!F31,'01_Input_Raw_Products'!D31)," ","-"))))</f>
        <v>0</v>
      </c>
      <c r="G31" s="9">
        <f>'01_Input_Raw_Products'!C31</f>
        <v>0</v>
      </c>
      <c r="H31" s="9" cm="1">
        <f t="array" ref="H31">IF('01_Input_Raw_Products'!H31&lt;&gt;"",'01_Input_Raw_Products'!H31,IFERROR(_xlfn.XLOOKUP('01_Input_Raw_Products'!F31,'10_Master_Gem_Types'!A:A,'10_Master_Gem_Types'!D:D),""))</f>
        <v>0</v>
      </c>
      <c r="I31" s="7">
        <f>IF('01_Input_Raw_Products'!N31&lt;&gt;"",'01_Input_Raw_Products'!N31,IF('01_Input_Raw_Products'!O31&lt;&gt;"",'01_Input_Raw_Products'!O31*0.91,""))</f>
        <v>0</v>
      </c>
      <c r="J31" s="9" cm="1">
        <f t="array" ref="J31">IFERROR(_xlfn.XLOOKUP('01_Input_Raw_Products'!F31,'10_Master_Gem_Types'!A:A,'10_Master_Gem_Types'!N:N),"")</f>
        <v>0</v>
      </c>
      <c r="K31" s="9" cm="1">
        <f t="array" ref="K31">IF('01_Input_Raw_Products'!J31&lt;&gt;"",'01_Input_Raw_Products'!J31,IFERROR(_xlfn.XLOOKUP('01_Input_Raw_Products'!F31,'10_Master_Gem_Types'!A:A,'10_Master_Gem_Types'!E:E),""))</f>
        <v>0</v>
      </c>
      <c r="L31" s="9">
        <f>'01_Input_Raw_Products'!P31</f>
        <v>0</v>
      </c>
      <c r="M31" s="9" cm="1">
        <f t="array" ref="M31">IFERROR(_xlfn.XLOOKUP('01_Input_Raw_Products'!K31,'12_Color_Mapping'!A:A,'12_Color_Mapping'!B:B),IFERROR(_xlfn.XLOOKUP('01_Input_Raw_Products'!F31,'10_Master_Gem_Types'!A:A,'10_Master_Gem_Types'!F:F),""))</f>
        <v>0</v>
      </c>
      <c r="N31" s="9">
        <f>IF(C31="","",IF('01_Input_Raw_Products'!F31&lt;&gt;"",'01_Input_Raw_Products'!F31,'01_Input_Raw_Products'!D31))</f>
        <v>0</v>
      </c>
      <c r="O31" s="9">
        <f>IF(C31="","","Catalog Automation")</f>
        <v>0</v>
      </c>
      <c r="P31" s="9">
        <f>'01_Input_Raw_Products'!U31</f>
        <v>0</v>
      </c>
      <c r="Q31" s="7">
        <f>IF('01_Input_Raw_Products'!O31&lt;&gt;"",'01_Input_Raw_Products'!O31,IF('01_Input_Raw_Products'!N31&lt;&gt;"",'01_Input_Raw_Products'!N31*1.1,""))</f>
        <v>0</v>
      </c>
      <c r="R31" s="9">
        <f>'01_Input_Raw_Products'!S31</f>
        <v>0</v>
      </c>
      <c r="S31" s="9" cm="1">
        <f t="array" ref="S31">IFERROR(_xlfn.XLOOKUP('01_Input_Raw_Products'!F31,'10_Master_Gem_Types'!A:A,'10_Master_Gem_Types'!H:H),"")</f>
        <v>0</v>
      </c>
      <c r="T31" s="8">
        <f>'01_Input_Raw_Products'!Q31</f>
        <v>0</v>
      </c>
      <c r="U31" s="8">
        <f>'01_Input_Raw_Products'!R31</f>
        <v>0</v>
      </c>
      <c r="V31" s="7">
        <f>I31</f>
        <v>0</v>
      </c>
      <c r="W31" s="9" cm="1">
        <f t="array" ref="W31">IF('01_Input_Raw_Products'!G31&lt;&gt;"",'01_Input_Raw_Products'!G31,IFERROR(_xlfn.XLOOKUP('01_Input_Raw_Products'!F31,'10_Master_Gem_Types'!A:A,'10_Master_Gem_Types'!L:L),""))</f>
        <v>0</v>
      </c>
      <c r="X31" s="9" cm="1">
        <f t="array" ref="X31">IFERROR(_xlfn.XLOOKUP('01_Input_Raw_Products'!F31,'10_Master_Gem_Types'!A:A,'10_Master_Gem_Types'!J:J),"")</f>
        <v>0</v>
      </c>
      <c r="Y31" s="9" cm="1">
        <f t="array" ref="Y31">IFERROR(_xlfn.XLOOKUP('01_Input_Raw_Products'!F31,'10_Master_Gem_Types'!A:A,'10_Master_Gem_Types'!I:I),"")</f>
        <v>0</v>
      </c>
      <c r="Z31" s="9" cm="1">
        <f t="array" ref="Z31">IFERROR(_xlfn.XLOOKUP('01_Input_Raw_Products'!L31,'13_Certification_Stickers'!A:A,'13_Certification_Stickers'!C:C),"")</f>
        <v>0</v>
      </c>
      <c r="AA31" s="9" cm="1">
        <f t="array" ref="AA31">IFERROR(_xlfn.XLOOKUP('01_Input_Raw_Products'!S31,'14_Shipping_Rules'!A:A,'14_Shipping_Rules'!B:B),"")</f>
        <v>0</v>
      </c>
      <c r="AB31" s="9" cm="1">
        <f t="array" ref="AB31">IFERROR(_xlfn.XLOOKUP('01_Input_Raw_Products'!D31,'16_Astro_Flags'!A:A,'16_Astro_Flags'!B:B),"")</f>
        <v>0</v>
      </c>
      <c r="AC31" s="9">
        <f>IF(C31="","","Catalog, Search")</f>
        <v>0</v>
      </c>
      <c r="AD31" s="9">
        <f>IF(C31="","",IF(OR(F31="",J31="",M31="",S31="",Y31=""),"Manual Review","Ready"))</f>
        <v>0</v>
      </c>
      <c r="AE31" s="9">
        <f>IF(C31="","",TEXTJOIN("; ",TRUE,IF(F31="","Missing url_key",""),IF(J31="","Missing classification",""),IF(M31="","Missing j_colour",""),IF(S31="","Missing hsn_code",""),IF(Y31="","Missing tax_class_id","")))</f>
        <v>0</v>
      </c>
    </row>
    <row r="32" spans="1:31">
      <c r="A32" s="9">
        <f>IF('01_Input_Raw_Products'!B32&lt;&gt;"",20,"")</f>
        <v>0</v>
      </c>
      <c r="B32" s="9" cm="1">
        <f t="array" ref="B32">IF('01_Input_Raw_Products'!M32&lt;&gt;"",'01_Input_Raw_Products'!M32,IFERROR(_xlfn.XLOOKUP('01_Input_Raw_Products'!F32,'10_Master_Gem_Types'!A:A,'10_Master_Gem_Types'!K:K),""))</f>
        <v>0</v>
      </c>
      <c r="C32" s="9">
        <f>'01_Input_Raw_Products'!B32</f>
        <v>0</v>
      </c>
      <c r="D32" s="9">
        <f>IF(C32="","",TEXT(I32,"0.00")&amp;" Ct "&amp;IF('01_Input_Raw_Products'!F32&lt;&gt;"",'01_Input_Raw_Products'!F32,'01_Input_Raw_Products'!D32)&amp;" "&amp;'01_Input_Raw_Products'!I32)</f>
        <v>0</v>
      </c>
      <c r="E32" s="9">
        <f>IF(C32="","",D32&amp;" | GemPundit")</f>
        <v>0</v>
      </c>
      <c r="F32" s="9" cm="1">
        <f t="array" ref="F32">IF('01_Input_Raw_Products'!X32&lt;&gt;"",'01_Input_Raw_Products'!X32,IFERROR(_xlfn.XLOOKUP('01_Input_Raw_Products'!F32,'10_Master_Gem_Types'!A:A,'10_Master_Gem_Types'!O:O),LOWER(SUBSTITUTE(IF('01_Input_Raw_Products'!F32&lt;&gt;"",'01_Input_Raw_Products'!F32,'01_Input_Raw_Products'!D32)," ","-"))))</f>
        <v>0</v>
      </c>
      <c r="G32" s="9">
        <f>'01_Input_Raw_Products'!C32</f>
        <v>0</v>
      </c>
      <c r="H32" s="9" cm="1">
        <f t="array" ref="H32">IF('01_Input_Raw_Products'!H32&lt;&gt;"",'01_Input_Raw_Products'!H32,IFERROR(_xlfn.XLOOKUP('01_Input_Raw_Products'!F32,'10_Master_Gem_Types'!A:A,'10_Master_Gem_Types'!D:D),""))</f>
        <v>0</v>
      </c>
      <c r="I32" s="7">
        <f>IF('01_Input_Raw_Products'!N32&lt;&gt;"",'01_Input_Raw_Products'!N32,IF('01_Input_Raw_Products'!O32&lt;&gt;"",'01_Input_Raw_Products'!O32*0.91,""))</f>
        <v>0</v>
      </c>
      <c r="J32" s="9" cm="1">
        <f t="array" ref="J32">IFERROR(_xlfn.XLOOKUP('01_Input_Raw_Products'!F32,'10_Master_Gem_Types'!A:A,'10_Master_Gem_Types'!N:N),"")</f>
        <v>0</v>
      </c>
      <c r="K32" s="9" cm="1">
        <f t="array" ref="K32">IF('01_Input_Raw_Products'!J32&lt;&gt;"",'01_Input_Raw_Products'!J32,IFERROR(_xlfn.XLOOKUP('01_Input_Raw_Products'!F32,'10_Master_Gem_Types'!A:A,'10_Master_Gem_Types'!E:E),""))</f>
        <v>0</v>
      </c>
      <c r="L32" s="9">
        <f>'01_Input_Raw_Products'!P32</f>
        <v>0</v>
      </c>
      <c r="M32" s="9" cm="1">
        <f t="array" ref="M32">IFERROR(_xlfn.XLOOKUP('01_Input_Raw_Products'!K32,'12_Color_Mapping'!A:A,'12_Color_Mapping'!B:B),IFERROR(_xlfn.XLOOKUP('01_Input_Raw_Products'!F32,'10_Master_Gem_Types'!A:A,'10_Master_Gem_Types'!F:F),""))</f>
        <v>0</v>
      </c>
      <c r="N32" s="9">
        <f>IF(C32="","",IF('01_Input_Raw_Products'!F32&lt;&gt;"",'01_Input_Raw_Products'!F32,'01_Input_Raw_Products'!D32))</f>
        <v>0</v>
      </c>
      <c r="O32" s="9">
        <f>IF(C32="","","Catalog Automation")</f>
        <v>0</v>
      </c>
      <c r="P32" s="9">
        <f>'01_Input_Raw_Products'!U32</f>
        <v>0</v>
      </c>
      <c r="Q32" s="7">
        <f>IF('01_Input_Raw_Products'!O32&lt;&gt;"",'01_Input_Raw_Products'!O32,IF('01_Input_Raw_Products'!N32&lt;&gt;"",'01_Input_Raw_Products'!N32*1.1,""))</f>
        <v>0</v>
      </c>
      <c r="R32" s="9">
        <f>'01_Input_Raw_Products'!S32</f>
        <v>0</v>
      </c>
      <c r="S32" s="9" cm="1">
        <f t="array" ref="S32">IFERROR(_xlfn.XLOOKUP('01_Input_Raw_Products'!F32,'10_Master_Gem_Types'!A:A,'10_Master_Gem_Types'!H:H),"")</f>
        <v>0</v>
      </c>
      <c r="T32" s="8">
        <f>'01_Input_Raw_Products'!Q32</f>
        <v>0</v>
      </c>
      <c r="U32" s="8">
        <f>'01_Input_Raw_Products'!R32</f>
        <v>0</v>
      </c>
      <c r="V32" s="7">
        <f>I32</f>
        <v>0</v>
      </c>
      <c r="W32" s="9" cm="1">
        <f t="array" ref="W32">IF('01_Input_Raw_Products'!G32&lt;&gt;"",'01_Input_Raw_Products'!G32,IFERROR(_xlfn.XLOOKUP('01_Input_Raw_Products'!F32,'10_Master_Gem_Types'!A:A,'10_Master_Gem_Types'!L:L),""))</f>
        <v>0</v>
      </c>
      <c r="X32" s="9" cm="1">
        <f t="array" ref="X32">IFERROR(_xlfn.XLOOKUP('01_Input_Raw_Products'!F32,'10_Master_Gem_Types'!A:A,'10_Master_Gem_Types'!J:J),"")</f>
        <v>0</v>
      </c>
      <c r="Y32" s="9" cm="1">
        <f t="array" ref="Y32">IFERROR(_xlfn.XLOOKUP('01_Input_Raw_Products'!F32,'10_Master_Gem_Types'!A:A,'10_Master_Gem_Types'!I:I),"")</f>
        <v>0</v>
      </c>
      <c r="Z32" s="9" cm="1">
        <f t="array" ref="Z32">IFERROR(_xlfn.XLOOKUP('01_Input_Raw_Products'!L32,'13_Certification_Stickers'!A:A,'13_Certification_Stickers'!C:C),"")</f>
        <v>0</v>
      </c>
      <c r="AA32" s="9" cm="1">
        <f t="array" ref="AA32">IFERROR(_xlfn.XLOOKUP('01_Input_Raw_Products'!S32,'14_Shipping_Rules'!A:A,'14_Shipping_Rules'!B:B),"")</f>
        <v>0</v>
      </c>
      <c r="AB32" s="9" cm="1">
        <f t="array" ref="AB32">IFERROR(_xlfn.XLOOKUP('01_Input_Raw_Products'!D32,'16_Astro_Flags'!A:A,'16_Astro_Flags'!B:B),"")</f>
        <v>0</v>
      </c>
      <c r="AC32" s="9">
        <f>IF(C32="","","Catalog, Search")</f>
        <v>0</v>
      </c>
      <c r="AD32" s="9">
        <f>IF(C32="","",IF(OR(F32="",J32="",M32="",S32="",Y32=""),"Manual Review","Ready"))</f>
        <v>0</v>
      </c>
      <c r="AE32" s="9">
        <f>IF(C32="","",TEXTJOIN("; ",TRUE,IF(F32="","Missing url_key",""),IF(J32="","Missing classification",""),IF(M32="","Missing j_colour",""),IF(S32="","Missing hsn_code",""),IF(Y32="","Missing tax_class_id","")))</f>
        <v>0</v>
      </c>
    </row>
    <row r="33" spans="1:31">
      <c r="A33" s="9">
        <f>IF('01_Input_Raw_Products'!B33&lt;&gt;"",20,"")</f>
        <v>0</v>
      </c>
      <c r="B33" s="9" cm="1">
        <f t="array" ref="B33">IF('01_Input_Raw_Products'!M33&lt;&gt;"",'01_Input_Raw_Products'!M33,IFERROR(_xlfn.XLOOKUP('01_Input_Raw_Products'!F33,'10_Master_Gem_Types'!A:A,'10_Master_Gem_Types'!K:K),""))</f>
        <v>0</v>
      </c>
      <c r="C33" s="9">
        <f>'01_Input_Raw_Products'!B33</f>
        <v>0</v>
      </c>
      <c r="D33" s="9">
        <f>IF(C33="","",TEXT(I33,"0.00")&amp;" Ct "&amp;IF('01_Input_Raw_Products'!F33&lt;&gt;"",'01_Input_Raw_Products'!F33,'01_Input_Raw_Products'!D33)&amp;" "&amp;'01_Input_Raw_Products'!I33)</f>
        <v>0</v>
      </c>
      <c r="E33" s="9">
        <f>IF(C33="","",D33&amp;" | GemPundit")</f>
        <v>0</v>
      </c>
      <c r="F33" s="9" cm="1">
        <f t="array" ref="F33">IF('01_Input_Raw_Products'!X33&lt;&gt;"",'01_Input_Raw_Products'!X33,IFERROR(_xlfn.XLOOKUP('01_Input_Raw_Products'!F33,'10_Master_Gem_Types'!A:A,'10_Master_Gem_Types'!O:O),LOWER(SUBSTITUTE(IF('01_Input_Raw_Products'!F33&lt;&gt;"",'01_Input_Raw_Products'!F33,'01_Input_Raw_Products'!D33)," ","-"))))</f>
        <v>0</v>
      </c>
      <c r="G33" s="9">
        <f>'01_Input_Raw_Products'!C33</f>
        <v>0</v>
      </c>
      <c r="H33" s="9" cm="1">
        <f t="array" ref="H33">IF('01_Input_Raw_Products'!H33&lt;&gt;"",'01_Input_Raw_Products'!H33,IFERROR(_xlfn.XLOOKUP('01_Input_Raw_Products'!F33,'10_Master_Gem_Types'!A:A,'10_Master_Gem_Types'!D:D),""))</f>
        <v>0</v>
      </c>
      <c r="I33" s="7">
        <f>IF('01_Input_Raw_Products'!N33&lt;&gt;"",'01_Input_Raw_Products'!N33,IF('01_Input_Raw_Products'!O33&lt;&gt;"",'01_Input_Raw_Products'!O33*0.91,""))</f>
        <v>0</v>
      </c>
      <c r="J33" s="9" cm="1">
        <f t="array" ref="J33">IFERROR(_xlfn.XLOOKUP('01_Input_Raw_Products'!F33,'10_Master_Gem_Types'!A:A,'10_Master_Gem_Types'!N:N),"")</f>
        <v>0</v>
      </c>
      <c r="K33" s="9" cm="1">
        <f t="array" ref="K33">IF('01_Input_Raw_Products'!J33&lt;&gt;"",'01_Input_Raw_Products'!J33,IFERROR(_xlfn.XLOOKUP('01_Input_Raw_Products'!F33,'10_Master_Gem_Types'!A:A,'10_Master_Gem_Types'!E:E),""))</f>
        <v>0</v>
      </c>
      <c r="L33" s="9">
        <f>'01_Input_Raw_Products'!P33</f>
        <v>0</v>
      </c>
      <c r="M33" s="9" cm="1">
        <f t="array" ref="M33">IFERROR(_xlfn.XLOOKUP('01_Input_Raw_Products'!K33,'12_Color_Mapping'!A:A,'12_Color_Mapping'!B:B),IFERROR(_xlfn.XLOOKUP('01_Input_Raw_Products'!F33,'10_Master_Gem_Types'!A:A,'10_Master_Gem_Types'!F:F),""))</f>
        <v>0</v>
      </c>
      <c r="N33" s="9">
        <f>IF(C33="","",IF('01_Input_Raw_Products'!F33&lt;&gt;"",'01_Input_Raw_Products'!F33,'01_Input_Raw_Products'!D33))</f>
        <v>0</v>
      </c>
      <c r="O33" s="9">
        <f>IF(C33="","","Catalog Automation")</f>
        <v>0</v>
      </c>
      <c r="P33" s="9">
        <f>'01_Input_Raw_Products'!U33</f>
        <v>0</v>
      </c>
      <c r="Q33" s="7">
        <f>IF('01_Input_Raw_Products'!O33&lt;&gt;"",'01_Input_Raw_Products'!O33,IF('01_Input_Raw_Products'!N33&lt;&gt;"",'01_Input_Raw_Products'!N33*1.1,""))</f>
        <v>0</v>
      </c>
      <c r="R33" s="9">
        <f>'01_Input_Raw_Products'!S33</f>
        <v>0</v>
      </c>
      <c r="S33" s="9" cm="1">
        <f t="array" ref="S33">IFERROR(_xlfn.XLOOKUP('01_Input_Raw_Products'!F33,'10_Master_Gem_Types'!A:A,'10_Master_Gem_Types'!H:H),"")</f>
        <v>0</v>
      </c>
      <c r="T33" s="8">
        <f>'01_Input_Raw_Products'!Q33</f>
        <v>0</v>
      </c>
      <c r="U33" s="8">
        <f>'01_Input_Raw_Products'!R33</f>
        <v>0</v>
      </c>
      <c r="V33" s="7">
        <f>I33</f>
        <v>0</v>
      </c>
      <c r="W33" s="9" cm="1">
        <f t="array" ref="W33">IF('01_Input_Raw_Products'!G33&lt;&gt;"",'01_Input_Raw_Products'!G33,IFERROR(_xlfn.XLOOKUP('01_Input_Raw_Products'!F33,'10_Master_Gem_Types'!A:A,'10_Master_Gem_Types'!L:L),""))</f>
        <v>0</v>
      </c>
      <c r="X33" s="9" cm="1">
        <f t="array" ref="X33">IFERROR(_xlfn.XLOOKUP('01_Input_Raw_Products'!F33,'10_Master_Gem_Types'!A:A,'10_Master_Gem_Types'!J:J),"")</f>
        <v>0</v>
      </c>
      <c r="Y33" s="9" cm="1">
        <f t="array" ref="Y33">IFERROR(_xlfn.XLOOKUP('01_Input_Raw_Products'!F33,'10_Master_Gem_Types'!A:A,'10_Master_Gem_Types'!I:I),"")</f>
        <v>0</v>
      </c>
      <c r="Z33" s="9" cm="1">
        <f t="array" ref="Z33">IFERROR(_xlfn.XLOOKUP('01_Input_Raw_Products'!L33,'13_Certification_Stickers'!A:A,'13_Certification_Stickers'!C:C),"")</f>
        <v>0</v>
      </c>
      <c r="AA33" s="9" cm="1">
        <f t="array" ref="AA33">IFERROR(_xlfn.XLOOKUP('01_Input_Raw_Products'!S33,'14_Shipping_Rules'!A:A,'14_Shipping_Rules'!B:B),"")</f>
        <v>0</v>
      </c>
      <c r="AB33" s="9" cm="1">
        <f t="array" ref="AB33">IFERROR(_xlfn.XLOOKUP('01_Input_Raw_Products'!D33,'16_Astro_Flags'!A:A,'16_Astro_Flags'!B:B),"")</f>
        <v>0</v>
      </c>
      <c r="AC33" s="9">
        <f>IF(C33="","","Catalog, Search")</f>
        <v>0</v>
      </c>
      <c r="AD33" s="9">
        <f>IF(C33="","",IF(OR(F33="",J33="",M33="",S33="",Y33=""),"Manual Review","Ready"))</f>
        <v>0</v>
      </c>
      <c r="AE33" s="9">
        <f>IF(C33="","",TEXTJOIN("; ",TRUE,IF(F33="","Missing url_key",""),IF(J33="","Missing classification",""),IF(M33="","Missing j_colour",""),IF(S33="","Missing hsn_code",""),IF(Y33="","Missing tax_class_id","")))</f>
        <v>0</v>
      </c>
    </row>
    <row r="34" spans="1:31">
      <c r="A34" s="9">
        <f>IF('01_Input_Raw_Products'!B34&lt;&gt;"",20,"")</f>
        <v>0</v>
      </c>
      <c r="B34" s="9" cm="1">
        <f t="array" ref="B34">IF('01_Input_Raw_Products'!M34&lt;&gt;"",'01_Input_Raw_Products'!M34,IFERROR(_xlfn.XLOOKUP('01_Input_Raw_Products'!F34,'10_Master_Gem_Types'!A:A,'10_Master_Gem_Types'!K:K),""))</f>
        <v>0</v>
      </c>
      <c r="C34" s="9">
        <f>'01_Input_Raw_Products'!B34</f>
        <v>0</v>
      </c>
      <c r="D34" s="9">
        <f>IF(C34="","",TEXT(I34,"0.00")&amp;" Ct "&amp;IF('01_Input_Raw_Products'!F34&lt;&gt;"",'01_Input_Raw_Products'!F34,'01_Input_Raw_Products'!D34)&amp;" "&amp;'01_Input_Raw_Products'!I34)</f>
        <v>0</v>
      </c>
      <c r="E34" s="9">
        <f>IF(C34="","",D34&amp;" | GemPundit")</f>
        <v>0</v>
      </c>
      <c r="F34" s="9" cm="1">
        <f t="array" ref="F34">IF('01_Input_Raw_Products'!X34&lt;&gt;"",'01_Input_Raw_Products'!X34,IFERROR(_xlfn.XLOOKUP('01_Input_Raw_Products'!F34,'10_Master_Gem_Types'!A:A,'10_Master_Gem_Types'!O:O),LOWER(SUBSTITUTE(IF('01_Input_Raw_Products'!F34&lt;&gt;"",'01_Input_Raw_Products'!F34,'01_Input_Raw_Products'!D34)," ","-"))))</f>
        <v>0</v>
      </c>
      <c r="G34" s="9">
        <f>'01_Input_Raw_Products'!C34</f>
        <v>0</v>
      </c>
      <c r="H34" s="9" cm="1">
        <f t="array" ref="H34">IF('01_Input_Raw_Products'!H34&lt;&gt;"",'01_Input_Raw_Products'!H34,IFERROR(_xlfn.XLOOKUP('01_Input_Raw_Products'!F34,'10_Master_Gem_Types'!A:A,'10_Master_Gem_Types'!D:D),""))</f>
        <v>0</v>
      </c>
      <c r="I34" s="7">
        <f>IF('01_Input_Raw_Products'!N34&lt;&gt;"",'01_Input_Raw_Products'!N34,IF('01_Input_Raw_Products'!O34&lt;&gt;"",'01_Input_Raw_Products'!O34*0.91,""))</f>
        <v>0</v>
      </c>
      <c r="J34" s="9" cm="1">
        <f t="array" ref="J34">IFERROR(_xlfn.XLOOKUP('01_Input_Raw_Products'!F34,'10_Master_Gem_Types'!A:A,'10_Master_Gem_Types'!N:N),"")</f>
        <v>0</v>
      </c>
      <c r="K34" s="9" cm="1">
        <f t="array" ref="K34">IF('01_Input_Raw_Products'!J34&lt;&gt;"",'01_Input_Raw_Products'!J34,IFERROR(_xlfn.XLOOKUP('01_Input_Raw_Products'!F34,'10_Master_Gem_Types'!A:A,'10_Master_Gem_Types'!E:E),""))</f>
        <v>0</v>
      </c>
      <c r="L34" s="9">
        <f>'01_Input_Raw_Products'!P34</f>
        <v>0</v>
      </c>
      <c r="M34" s="9" cm="1">
        <f t="array" ref="M34">IFERROR(_xlfn.XLOOKUP('01_Input_Raw_Products'!K34,'12_Color_Mapping'!A:A,'12_Color_Mapping'!B:B),IFERROR(_xlfn.XLOOKUP('01_Input_Raw_Products'!F34,'10_Master_Gem_Types'!A:A,'10_Master_Gem_Types'!F:F),""))</f>
        <v>0</v>
      </c>
      <c r="N34" s="9">
        <f>IF(C34="","",IF('01_Input_Raw_Products'!F34&lt;&gt;"",'01_Input_Raw_Products'!F34,'01_Input_Raw_Products'!D34))</f>
        <v>0</v>
      </c>
      <c r="O34" s="9">
        <f>IF(C34="","","Catalog Automation")</f>
        <v>0</v>
      </c>
      <c r="P34" s="9">
        <f>'01_Input_Raw_Products'!U34</f>
        <v>0</v>
      </c>
      <c r="Q34" s="7">
        <f>IF('01_Input_Raw_Products'!O34&lt;&gt;"",'01_Input_Raw_Products'!O34,IF('01_Input_Raw_Products'!N34&lt;&gt;"",'01_Input_Raw_Products'!N34*1.1,""))</f>
        <v>0</v>
      </c>
      <c r="R34" s="9">
        <f>'01_Input_Raw_Products'!S34</f>
        <v>0</v>
      </c>
      <c r="S34" s="9" cm="1">
        <f t="array" ref="S34">IFERROR(_xlfn.XLOOKUP('01_Input_Raw_Products'!F34,'10_Master_Gem_Types'!A:A,'10_Master_Gem_Types'!H:H),"")</f>
        <v>0</v>
      </c>
      <c r="T34" s="8">
        <f>'01_Input_Raw_Products'!Q34</f>
        <v>0</v>
      </c>
      <c r="U34" s="8">
        <f>'01_Input_Raw_Products'!R34</f>
        <v>0</v>
      </c>
      <c r="V34" s="7">
        <f>I34</f>
        <v>0</v>
      </c>
      <c r="W34" s="9" cm="1">
        <f t="array" ref="W34">IF('01_Input_Raw_Products'!G34&lt;&gt;"",'01_Input_Raw_Products'!G34,IFERROR(_xlfn.XLOOKUP('01_Input_Raw_Products'!F34,'10_Master_Gem_Types'!A:A,'10_Master_Gem_Types'!L:L),""))</f>
        <v>0</v>
      </c>
      <c r="X34" s="9" cm="1">
        <f t="array" ref="X34">IFERROR(_xlfn.XLOOKUP('01_Input_Raw_Products'!F34,'10_Master_Gem_Types'!A:A,'10_Master_Gem_Types'!J:J),"")</f>
        <v>0</v>
      </c>
      <c r="Y34" s="9" cm="1">
        <f t="array" ref="Y34">IFERROR(_xlfn.XLOOKUP('01_Input_Raw_Products'!F34,'10_Master_Gem_Types'!A:A,'10_Master_Gem_Types'!I:I),"")</f>
        <v>0</v>
      </c>
      <c r="Z34" s="9" cm="1">
        <f t="array" ref="Z34">IFERROR(_xlfn.XLOOKUP('01_Input_Raw_Products'!L34,'13_Certification_Stickers'!A:A,'13_Certification_Stickers'!C:C),"")</f>
        <v>0</v>
      </c>
      <c r="AA34" s="9" cm="1">
        <f t="array" ref="AA34">IFERROR(_xlfn.XLOOKUP('01_Input_Raw_Products'!S34,'14_Shipping_Rules'!A:A,'14_Shipping_Rules'!B:B),"")</f>
        <v>0</v>
      </c>
      <c r="AB34" s="9" cm="1">
        <f t="array" ref="AB34">IFERROR(_xlfn.XLOOKUP('01_Input_Raw_Products'!D34,'16_Astro_Flags'!A:A,'16_Astro_Flags'!B:B),"")</f>
        <v>0</v>
      </c>
      <c r="AC34" s="9">
        <f>IF(C34="","","Catalog, Search")</f>
        <v>0</v>
      </c>
      <c r="AD34" s="9">
        <f>IF(C34="","",IF(OR(F34="",J34="",M34="",S34="",Y34=""),"Manual Review","Ready"))</f>
        <v>0</v>
      </c>
      <c r="AE34" s="9">
        <f>IF(C34="","",TEXTJOIN("; ",TRUE,IF(F34="","Missing url_key",""),IF(J34="","Missing classification",""),IF(M34="","Missing j_colour",""),IF(S34="","Missing hsn_code",""),IF(Y34="","Missing tax_class_id","")))</f>
        <v>0</v>
      </c>
    </row>
    <row r="35" spans="1:31">
      <c r="A35" s="9">
        <f>IF('01_Input_Raw_Products'!B35&lt;&gt;"",20,"")</f>
        <v>0</v>
      </c>
      <c r="B35" s="9" cm="1">
        <f t="array" ref="B35">IF('01_Input_Raw_Products'!M35&lt;&gt;"",'01_Input_Raw_Products'!M35,IFERROR(_xlfn.XLOOKUP('01_Input_Raw_Products'!F35,'10_Master_Gem_Types'!A:A,'10_Master_Gem_Types'!K:K),""))</f>
        <v>0</v>
      </c>
      <c r="C35" s="9">
        <f>'01_Input_Raw_Products'!B35</f>
        <v>0</v>
      </c>
      <c r="D35" s="9">
        <f>IF(C35="","",TEXT(I35,"0.00")&amp;" Ct "&amp;IF('01_Input_Raw_Products'!F35&lt;&gt;"",'01_Input_Raw_Products'!F35,'01_Input_Raw_Products'!D35)&amp;" "&amp;'01_Input_Raw_Products'!I35)</f>
        <v>0</v>
      </c>
      <c r="E35" s="9">
        <f>IF(C35="","",D35&amp;" | GemPundit")</f>
        <v>0</v>
      </c>
      <c r="F35" s="9" cm="1">
        <f t="array" ref="F35">IF('01_Input_Raw_Products'!X35&lt;&gt;"",'01_Input_Raw_Products'!X35,IFERROR(_xlfn.XLOOKUP('01_Input_Raw_Products'!F35,'10_Master_Gem_Types'!A:A,'10_Master_Gem_Types'!O:O),LOWER(SUBSTITUTE(IF('01_Input_Raw_Products'!F35&lt;&gt;"",'01_Input_Raw_Products'!F35,'01_Input_Raw_Products'!D35)," ","-"))))</f>
        <v>0</v>
      </c>
      <c r="G35" s="9">
        <f>'01_Input_Raw_Products'!C35</f>
        <v>0</v>
      </c>
      <c r="H35" s="9" cm="1">
        <f t="array" ref="H35">IF('01_Input_Raw_Products'!H35&lt;&gt;"",'01_Input_Raw_Products'!H35,IFERROR(_xlfn.XLOOKUP('01_Input_Raw_Products'!F35,'10_Master_Gem_Types'!A:A,'10_Master_Gem_Types'!D:D),""))</f>
        <v>0</v>
      </c>
      <c r="I35" s="7">
        <f>IF('01_Input_Raw_Products'!N35&lt;&gt;"",'01_Input_Raw_Products'!N35,IF('01_Input_Raw_Products'!O35&lt;&gt;"",'01_Input_Raw_Products'!O35*0.91,""))</f>
        <v>0</v>
      </c>
      <c r="J35" s="9" cm="1">
        <f t="array" ref="J35">IFERROR(_xlfn.XLOOKUP('01_Input_Raw_Products'!F35,'10_Master_Gem_Types'!A:A,'10_Master_Gem_Types'!N:N),"")</f>
        <v>0</v>
      </c>
      <c r="K35" s="9" cm="1">
        <f t="array" ref="K35">IF('01_Input_Raw_Products'!J35&lt;&gt;"",'01_Input_Raw_Products'!J35,IFERROR(_xlfn.XLOOKUP('01_Input_Raw_Products'!F35,'10_Master_Gem_Types'!A:A,'10_Master_Gem_Types'!E:E),""))</f>
        <v>0</v>
      </c>
      <c r="L35" s="9">
        <f>'01_Input_Raw_Products'!P35</f>
        <v>0</v>
      </c>
      <c r="M35" s="9" cm="1">
        <f t="array" ref="M35">IFERROR(_xlfn.XLOOKUP('01_Input_Raw_Products'!K35,'12_Color_Mapping'!A:A,'12_Color_Mapping'!B:B),IFERROR(_xlfn.XLOOKUP('01_Input_Raw_Products'!F35,'10_Master_Gem_Types'!A:A,'10_Master_Gem_Types'!F:F),""))</f>
        <v>0</v>
      </c>
      <c r="N35" s="9">
        <f>IF(C35="","",IF('01_Input_Raw_Products'!F35&lt;&gt;"",'01_Input_Raw_Products'!F35,'01_Input_Raw_Products'!D35))</f>
        <v>0</v>
      </c>
      <c r="O35" s="9">
        <f>IF(C35="","","Catalog Automation")</f>
        <v>0</v>
      </c>
      <c r="P35" s="9">
        <f>'01_Input_Raw_Products'!U35</f>
        <v>0</v>
      </c>
      <c r="Q35" s="7">
        <f>IF('01_Input_Raw_Products'!O35&lt;&gt;"",'01_Input_Raw_Products'!O35,IF('01_Input_Raw_Products'!N35&lt;&gt;"",'01_Input_Raw_Products'!N35*1.1,""))</f>
        <v>0</v>
      </c>
      <c r="R35" s="9">
        <f>'01_Input_Raw_Products'!S35</f>
        <v>0</v>
      </c>
      <c r="S35" s="9" cm="1">
        <f t="array" ref="S35">IFERROR(_xlfn.XLOOKUP('01_Input_Raw_Products'!F35,'10_Master_Gem_Types'!A:A,'10_Master_Gem_Types'!H:H),"")</f>
        <v>0</v>
      </c>
      <c r="T35" s="8">
        <f>'01_Input_Raw_Products'!Q35</f>
        <v>0</v>
      </c>
      <c r="U35" s="8">
        <f>'01_Input_Raw_Products'!R35</f>
        <v>0</v>
      </c>
      <c r="V35" s="7">
        <f>I35</f>
        <v>0</v>
      </c>
      <c r="W35" s="9" cm="1">
        <f t="array" ref="W35">IF('01_Input_Raw_Products'!G35&lt;&gt;"",'01_Input_Raw_Products'!G35,IFERROR(_xlfn.XLOOKUP('01_Input_Raw_Products'!F35,'10_Master_Gem_Types'!A:A,'10_Master_Gem_Types'!L:L),""))</f>
        <v>0</v>
      </c>
      <c r="X35" s="9" cm="1">
        <f t="array" ref="X35">IFERROR(_xlfn.XLOOKUP('01_Input_Raw_Products'!F35,'10_Master_Gem_Types'!A:A,'10_Master_Gem_Types'!J:J),"")</f>
        <v>0</v>
      </c>
      <c r="Y35" s="9" cm="1">
        <f t="array" ref="Y35">IFERROR(_xlfn.XLOOKUP('01_Input_Raw_Products'!F35,'10_Master_Gem_Types'!A:A,'10_Master_Gem_Types'!I:I),"")</f>
        <v>0</v>
      </c>
      <c r="Z35" s="9" cm="1">
        <f t="array" ref="Z35">IFERROR(_xlfn.XLOOKUP('01_Input_Raw_Products'!L35,'13_Certification_Stickers'!A:A,'13_Certification_Stickers'!C:C),"")</f>
        <v>0</v>
      </c>
      <c r="AA35" s="9" cm="1">
        <f t="array" ref="AA35">IFERROR(_xlfn.XLOOKUP('01_Input_Raw_Products'!S35,'14_Shipping_Rules'!A:A,'14_Shipping_Rules'!B:B),"")</f>
        <v>0</v>
      </c>
      <c r="AB35" s="9" cm="1">
        <f t="array" ref="AB35">IFERROR(_xlfn.XLOOKUP('01_Input_Raw_Products'!D35,'16_Astro_Flags'!A:A,'16_Astro_Flags'!B:B),"")</f>
        <v>0</v>
      </c>
      <c r="AC35" s="9">
        <f>IF(C35="","","Catalog, Search")</f>
        <v>0</v>
      </c>
      <c r="AD35" s="9">
        <f>IF(C35="","",IF(OR(F35="",J35="",M35="",S35="",Y35=""),"Manual Review","Ready"))</f>
        <v>0</v>
      </c>
      <c r="AE35" s="9">
        <f>IF(C35="","",TEXTJOIN("; ",TRUE,IF(F35="","Missing url_key",""),IF(J35="","Missing classification",""),IF(M35="","Missing j_colour",""),IF(S35="","Missing hsn_code",""),IF(Y35="","Missing tax_class_id","")))</f>
        <v>0</v>
      </c>
    </row>
    <row r="36" spans="1:31">
      <c r="A36" s="9">
        <f>IF('01_Input_Raw_Products'!B36&lt;&gt;"",20,"")</f>
        <v>0</v>
      </c>
      <c r="B36" s="9" cm="1">
        <f t="array" ref="B36">IF('01_Input_Raw_Products'!M36&lt;&gt;"",'01_Input_Raw_Products'!M36,IFERROR(_xlfn.XLOOKUP('01_Input_Raw_Products'!F36,'10_Master_Gem_Types'!A:A,'10_Master_Gem_Types'!K:K),""))</f>
        <v>0</v>
      </c>
      <c r="C36" s="9">
        <f>'01_Input_Raw_Products'!B36</f>
        <v>0</v>
      </c>
      <c r="D36" s="9">
        <f>IF(C36="","",TEXT(I36,"0.00")&amp;" Ct "&amp;IF('01_Input_Raw_Products'!F36&lt;&gt;"",'01_Input_Raw_Products'!F36,'01_Input_Raw_Products'!D36)&amp;" "&amp;'01_Input_Raw_Products'!I36)</f>
        <v>0</v>
      </c>
      <c r="E36" s="9">
        <f>IF(C36="","",D36&amp;" | GemPundit")</f>
        <v>0</v>
      </c>
      <c r="F36" s="9" cm="1">
        <f t="array" ref="F36">IF('01_Input_Raw_Products'!X36&lt;&gt;"",'01_Input_Raw_Products'!X36,IFERROR(_xlfn.XLOOKUP('01_Input_Raw_Products'!F36,'10_Master_Gem_Types'!A:A,'10_Master_Gem_Types'!O:O),LOWER(SUBSTITUTE(IF('01_Input_Raw_Products'!F36&lt;&gt;"",'01_Input_Raw_Products'!F36,'01_Input_Raw_Products'!D36)," ","-"))))</f>
        <v>0</v>
      </c>
      <c r="G36" s="9">
        <f>'01_Input_Raw_Products'!C36</f>
        <v>0</v>
      </c>
      <c r="H36" s="9" cm="1">
        <f t="array" ref="H36">IF('01_Input_Raw_Products'!H36&lt;&gt;"",'01_Input_Raw_Products'!H36,IFERROR(_xlfn.XLOOKUP('01_Input_Raw_Products'!F36,'10_Master_Gem_Types'!A:A,'10_Master_Gem_Types'!D:D),""))</f>
        <v>0</v>
      </c>
      <c r="I36" s="7">
        <f>IF('01_Input_Raw_Products'!N36&lt;&gt;"",'01_Input_Raw_Products'!N36,IF('01_Input_Raw_Products'!O36&lt;&gt;"",'01_Input_Raw_Products'!O36*0.91,""))</f>
        <v>0</v>
      </c>
      <c r="J36" s="9" cm="1">
        <f t="array" ref="J36">IFERROR(_xlfn.XLOOKUP('01_Input_Raw_Products'!F36,'10_Master_Gem_Types'!A:A,'10_Master_Gem_Types'!N:N),"")</f>
        <v>0</v>
      </c>
      <c r="K36" s="9" cm="1">
        <f t="array" ref="K36">IF('01_Input_Raw_Products'!J36&lt;&gt;"",'01_Input_Raw_Products'!J36,IFERROR(_xlfn.XLOOKUP('01_Input_Raw_Products'!F36,'10_Master_Gem_Types'!A:A,'10_Master_Gem_Types'!E:E),""))</f>
        <v>0</v>
      </c>
      <c r="L36" s="9">
        <f>'01_Input_Raw_Products'!P36</f>
        <v>0</v>
      </c>
      <c r="M36" s="9" cm="1">
        <f t="array" ref="M36">IFERROR(_xlfn.XLOOKUP('01_Input_Raw_Products'!K36,'12_Color_Mapping'!A:A,'12_Color_Mapping'!B:B),IFERROR(_xlfn.XLOOKUP('01_Input_Raw_Products'!F36,'10_Master_Gem_Types'!A:A,'10_Master_Gem_Types'!F:F),""))</f>
        <v>0</v>
      </c>
      <c r="N36" s="9">
        <f>IF(C36="","",IF('01_Input_Raw_Products'!F36&lt;&gt;"",'01_Input_Raw_Products'!F36,'01_Input_Raw_Products'!D36))</f>
        <v>0</v>
      </c>
      <c r="O36" s="9">
        <f>IF(C36="","","Catalog Automation")</f>
        <v>0</v>
      </c>
      <c r="P36" s="9">
        <f>'01_Input_Raw_Products'!U36</f>
        <v>0</v>
      </c>
      <c r="Q36" s="7">
        <f>IF('01_Input_Raw_Products'!O36&lt;&gt;"",'01_Input_Raw_Products'!O36,IF('01_Input_Raw_Products'!N36&lt;&gt;"",'01_Input_Raw_Products'!N36*1.1,""))</f>
        <v>0</v>
      </c>
      <c r="R36" s="9">
        <f>'01_Input_Raw_Products'!S36</f>
        <v>0</v>
      </c>
      <c r="S36" s="9" cm="1">
        <f t="array" ref="S36">IFERROR(_xlfn.XLOOKUP('01_Input_Raw_Products'!F36,'10_Master_Gem_Types'!A:A,'10_Master_Gem_Types'!H:H),"")</f>
        <v>0</v>
      </c>
      <c r="T36" s="8">
        <f>'01_Input_Raw_Products'!Q36</f>
        <v>0</v>
      </c>
      <c r="U36" s="8">
        <f>'01_Input_Raw_Products'!R36</f>
        <v>0</v>
      </c>
      <c r="V36" s="7">
        <f>I36</f>
        <v>0</v>
      </c>
      <c r="W36" s="9" cm="1">
        <f t="array" ref="W36">IF('01_Input_Raw_Products'!G36&lt;&gt;"",'01_Input_Raw_Products'!G36,IFERROR(_xlfn.XLOOKUP('01_Input_Raw_Products'!F36,'10_Master_Gem_Types'!A:A,'10_Master_Gem_Types'!L:L),""))</f>
        <v>0</v>
      </c>
      <c r="X36" s="9" cm="1">
        <f t="array" ref="X36">IFERROR(_xlfn.XLOOKUP('01_Input_Raw_Products'!F36,'10_Master_Gem_Types'!A:A,'10_Master_Gem_Types'!J:J),"")</f>
        <v>0</v>
      </c>
      <c r="Y36" s="9" cm="1">
        <f t="array" ref="Y36">IFERROR(_xlfn.XLOOKUP('01_Input_Raw_Products'!F36,'10_Master_Gem_Types'!A:A,'10_Master_Gem_Types'!I:I),"")</f>
        <v>0</v>
      </c>
      <c r="Z36" s="9" cm="1">
        <f t="array" ref="Z36">IFERROR(_xlfn.XLOOKUP('01_Input_Raw_Products'!L36,'13_Certification_Stickers'!A:A,'13_Certification_Stickers'!C:C),"")</f>
        <v>0</v>
      </c>
      <c r="AA36" s="9" cm="1">
        <f t="array" ref="AA36">IFERROR(_xlfn.XLOOKUP('01_Input_Raw_Products'!S36,'14_Shipping_Rules'!A:A,'14_Shipping_Rules'!B:B),"")</f>
        <v>0</v>
      </c>
      <c r="AB36" s="9" cm="1">
        <f t="array" ref="AB36">IFERROR(_xlfn.XLOOKUP('01_Input_Raw_Products'!D36,'16_Astro_Flags'!A:A,'16_Astro_Flags'!B:B),"")</f>
        <v>0</v>
      </c>
      <c r="AC36" s="9">
        <f>IF(C36="","","Catalog, Search")</f>
        <v>0</v>
      </c>
      <c r="AD36" s="9">
        <f>IF(C36="","",IF(OR(F36="",J36="",M36="",S36="",Y36=""),"Manual Review","Ready"))</f>
        <v>0</v>
      </c>
      <c r="AE36" s="9">
        <f>IF(C36="","",TEXTJOIN("; ",TRUE,IF(F36="","Missing url_key",""),IF(J36="","Missing classification",""),IF(M36="","Missing j_colour",""),IF(S36="","Missing hsn_code",""),IF(Y36="","Missing tax_class_id","")))</f>
        <v>0</v>
      </c>
    </row>
    <row r="37" spans="1:31">
      <c r="A37" s="9">
        <f>IF('01_Input_Raw_Products'!B37&lt;&gt;"",20,"")</f>
        <v>0</v>
      </c>
      <c r="B37" s="9" cm="1">
        <f t="array" ref="B37">IF('01_Input_Raw_Products'!M37&lt;&gt;"",'01_Input_Raw_Products'!M37,IFERROR(_xlfn.XLOOKUP('01_Input_Raw_Products'!F37,'10_Master_Gem_Types'!A:A,'10_Master_Gem_Types'!K:K),""))</f>
        <v>0</v>
      </c>
      <c r="C37" s="9">
        <f>'01_Input_Raw_Products'!B37</f>
        <v>0</v>
      </c>
      <c r="D37" s="9">
        <f>IF(C37="","",TEXT(I37,"0.00")&amp;" Ct "&amp;IF('01_Input_Raw_Products'!F37&lt;&gt;"",'01_Input_Raw_Products'!F37,'01_Input_Raw_Products'!D37)&amp;" "&amp;'01_Input_Raw_Products'!I37)</f>
        <v>0</v>
      </c>
      <c r="E37" s="9">
        <f>IF(C37="","",D37&amp;" | GemPundit")</f>
        <v>0</v>
      </c>
      <c r="F37" s="9" cm="1">
        <f t="array" ref="F37">IF('01_Input_Raw_Products'!X37&lt;&gt;"",'01_Input_Raw_Products'!X37,IFERROR(_xlfn.XLOOKUP('01_Input_Raw_Products'!F37,'10_Master_Gem_Types'!A:A,'10_Master_Gem_Types'!O:O),LOWER(SUBSTITUTE(IF('01_Input_Raw_Products'!F37&lt;&gt;"",'01_Input_Raw_Products'!F37,'01_Input_Raw_Products'!D37)," ","-"))))</f>
        <v>0</v>
      </c>
      <c r="G37" s="9">
        <f>'01_Input_Raw_Products'!C37</f>
        <v>0</v>
      </c>
      <c r="H37" s="9" cm="1">
        <f t="array" ref="H37">IF('01_Input_Raw_Products'!H37&lt;&gt;"",'01_Input_Raw_Products'!H37,IFERROR(_xlfn.XLOOKUP('01_Input_Raw_Products'!F37,'10_Master_Gem_Types'!A:A,'10_Master_Gem_Types'!D:D),""))</f>
        <v>0</v>
      </c>
      <c r="I37" s="7">
        <f>IF('01_Input_Raw_Products'!N37&lt;&gt;"",'01_Input_Raw_Products'!N37,IF('01_Input_Raw_Products'!O37&lt;&gt;"",'01_Input_Raw_Products'!O37*0.91,""))</f>
        <v>0</v>
      </c>
      <c r="J37" s="9" cm="1">
        <f t="array" ref="J37">IFERROR(_xlfn.XLOOKUP('01_Input_Raw_Products'!F37,'10_Master_Gem_Types'!A:A,'10_Master_Gem_Types'!N:N),"")</f>
        <v>0</v>
      </c>
      <c r="K37" s="9" cm="1">
        <f t="array" ref="K37">IF('01_Input_Raw_Products'!J37&lt;&gt;"",'01_Input_Raw_Products'!J37,IFERROR(_xlfn.XLOOKUP('01_Input_Raw_Products'!F37,'10_Master_Gem_Types'!A:A,'10_Master_Gem_Types'!E:E),""))</f>
        <v>0</v>
      </c>
      <c r="L37" s="9">
        <f>'01_Input_Raw_Products'!P37</f>
        <v>0</v>
      </c>
      <c r="M37" s="9" cm="1">
        <f t="array" ref="M37">IFERROR(_xlfn.XLOOKUP('01_Input_Raw_Products'!K37,'12_Color_Mapping'!A:A,'12_Color_Mapping'!B:B),IFERROR(_xlfn.XLOOKUP('01_Input_Raw_Products'!F37,'10_Master_Gem_Types'!A:A,'10_Master_Gem_Types'!F:F),""))</f>
        <v>0</v>
      </c>
      <c r="N37" s="9">
        <f>IF(C37="","",IF('01_Input_Raw_Products'!F37&lt;&gt;"",'01_Input_Raw_Products'!F37,'01_Input_Raw_Products'!D37))</f>
        <v>0</v>
      </c>
      <c r="O37" s="9">
        <f>IF(C37="","","Catalog Automation")</f>
        <v>0</v>
      </c>
      <c r="P37" s="9">
        <f>'01_Input_Raw_Products'!U37</f>
        <v>0</v>
      </c>
      <c r="Q37" s="7">
        <f>IF('01_Input_Raw_Products'!O37&lt;&gt;"",'01_Input_Raw_Products'!O37,IF('01_Input_Raw_Products'!N37&lt;&gt;"",'01_Input_Raw_Products'!N37*1.1,""))</f>
        <v>0</v>
      </c>
      <c r="R37" s="9">
        <f>'01_Input_Raw_Products'!S37</f>
        <v>0</v>
      </c>
      <c r="S37" s="9" cm="1">
        <f t="array" ref="S37">IFERROR(_xlfn.XLOOKUP('01_Input_Raw_Products'!F37,'10_Master_Gem_Types'!A:A,'10_Master_Gem_Types'!H:H),"")</f>
        <v>0</v>
      </c>
      <c r="T37" s="8">
        <f>'01_Input_Raw_Products'!Q37</f>
        <v>0</v>
      </c>
      <c r="U37" s="8">
        <f>'01_Input_Raw_Products'!R37</f>
        <v>0</v>
      </c>
      <c r="V37" s="7">
        <f>I37</f>
        <v>0</v>
      </c>
      <c r="W37" s="9" cm="1">
        <f t="array" ref="W37">IF('01_Input_Raw_Products'!G37&lt;&gt;"",'01_Input_Raw_Products'!G37,IFERROR(_xlfn.XLOOKUP('01_Input_Raw_Products'!F37,'10_Master_Gem_Types'!A:A,'10_Master_Gem_Types'!L:L),""))</f>
        <v>0</v>
      </c>
      <c r="X37" s="9" cm="1">
        <f t="array" ref="X37">IFERROR(_xlfn.XLOOKUP('01_Input_Raw_Products'!F37,'10_Master_Gem_Types'!A:A,'10_Master_Gem_Types'!J:J),"")</f>
        <v>0</v>
      </c>
      <c r="Y37" s="9" cm="1">
        <f t="array" ref="Y37">IFERROR(_xlfn.XLOOKUP('01_Input_Raw_Products'!F37,'10_Master_Gem_Types'!A:A,'10_Master_Gem_Types'!I:I),"")</f>
        <v>0</v>
      </c>
      <c r="Z37" s="9" cm="1">
        <f t="array" ref="Z37">IFERROR(_xlfn.XLOOKUP('01_Input_Raw_Products'!L37,'13_Certification_Stickers'!A:A,'13_Certification_Stickers'!C:C),"")</f>
        <v>0</v>
      </c>
      <c r="AA37" s="9" cm="1">
        <f t="array" ref="AA37">IFERROR(_xlfn.XLOOKUP('01_Input_Raw_Products'!S37,'14_Shipping_Rules'!A:A,'14_Shipping_Rules'!B:B),"")</f>
        <v>0</v>
      </c>
      <c r="AB37" s="9" cm="1">
        <f t="array" ref="AB37">IFERROR(_xlfn.XLOOKUP('01_Input_Raw_Products'!D37,'16_Astro_Flags'!A:A,'16_Astro_Flags'!B:B),"")</f>
        <v>0</v>
      </c>
      <c r="AC37" s="9">
        <f>IF(C37="","","Catalog, Search")</f>
        <v>0</v>
      </c>
      <c r="AD37" s="9">
        <f>IF(C37="","",IF(OR(F37="",J37="",M37="",S37="",Y37=""),"Manual Review","Ready"))</f>
        <v>0</v>
      </c>
      <c r="AE37" s="9">
        <f>IF(C37="","",TEXTJOIN("; ",TRUE,IF(F37="","Missing url_key",""),IF(J37="","Missing classification",""),IF(M37="","Missing j_colour",""),IF(S37="","Missing hsn_code",""),IF(Y37="","Missing tax_class_id","")))</f>
        <v>0</v>
      </c>
    </row>
    <row r="38" spans="1:31">
      <c r="A38" s="9">
        <f>IF('01_Input_Raw_Products'!B38&lt;&gt;"",20,"")</f>
        <v>0</v>
      </c>
      <c r="B38" s="9" cm="1">
        <f t="array" ref="B38">IF('01_Input_Raw_Products'!M38&lt;&gt;"",'01_Input_Raw_Products'!M38,IFERROR(_xlfn.XLOOKUP('01_Input_Raw_Products'!F38,'10_Master_Gem_Types'!A:A,'10_Master_Gem_Types'!K:K),""))</f>
        <v>0</v>
      </c>
      <c r="C38" s="9">
        <f>'01_Input_Raw_Products'!B38</f>
        <v>0</v>
      </c>
      <c r="D38" s="9">
        <f>IF(C38="","",TEXT(I38,"0.00")&amp;" Ct "&amp;IF('01_Input_Raw_Products'!F38&lt;&gt;"",'01_Input_Raw_Products'!F38,'01_Input_Raw_Products'!D38)&amp;" "&amp;'01_Input_Raw_Products'!I38)</f>
        <v>0</v>
      </c>
      <c r="E38" s="9">
        <f>IF(C38="","",D38&amp;" | GemPundit")</f>
        <v>0</v>
      </c>
      <c r="F38" s="9" cm="1">
        <f t="array" ref="F38">IF('01_Input_Raw_Products'!X38&lt;&gt;"",'01_Input_Raw_Products'!X38,IFERROR(_xlfn.XLOOKUP('01_Input_Raw_Products'!F38,'10_Master_Gem_Types'!A:A,'10_Master_Gem_Types'!O:O),LOWER(SUBSTITUTE(IF('01_Input_Raw_Products'!F38&lt;&gt;"",'01_Input_Raw_Products'!F38,'01_Input_Raw_Products'!D38)," ","-"))))</f>
        <v>0</v>
      </c>
      <c r="G38" s="9">
        <f>'01_Input_Raw_Products'!C38</f>
        <v>0</v>
      </c>
      <c r="H38" s="9" cm="1">
        <f t="array" ref="H38">IF('01_Input_Raw_Products'!H38&lt;&gt;"",'01_Input_Raw_Products'!H38,IFERROR(_xlfn.XLOOKUP('01_Input_Raw_Products'!F38,'10_Master_Gem_Types'!A:A,'10_Master_Gem_Types'!D:D),""))</f>
        <v>0</v>
      </c>
      <c r="I38" s="7">
        <f>IF('01_Input_Raw_Products'!N38&lt;&gt;"",'01_Input_Raw_Products'!N38,IF('01_Input_Raw_Products'!O38&lt;&gt;"",'01_Input_Raw_Products'!O38*0.91,""))</f>
        <v>0</v>
      </c>
      <c r="J38" s="9" cm="1">
        <f t="array" ref="J38">IFERROR(_xlfn.XLOOKUP('01_Input_Raw_Products'!F38,'10_Master_Gem_Types'!A:A,'10_Master_Gem_Types'!N:N),"")</f>
        <v>0</v>
      </c>
      <c r="K38" s="9" cm="1">
        <f t="array" ref="K38">IF('01_Input_Raw_Products'!J38&lt;&gt;"",'01_Input_Raw_Products'!J38,IFERROR(_xlfn.XLOOKUP('01_Input_Raw_Products'!F38,'10_Master_Gem_Types'!A:A,'10_Master_Gem_Types'!E:E),""))</f>
        <v>0</v>
      </c>
      <c r="L38" s="9">
        <f>'01_Input_Raw_Products'!P38</f>
        <v>0</v>
      </c>
      <c r="M38" s="9" cm="1">
        <f t="array" ref="M38">IFERROR(_xlfn.XLOOKUP('01_Input_Raw_Products'!K38,'12_Color_Mapping'!A:A,'12_Color_Mapping'!B:B),IFERROR(_xlfn.XLOOKUP('01_Input_Raw_Products'!F38,'10_Master_Gem_Types'!A:A,'10_Master_Gem_Types'!F:F),""))</f>
        <v>0</v>
      </c>
      <c r="N38" s="9">
        <f>IF(C38="","",IF('01_Input_Raw_Products'!F38&lt;&gt;"",'01_Input_Raw_Products'!F38,'01_Input_Raw_Products'!D38))</f>
        <v>0</v>
      </c>
      <c r="O38" s="9">
        <f>IF(C38="","","Catalog Automation")</f>
        <v>0</v>
      </c>
      <c r="P38" s="9">
        <f>'01_Input_Raw_Products'!U38</f>
        <v>0</v>
      </c>
      <c r="Q38" s="7">
        <f>IF('01_Input_Raw_Products'!O38&lt;&gt;"",'01_Input_Raw_Products'!O38,IF('01_Input_Raw_Products'!N38&lt;&gt;"",'01_Input_Raw_Products'!N38*1.1,""))</f>
        <v>0</v>
      </c>
      <c r="R38" s="9">
        <f>'01_Input_Raw_Products'!S38</f>
        <v>0</v>
      </c>
      <c r="S38" s="9" cm="1">
        <f t="array" ref="S38">IFERROR(_xlfn.XLOOKUP('01_Input_Raw_Products'!F38,'10_Master_Gem_Types'!A:A,'10_Master_Gem_Types'!H:H),"")</f>
        <v>0</v>
      </c>
      <c r="T38" s="8">
        <f>'01_Input_Raw_Products'!Q38</f>
        <v>0</v>
      </c>
      <c r="U38" s="8">
        <f>'01_Input_Raw_Products'!R38</f>
        <v>0</v>
      </c>
      <c r="V38" s="7">
        <f>I38</f>
        <v>0</v>
      </c>
      <c r="W38" s="9" cm="1">
        <f t="array" ref="W38">IF('01_Input_Raw_Products'!G38&lt;&gt;"",'01_Input_Raw_Products'!G38,IFERROR(_xlfn.XLOOKUP('01_Input_Raw_Products'!F38,'10_Master_Gem_Types'!A:A,'10_Master_Gem_Types'!L:L),""))</f>
        <v>0</v>
      </c>
      <c r="X38" s="9" cm="1">
        <f t="array" ref="X38">IFERROR(_xlfn.XLOOKUP('01_Input_Raw_Products'!F38,'10_Master_Gem_Types'!A:A,'10_Master_Gem_Types'!J:J),"")</f>
        <v>0</v>
      </c>
      <c r="Y38" s="9" cm="1">
        <f t="array" ref="Y38">IFERROR(_xlfn.XLOOKUP('01_Input_Raw_Products'!F38,'10_Master_Gem_Types'!A:A,'10_Master_Gem_Types'!I:I),"")</f>
        <v>0</v>
      </c>
      <c r="Z38" s="9" cm="1">
        <f t="array" ref="Z38">IFERROR(_xlfn.XLOOKUP('01_Input_Raw_Products'!L38,'13_Certification_Stickers'!A:A,'13_Certification_Stickers'!C:C),"")</f>
        <v>0</v>
      </c>
      <c r="AA38" s="9" cm="1">
        <f t="array" ref="AA38">IFERROR(_xlfn.XLOOKUP('01_Input_Raw_Products'!S38,'14_Shipping_Rules'!A:A,'14_Shipping_Rules'!B:B),"")</f>
        <v>0</v>
      </c>
      <c r="AB38" s="9" cm="1">
        <f t="array" ref="AB38">IFERROR(_xlfn.XLOOKUP('01_Input_Raw_Products'!D38,'16_Astro_Flags'!A:A,'16_Astro_Flags'!B:B),"")</f>
        <v>0</v>
      </c>
      <c r="AC38" s="9">
        <f>IF(C38="","","Catalog, Search")</f>
        <v>0</v>
      </c>
      <c r="AD38" s="9">
        <f>IF(C38="","",IF(OR(F38="",J38="",M38="",S38="",Y38=""),"Manual Review","Ready"))</f>
        <v>0</v>
      </c>
      <c r="AE38" s="9">
        <f>IF(C38="","",TEXTJOIN("; ",TRUE,IF(F38="","Missing url_key",""),IF(J38="","Missing classification",""),IF(M38="","Missing j_colour",""),IF(S38="","Missing hsn_code",""),IF(Y38="","Missing tax_class_id","")))</f>
        <v>0</v>
      </c>
    </row>
    <row r="39" spans="1:31">
      <c r="A39" s="9">
        <f>IF('01_Input_Raw_Products'!B39&lt;&gt;"",20,"")</f>
        <v>0</v>
      </c>
      <c r="B39" s="9" cm="1">
        <f t="array" ref="B39">IF('01_Input_Raw_Products'!M39&lt;&gt;"",'01_Input_Raw_Products'!M39,IFERROR(_xlfn.XLOOKUP('01_Input_Raw_Products'!F39,'10_Master_Gem_Types'!A:A,'10_Master_Gem_Types'!K:K),""))</f>
        <v>0</v>
      </c>
      <c r="C39" s="9">
        <f>'01_Input_Raw_Products'!B39</f>
        <v>0</v>
      </c>
      <c r="D39" s="9">
        <f>IF(C39="","",TEXT(I39,"0.00")&amp;" Ct "&amp;IF('01_Input_Raw_Products'!F39&lt;&gt;"",'01_Input_Raw_Products'!F39,'01_Input_Raw_Products'!D39)&amp;" "&amp;'01_Input_Raw_Products'!I39)</f>
        <v>0</v>
      </c>
      <c r="E39" s="9">
        <f>IF(C39="","",D39&amp;" | GemPundit")</f>
        <v>0</v>
      </c>
      <c r="F39" s="9" cm="1">
        <f t="array" ref="F39">IF('01_Input_Raw_Products'!X39&lt;&gt;"",'01_Input_Raw_Products'!X39,IFERROR(_xlfn.XLOOKUP('01_Input_Raw_Products'!F39,'10_Master_Gem_Types'!A:A,'10_Master_Gem_Types'!O:O),LOWER(SUBSTITUTE(IF('01_Input_Raw_Products'!F39&lt;&gt;"",'01_Input_Raw_Products'!F39,'01_Input_Raw_Products'!D39)," ","-"))))</f>
        <v>0</v>
      </c>
      <c r="G39" s="9">
        <f>'01_Input_Raw_Products'!C39</f>
        <v>0</v>
      </c>
      <c r="H39" s="9" cm="1">
        <f t="array" ref="H39">IF('01_Input_Raw_Products'!H39&lt;&gt;"",'01_Input_Raw_Products'!H39,IFERROR(_xlfn.XLOOKUP('01_Input_Raw_Products'!F39,'10_Master_Gem_Types'!A:A,'10_Master_Gem_Types'!D:D),""))</f>
        <v>0</v>
      </c>
      <c r="I39" s="7">
        <f>IF('01_Input_Raw_Products'!N39&lt;&gt;"",'01_Input_Raw_Products'!N39,IF('01_Input_Raw_Products'!O39&lt;&gt;"",'01_Input_Raw_Products'!O39*0.91,""))</f>
        <v>0</v>
      </c>
      <c r="J39" s="9" cm="1">
        <f t="array" ref="J39">IFERROR(_xlfn.XLOOKUP('01_Input_Raw_Products'!F39,'10_Master_Gem_Types'!A:A,'10_Master_Gem_Types'!N:N),"")</f>
        <v>0</v>
      </c>
      <c r="K39" s="9" cm="1">
        <f t="array" ref="K39">IF('01_Input_Raw_Products'!J39&lt;&gt;"",'01_Input_Raw_Products'!J39,IFERROR(_xlfn.XLOOKUP('01_Input_Raw_Products'!F39,'10_Master_Gem_Types'!A:A,'10_Master_Gem_Types'!E:E),""))</f>
        <v>0</v>
      </c>
      <c r="L39" s="9">
        <f>'01_Input_Raw_Products'!P39</f>
        <v>0</v>
      </c>
      <c r="M39" s="9" cm="1">
        <f t="array" ref="M39">IFERROR(_xlfn.XLOOKUP('01_Input_Raw_Products'!K39,'12_Color_Mapping'!A:A,'12_Color_Mapping'!B:B),IFERROR(_xlfn.XLOOKUP('01_Input_Raw_Products'!F39,'10_Master_Gem_Types'!A:A,'10_Master_Gem_Types'!F:F),""))</f>
        <v>0</v>
      </c>
      <c r="N39" s="9">
        <f>IF(C39="","",IF('01_Input_Raw_Products'!F39&lt;&gt;"",'01_Input_Raw_Products'!F39,'01_Input_Raw_Products'!D39))</f>
        <v>0</v>
      </c>
      <c r="O39" s="9">
        <f>IF(C39="","","Catalog Automation")</f>
        <v>0</v>
      </c>
      <c r="P39" s="9">
        <f>'01_Input_Raw_Products'!U39</f>
        <v>0</v>
      </c>
      <c r="Q39" s="7">
        <f>IF('01_Input_Raw_Products'!O39&lt;&gt;"",'01_Input_Raw_Products'!O39,IF('01_Input_Raw_Products'!N39&lt;&gt;"",'01_Input_Raw_Products'!N39*1.1,""))</f>
        <v>0</v>
      </c>
      <c r="R39" s="9">
        <f>'01_Input_Raw_Products'!S39</f>
        <v>0</v>
      </c>
      <c r="S39" s="9" cm="1">
        <f t="array" ref="S39">IFERROR(_xlfn.XLOOKUP('01_Input_Raw_Products'!F39,'10_Master_Gem_Types'!A:A,'10_Master_Gem_Types'!H:H),"")</f>
        <v>0</v>
      </c>
      <c r="T39" s="8">
        <f>'01_Input_Raw_Products'!Q39</f>
        <v>0</v>
      </c>
      <c r="U39" s="8">
        <f>'01_Input_Raw_Products'!R39</f>
        <v>0</v>
      </c>
      <c r="V39" s="7">
        <f>I39</f>
        <v>0</v>
      </c>
      <c r="W39" s="9" cm="1">
        <f t="array" ref="W39">IF('01_Input_Raw_Products'!G39&lt;&gt;"",'01_Input_Raw_Products'!G39,IFERROR(_xlfn.XLOOKUP('01_Input_Raw_Products'!F39,'10_Master_Gem_Types'!A:A,'10_Master_Gem_Types'!L:L),""))</f>
        <v>0</v>
      </c>
      <c r="X39" s="9" cm="1">
        <f t="array" ref="X39">IFERROR(_xlfn.XLOOKUP('01_Input_Raw_Products'!F39,'10_Master_Gem_Types'!A:A,'10_Master_Gem_Types'!J:J),"")</f>
        <v>0</v>
      </c>
      <c r="Y39" s="9" cm="1">
        <f t="array" ref="Y39">IFERROR(_xlfn.XLOOKUP('01_Input_Raw_Products'!F39,'10_Master_Gem_Types'!A:A,'10_Master_Gem_Types'!I:I),"")</f>
        <v>0</v>
      </c>
      <c r="Z39" s="9" cm="1">
        <f t="array" ref="Z39">IFERROR(_xlfn.XLOOKUP('01_Input_Raw_Products'!L39,'13_Certification_Stickers'!A:A,'13_Certification_Stickers'!C:C),"")</f>
        <v>0</v>
      </c>
      <c r="AA39" s="9" cm="1">
        <f t="array" ref="AA39">IFERROR(_xlfn.XLOOKUP('01_Input_Raw_Products'!S39,'14_Shipping_Rules'!A:A,'14_Shipping_Rules'!B:B),"")</f>
        <v>0</v>
      </c>
      <c r="AB39" s="9" cm="1">
        <f t="array" ref="AB39">IFERROR(_xlfn.XLOOKUP('01_Input_Raw_Products'!D39,'16_Astro_Flags'!A:A,'16_Astro_Flags'!B:B),"")</f>
        <v>0</v>
      </c>
      <c r="AC39" s="9">
        <f>IF(C39="","","Catalog, Search")</f>
        <v>0</v>
      </c>
      <c r="AD39" s="9">
        <f>IF(C39="","",IF(OR(F39="",J39="",M39="",S39="",Y39=""),"Manual Review","Ready"))</f>
        <v>0</v>
      </c>
      <c r="AE39" s="9">
        <f>IF(C39="","",TEXTJOIN("; ",TRUE,IF(F39="","Missing url_key",""),IF(J39="","Missing classification",""),IF(M39="","Missing j_colour",""),IF(S39="","Missing hsn_code",""),IF(Y39="","Missing tax_class_id","")))</f>
        <v>0</v>
      </c>
    </row>
    <row r="40" spans="1:31">
      <c r="A40" s="9">
        <f>IF('01_Input_Raw_Products'!B40&lt;&gt;"",20,"")</f>
        <v>0</v>
      </c>
      <c r="B40" s="9" cm="1">
        <f t="array" ref="B40">IF('01_Input_Raw_Products'!M40&lt;&gt;"",'01_Input_Raw_Products'!M40,IFERROR(_xlfn.XLOOKUP('01_Input_Raw_Products'!F40,'10_Master_Gem_Types'!A:A,'10_Master_Gem_Types'!K:K),""))</f>
        <v>0</v>
      </c>
      <c r="C40" s="9">
        <f>'01_Input_Raw_Products'!B40</f>
        <v>0</v>
      </c>
      <c r="D40" s="9">
        <f>IF(C40="","",TEXT(I40,"0.00")&amp;" Ct "&amp;IF('01_Input_Raw_Products'!F40&lt;&gt;"",'01_Input_Raw_Products'!F40,'01_Input_Raw_Products'!D40)&amp;" "&amp;'01_Input_Raw_Products'!I40)</f>
        <v>0</v>
      </c>
      <c r="E40" s="9">
        <f>IF(C40="","",D40&amp;" | GemPundit")</f>
        <v>0</v>
      </c>
      <c r="F40" s="9" cm="1">
        <f t="array" ref="F40">IF('01_Input_Raw_Products'!X40&lt;&gt;"",'01_Input_Raw_Products'!X40,IFERROR(_xlfn.XLOOKUP('01_Input_Raw_Products'!F40,'10_Master_Gem_Types'!A:A,'10_Master_Gem_Types'!O:O),LOWER(SUBSTITUTE(IF('01_Input_Raw_Products'!F40&lt;&gt;"",'01_Input_Raw_Products'!F40,'01_Input_Raw_Products'!D40)," ","-"))))</f>
        <v>0</v>
      </c>
      <c r="G40" s="9">
        <f>'01_Input_Raw_Products'!C40</f>
        <v>0</v>
      </c>
      <c r="H40" s="9" cm="1">
        <f t="array" ref="H40">IF('01_Input_Raw_Products'!H40&lt;&gt;"",'01_Input_Raw_Products'!H40,IFERROR(_xlfn.XLOOKUP('01_Input_Raw_Products'!F40,'10_Master_Gem_Types'!A:A,'10_Master_Gem_Types'!D:D),""))</f>
        <v>0</v>
      </c>
      <c r="I40" s="7">
        <f>IF('01_Input_Raw_Products'!N40&lt;&gt;"",'01_Input_Raw_Products'!N40,IF('01_Input_Raw_Products'!O40&lt;&gt;"",'01_Input_Raw_Products'!O40*0.91,""))</f>
        <v>0</v>
      </c>
      <c r="J40" s="9" cm="1">
        <f t="array" ref="J40">IFERROR(_xlfn.XLOOKUP('01_Input_Raw_Products'!F40,'10_Master_Gem_Types'!A:A,'10_Master_Gem_Types'!N:N),"")</f>
        <v>0</v>
      </c>
      <c r="K40" s="9" cm="1">
        <f t="array" ref="K40">IF('01_Input_Raw_Products'!J40&lt;&gt;"",'01_Input_Raw_Products'!J40,IFERROR(_xlfn.XLOOKUP('01_Input_Raw_Products'!F40,'10_Master_Gem_Types'!A:A,'10_Master_Gem_Types'!E:E),""))</f>
        <v>0</v>
      </c>
      <c r="L40" s="9">
        <f>'01_Input_Raw_Products'!P40</f>
        <v>0</v>
      </c>
      <c r="M40" s="9" cm="1">
        <f t="array" ref="M40">IFERROR(_xlfn.XLOOKUP('01_Input_Raw_Products'!K40,'12_Color_Mapping'!A:A,'12_Color_Mapping'!B:B),IFERROR(_xlfn.XLOOKUP('01_Input_Raw_Products'!F40,'10_Master_Gem_Types'!A:A,'10_Master_Gem_Types'!F:F),""))</f>
        <v>0</v>
      </c>
      <c r="N40" s="9">
        <f>IF(C40="","",IF('01_Input_Raw_Products'!F40&lt;&gt;"",'01_Input_Raw_Products'!F40,'01_Input_Raw_Products'!D40))</f>
        <v>0</v>
      </c>
      <c r="O40" s="9">
        <f>IF(C40="","","Catalog Automation")</f>
        <v>0</v>
      </c>
      <c r="P40" s="9">
        <f>'01_Input_Raw_Products'!U40</f>
        <v>0</v>
      </c>
      <c r="Q40" s="7">
        <f>IF('01_Input_Raw_Products'!O40&lt;&gt;"",'01_Input_Raw_Products'!O40,IF('01_Input_Raw_Products'!N40&lt;&gt;"",'01_Input_Raw_Products'!N40*1.1,""))</f>
        <v>0</v>
      </c>
      <c r="R40" s="9">
        <f>'01_Input_Raw_Products'!S40</f>
        <v>0</v>
      </c>
      <c r="S40" s="9" cm="1">
        <f t="array" ref="S40">IFERROR(_xlfn.XLOOKUP('01_Input_Raw_Products'!F40,'10_Master_Gem_Types'!A:A,'10_Master_Gem_Types'!H:H),"")</f>
        <v>0</v>
      </c>
      <c r="T40" s="8">
        <f>'01_Input_Raw_Products'!Q40</f>
        <v>0</v>
      </c>
      <c r="U40" s="8">
        <f>'01_Input_Raw_Products'!R40</f>
        <v>0</v>
      </c>
      <c r="V40" s="7">
        <f>I40</f>
        <v>0</v>
      </c>
      <c r="W40" s="9" cm="1">
        <f t="array" ref="W40">IF('01_Input_Raw_Products'!G40&lt;&gt;"",'01_Input_Raw_Products'!G40,IFERROR(_xlfn.XLOOKUP('01_Input_Raw_Products'!F40,'10_Master_Gem_Types'!A:A,'10_Master_Gem_Types'!L:L),""))</f>
        <v>0</v>
      </c>
      <c r="X40" s="9" cm="1">
        <f t="array" ref="X40">IFERROR(_xlfn.XLOOKUP('01_Input_Raw_Products'!F40,'10_Master_Gem_Types'!A:A,'10_Master_Gem_Types'!J:J),"")</f>
        <v>0</v>
      </c>
      <c r="Y40" s="9" cm="1">
        <f t="array" ref="Y40">IFERROR(_xlfn.XLOOKUP('01_Input_Raw_Products'!F40,'10_Master_Gem_Types'!A:A,'10_Master_Gem_Types'!I:I),"")</f>
        <v>0</v>
      </c>
      <c r="Z40" s="9" cm="1">
        <f t="array" ref="Z40">IFERROR(_xlfn.XLOOKUP('01_Input_Raw_Products'!L40,'13_Certification_Stickers'!A:A,'13_Certification_Stickers'!C:C),"")</f>
        <v>0</v>
      </c>
      <c r="AA40" s="9" cm="1">
        <f t="array" ref="AA40">IFERROR(_xlfn.XLOOKUP('01_Input_Raw_Products'!S40,'14_Shipping_Rules'!A:A,'14_Shipping_Rules'!B:B),"")</f>
        <v>0</v>
      </c>
      <c r="AB40" s="9" cm="1">
        <f t="array" ref="AB40">IFERROR(_xlfn.XLOOKUP('01_Input_Raw_Products'!D40,'16_Astro_Flags'!A:A,'16_Astro_Flags'!B:B),"")</f>
        <v>0</v>
      </c>
      <c r="AC40" s="9">
        <f>IF(C40="","","Catalog, Search")</f>
        <v>0</v>
      </c>
      <c r="AD40" s="9">
        <f>IF(C40="","",IF(OR(F40="",J40="",M40="",S40="",Y40=""),"Manual Review","Ready"))</f>
        <v>0</v>
      </c>
      <c r="AE40" s="9">
        <f>IF(C40="","",TEXTJOIN("; ",TRUE,IF(F40="","Missing url_key",""),IF(J40="","Missing classification",""),IF(M40="","Missing j_colour",""),IF(S40="","Missing hsn_code",""),IF(Y40="","Missing tax_class_id","")))</f>
        <v>0</v>
      </c>
    </row>
    <row r="41" spans="1:31">
      <c r="A41" s="9">
        <f>IF('01_Input_Raw_Products'!B41&lt;&gt;"",20,"")</f>
        <v>0</v>
      </c>
      <c r="B41" s="9" cm="1">
        <f t="array" ref="B41">IF('01_Input_Raw_Products'!M41&lt;&gt;"",'01_Input_Raw_Products'!M41,IFERROR(_xlfn.XLOOKUP('01_Input_Raw_Products'!F41,'10_Master_Gem_Types'!A:A,'10_Master_Gem_Types'!K:K),""))</f>
        <v>0</v>
      </c>
      <c r="C41" s="9">
        <f>'01_Input_Raw_Products'!B41</f>
        <v>0</v>
      </c>
      <c r="D41" s="9">
        <f>IF(C41="","",TEXT(I41,"0.00")&amp;" Ct "&amp;IF('01_Input_Raw_Products'!F41&lt;&gt;"",'01_Input_Raw_Products'!F41,'01_Input_Raw_Products'!D41)&amp;" "&amp;'01_Input_Raw_Products'!I41)</f>
        <v>0</v>
      </c>
      <c r="E41" s="9">
        <f>IF(C41="","",D41&amp;" | GemPundit")</f>
        <v>0</v>
      </c>
      <c r="F41" s="9" cm="1">
        <f t="array" ref="F41">IF('01_Input_Raw_Products'!X41&lt;&gt;"",'01_Input_Raw_Products'!X41,IFERROR(_xlfn.XLOOKUP('01_Input_Raw_Products'!F41,'10_Master_Gem_Types'!A:A,'10_Master_Gem_Types'!O:O),LOWER(SUBSTITUTE(IF('01_Input_Raw_Products'!F41&lt;&gt;"",'01_Input_Raw_Products'!F41,'01_Input_Raw_Products'!D41)," ","-"))))</f>
        <v>0</v>
      </c>
      <c r="G41" s="9">
        <f>'01_Input_Raw_Products'!C41</f>
        <v>0</v>
      </c>
      <c r="H41" s="9" cm="1">
        <f t="array" ref="H41">IF('01_Input_Raw_Products'!H41&lt;&gt;"",'01_Input_Raw_Products'!H41,IFERROR(_xlfn.XLOOKUP('01_Input_Raw_Products'!F41,'10_Master_Gem_Types'!A:A,'10_Master_Gem_Types'!D:D),""))</f>
        <v>0</v>
      </c>
      <c r="I41" s="7">
        <f>IF('01_Input_Raw_Products'!N41&lt;&gt;"",'01_Input_Raw_Products'!N41,IF('01_Input_Raw_Products'!O41&lt;&gt;"",'01_Input_Raw_Products'!O41*0.91,""))</f>
        <v>0</v>
      </c>
      <c r="J41" s="9" cm="1">
        <f t="array" ref="J41">IFERROR(_xlfn.XLOOKUP('01_Input_Raw_Products'!F41,'10_Master_Gem_Types'!A:A,'10_Master_Gem_Types'!N:N),"")</f>
        <v>0</v>
      </c>
      <c r="K41" s="9" cm="1">
        <f t="array" ref="K41">IF('01_Input_Raw_Products'!J41&lt;&gt;"",'01_Input_Raw_Products'!J41,IFERROR(_xlfn.XLOOKUP('01_Input_Raw_Products'!F41,'10_Master_Gem_Types'!A:A,'10_Master_Gem_Types'!E:E),""))</f>
        <v>0</v>
      </c>
      <c r="L41" s="9">
        <f>'01_Input_Raw_Products'!P41</f>
        <v>0</v>
      </c>
      <c r="M41" s="9" cm="1">
        <f t="array" ref="M41">IFERROR(_xlfn.XLOOKUP('01_Input_Raw_Products'!K41,'12_Color_Mapping'!A:A,'12_Color_Mapping'!B:B),IFERROR(_xlfn.XLOOKUP('01_Input_Raw_Products'!F41,'10_Master_Gem_Types'!A:A,'10_Master_Gem_Types'!F:F),""))</f>
        <v>0</v>
      </c>
      <c r="N41" s="9">
        <f>IF(C41="","",IF('01_Input_Raw_Products'!F41&lt;&gt;"",'01_Input_Raw_Products'!F41,'01_Input_Raw_Products'!D41))</f>
        <v>0</v>
      </c>
      <c r="O41" s="9">
        <f>IF(C41="","","Catalog Automation")</f>
        <v>0</v>
      </c>
      <c r="P41" s="9">
        <f>'01_Input_Raw_Products'!U41</f>
        <v>0</v>
      </c>
      <c r="Q41" s="7">
        <f>IF('01_Input_Raw_Products'!O41&lt;&gt;"",'01_Input_Raw_Products'!O41,IF('01_Input_Raw_Products'!N41&lt;&gt;"",'01_Input_Raw_Products'!N41*1.1,""))</f>
        <v>0</v>
      </c>
      <c r="R41" s="9">
        <f>'01_Input_Raw_Products'!S41</f>
        <v>0</v>
      </c>
      <c r="S41" s="9" cm="1">
        <f t="array" ref="S41">IFERROR(_xlfn.XLOOKUP('01_Input_Raw_Products'!F41,'10_Master_Gem_Types'!A:A,'10_Master_Gem_Types'!H:H),"")</f>
        <v>0</v>
      </c>
      <c r="T41" s="8">
        <f>'01_Input_Raw_Products'!Q41</f>
        <v>0</v>
      </c>
      <c r="U41" s="8">
        <f>'01_Input_Raw_Products'!R41</f>
        <v>0</v>
      </c>
      <c r="V41" s="7">
        <f>I41</f>
        <v>0</v>
      </c>
      <c r="W41" s="9" cm="1">
        <f t="array" ref="W41">IF('01_Input_Raw_Products'!G41&lt;&gt;"",'01_Input_Raw_Products'!G41,IFERROR(_xlfn.XLOOKUP('01_Input_Raw_Products'!F41,'10_Master_Gem_Types'!A:A,'10_Master_Gem_Types'!L:L),""))</f>
        <v>0</v>
      </c>
      <c r="X41" s="9" cm="1">
        <f t="array" ref="X41">IFERROR(_xlfn.XLOOKUP('01_Input_Raw_Products'!F41,'10_Master_Gem_Types'!A:A,'10_Master_Gem_Types'!J:J),"")</f>
        <v>0</v>
      </c>
      <c r="Y41" s="9" cm="1">
        <f t="array" ref="Y41">IFERROR(_xlfn.XLOOKUP('01_Input_Raw_Products'!F41,'10_Master_Gem_Types'!A:A,'10_Master_Gem_Types'!I:I),"")</f>
        <v>0</v>
      </c>
      <c r="Z41" s="9" cm="1">
        <f t="array" ref="Z41">IFERROR(_xlfn.XLOOKUP('01_Input_Raw_Products'!L41,'13_Certification_Stickers'!A:A,'13_Certification_Stickers'!C:C),"")</f>
        <v>0</v>
      </c>
      <c r="AA41" s="9" cm="1">
        <f t="array" ref="AA41">IFERROR(_xlfn.XLOOKUP('01_Input_Raw_Products'!S41,'14_Shipping_Rules'!A:A,'14_Shipping_Rules'!B:B),"")</f>
        <v>0</v>
      </c>
      <c r="AB41" s="9" cm="1">
        <f t="array" ref="AB41">IFERROR(_xlfn.XLOOKUP('01_Input_Raw_Products'!D41,'16_Astro_Flags'!A:A,'16_Astro_Flags'!B:B),"")</f>
        <v>0</v>
      </c>
      <c r="AC41" s="9">
        <f>IF(C41="","","Catalog, Search")</f>
        <v>0</v>
      </c>
      <c r="AD41" s="9">
        <f>IF(C41="","",IF(OR(F41="",J41="",M41="",S41="",Y41=""),"Manual Review","Ready"))</f>
        <v>0</v>
      </c>
      <c r="AE41" s="9">
        <f>IF(C41="","",TEXTJOIN("; ",TRUE,IF(F41="","Missing url_key",""),IF(J41="","Missing classification",""),IF(M41="","Missing j_colour",""),IF(S41="","Missing hsn_code",""),IF(Y41="","Missing tax_class_id","")))</f>
        <v>0</v>
      </c>
    </row>
    <row r="42" spans="1:31">
      <c r="A42" s="9">
        <f>IF('01_Input_Raw_Products'!B42&lt;&gt;"",20,"")</f>
        <v>0</v>
      </c>
      <c r="B42" s="9" cm="1">
        <f t="array" ref="B42">IF('01_Input_Raw_Products'!M42&lt;&gt;"",'01_Input_Raw_Products'!M42,IFERROR(_xlfn.XLOOKUP('01_Input_Raw_Products'!F42,'10_Master_Gem_Types'!A:A,'10_Master_Gem_Types'!K:K),""))</f>
        <v>0</v>
      </c>
      <c r="C42" s="9">
        <f>'01_Input_Raw_Products'!B42</f>
        <v>0</v>
      </c>
      <c r="D42" s="9">
        <f>IF(C42="","",TEXT(I42,"0.00")&amp;" Ct "&amp;IF('01_Input_Raw_Products'!F42&lt;&gt;"",'01_Input_Raw_Products'!F42,'01_Input_Raw_Products'!D42)&amp;" "&amp;'01_Input_Raw_Products'!I42)</f>
        <v>0</v>
      </c>
      <c r="E42" s="9">
        <f>IF(C42="","",D42&amp;" | GemPundit")</f>
        <v>0</v>
      </c>
      <c r="F42" s="9" cm="1">
        <f t="array" ref="F42">IF('01_Input_Raw_Products'!X42&lt;&gt;"",'01_Input_Raw_Products'!X42,IFERROR(_xlfn.XLOOKUP('01_Input_Raw_Products'!F42,'10_Master_Gem_Types'!A:A,'10_Master_Gem_Types'!O:O),LOWER(SUBSTITUTE(IF('01_Input_Raw_Products'!F42&lt;&gt;"",'01_Input_Raw_Products'!F42,'01_Input_Raw_Products'!D42)," ","-"))))</f>
        <v>0</v>
      </c>
      <c r="G42" s="9">
        <f>'01_Input_Raw_Products'!C42</f>
        <v>0</v>
      </c>
      <c r="H42" s="9" cm="1">
        <f t="array" ref="H42">IF('01_Input_Raw_Products'!H42&lt;&gt;"",'01_Input_Raw_Products'!H42,IFERROR(_xlfn.XLOOKUP('01_Input_Raw_Products'!F42,'10_Master_Gem_Types'!A:A,'10_Master_Gem_Types'!D:D),""))</f>
        <v>0</v>
      </c>
      <c r="I42" s="7">
        <f>IF('01_Input_Raw_Products'!N42&lt;&gt;"",'01_Input_Raw_Products'!N42,IF('01_Input_Raw_Products'!O42&lt;&gt;"",'01_Input_Raw_Products'!O42*0.91,""))</f>
        <v>0</v>
      </c>
      <c r="J42" s="9" cm="1">
        <f t="array" ref="J42">IFERROR(_xlfn.XLOOKUP('01_Input_Raw_Products'!F42,'10_Master_Gem_Types'!A:A,'10_Master_Gem_Types'!N:N),"")</f>
        <v>0</v>
      </c>
      <c r="K42" s="9" cm="1">
        <f t="array" ref="K42">IF('01_Input_Raw_Products'!J42&lt;&gt;"",'01_Input_Raw_Products'!J42,IFERROR(_xlfn.XLOOKUP('01_Input_Raw_Products'!F42,'10_Master_Gem_Types'!A:A,'10_Master_Gem_Types'!E:E),""))</f>
        <v>0</v>
      </c>
      <c r="L42" s="9">
        <f>'01_Input_Raw_Products'!P42</f>
        <v>0</v>
      </c>
      <c r="M42" s="9" cm="1">
        <f t="array" ref="M42">IFERROR(_xlfn.XLOOKUP('01_Input_Raw_Products'!K42,'12_Color_Mapping'!A:A,'12_Color_Mapping'!B:B),IFERROR(_xlfn.XLOOKUP('01_Input_Raw_Products'!F42,'10_Master_Gem_Types'!A:A,'10_Master_Gem_Types'!F:F),""))</f>
        <v>0</v>
      </c>
      <c r="N42" s="9">
        <f>IF(C42="","",IF('01_Input_Raw_Products'!F42&lt;&gt;"",'01_Input_Raw_Products'!F42,'01_Input_Raw_Products'!D42))</f>
        <v>0</v>
      </c>
      <c r="O42" s="9">
        <f>IF(C42="","","Catalog Automation")</f>
        <v>0</v>
      </c>
      <c r="P42" s="9">
        <f>'01_Input_Raw_Products'!U42</f>
        <v>0</v>
      </c>
      <c r="Q42" s="7">
        <f>IF('01_Input_Raw_Products'!O42&lt;&gt;"",'01_Input_Raw_Products'!O42,IF('01_Input_Raw_Products'!N42&lt;&gt;"",'01_Input_Raw_Products'!N42*1.1,""))</f>
        <v>0</v>
      </c>
      <c r="R42" s="9">
        <f>'01_Input_Raw_Products'!S42</f>
        <v>0</v>
      </c>
      <c r="S42" s="9" cm="1">
        <f t="array" ref="S42">IFERROR(_xlfn.XLOOKUP('01_Input_Raw_Products'!F42,'10_Master_Gem_Types'!A:A,'10_Master_Gem_Types'!H:H),"")</f>
        <v>0</v>
      </c>
      <c r="T42" s="8">
        <f>'01_Input_Raw_Products'!Q42</f>
        <v>0</v>
      </c>
      <c r="U42" s="8">
        <f>'01_Input_Raw_Products'!R42</f>
        <v>0</v>
      </c>
      <c r="V42" s="7">
        <f>I42</f>
        <v>0</v>
      </c>
      <c r="W42" s="9" cm="1">
        <f t="array" ref="W42">IF('01_Input_Raw_Products'!G42&lt;&gt;"",'01_Input_Raw_Products'!G42,IFERROR(_xlfn.XLOOKUP('01_Input_Raw_Products'!F42,'10_Master_Gem_Types'!A:A,'10_Master_Gem_Types'!L:L),""))</f>
        <v>0</v>
      </c>
      <c r="X42" s="9" cm="1">
        <f t="array" ref="X42">IFERROR(_xlfn.XLOOKUP('01_Input_Raw_Products'!F42,'10_Master_Gem_Types'!A:A,'10_Master_Gem_Types'!J:J),"")</f>
        <v>0</v>
      </c>
      <c r="Y42" s="9" cm="1">
        <f t="array" ref="Y42">IFERROR(_xlfn.XLOOKUP('01_Input_Raw_Products'!F42,'10_Master_Gem_Types'!A:A,'10_Master_Gem_Types'!I:I),"")</f>
        <v>0</v>
      </c>
      <c r="Z42" s="9" cm="1">
        <f t="array" ref="Z42">IFERROR(_xlfn.XLOOKUP('01_Input_Raw_Products'!L42,'13_Certification_Stickers'!A:A,'13_Certification_Stickers'!C:C),"")</f>
        <v>0</v>
      </c>
      <c r="AA42" s="9" cm="1">
        <f t="array" ref="AA42">IFERROR(_xlfn.XLOOKUP('01_Input_Raw_Products'!S42,'14_Shipping_Rules'!A:A,'14_Shipping_Rules'!B:B),"")</f>
        <v>0</v>
      </c>
      <c r="AB42" s="9" cm="1">
        <f t="array" ref="AB42">IFERROR(_xlfn.XLOOKUP('01_Input_Raw_Products'!D42,'16_Astro_Flags'!A:A,'16_Astro_Flags'!B:B),"")</f>
        <v>0</v>
      </c>
      <c r="AC42" s="9">
        <f>IF(C42="","","Catalog, Search")</f>
        <v>0</v>
      </c>
      <c r="AD42" s="9">
        <f>IF(C42="","",IF(OR(F42="",J42="",M42="",S42="",Y42=""),"Manual Review","Ready"))</f>
        <v>0</v>
      </c>
      <c r="AE42" s="9">
        <f>IF(C42="","",TEXTJOIN("; ",TRUE,IF(F42="","Missing url_key",""),IF(J42="","Missing classification",""),IF(M42="","Missing j_colour",""),IF(S42="","Missing hsn_code",""),IF(Y42="","Missing tax_class_id","")))</f>
        <v>0</v>
      </c>
    </row>
    <row r="43" spans="1:31">
      <c r="A43" s="9">
        <f>IF('01_Input_Raw_Products'!B43&lt;&gt;"",20,"")</f>
        <v>0</v>
      </c>
      <c r="B43" s="9" cm="1">
        <f t="array" ref="B43">IF('01_Input_Raw_Products'!M43&lt;&gt;"",'01_Input_Raw_Products'!M43,IFERROR(_xlfn.XLOOKUP('01_Input_Raw_Products'!F43,'10_Master_Gem_Types'!A:A,'10_Master_Gem_Types'!K:K),""))</f>
        <v>0</v>
      </c>
      <c r="C43" s="9">
        <f>'01_Input_Raw_Products'!B43</f>
        <v>0</v>
      </c>
      <c r="D43" s="9">
        <f>IF(C43="","",TEXT(I43,"0.00")&amp;" Ct "&amp;IF('01_Input_Raw_Products'!F43&lt;&gt;"",'01_Input_Raw_Products'!F43,'01_Input_Raw_Products'!D43)&amp;" "&amp;'01_Input_Raw_Products'!I43)</f>
        <v>0</v>
      </c>
      <c r="E43" s="9">
        <f>IF(C43="","",D43&amp;" | GemPundit")</f>
        <v>0</v>
      </c>
      <c r="F43" s="9" cm="1">
        <f t="array" ref="F43">IF('01_Input_Raw_Products'!X43&lt;&gt;"",'01_Input_Raw_Products'!X43,IFERROR(_xlfn.XLOOKUP('01_Input_Raw_Products'!F43,'10_Master_Gem_Types'!A:A,'10_Master_Gem_Types'!O:O),LOWER(SUBSTITUTE(IF('01_Input_Raw_Products'!F43&lt;&gt;"",'01_Input_Raw_Products'!F43,'01_Input_Raw_Products'!D43)," ","-"))))</f>
        <v>0</v>
      </c>
      <c r="G43" s="9">
        <f>'01_Input_Raw_Products'!C43</f>
        <v>0</v>
      </c>
      <c r="H43" s="9" cm="1">
        <f t="array" ref="H43">IF('01_Input_Raw_Products'!H43&lt;&gt;"",'01_Input_Raw_Products'!H43,IFERROR(_xlfn.XLOOKUP('01_Input_Raw_Products'!F43,'10_Master_Gem_Types'!A:A,'10_Master_Gem_Types'!D:D),""))</f>
        <v>0</v>
      </c>
      <c r="I43" s="7">
        <f>IF('01_Input_Raw_Products'!N43&lt;&gt;"",'01_Input_Raw_Products'!N43,IF('01_Input_Raw_Products'!O43&lt;&gt;"",'01_Input_Raw_Products'!O43*0.91,""))</f>
        <v>0</v>
      </c>
      <c r="J43" s="9" cm="1">
        <f t="array" ref="J43">IFERROR(_xlfn.XLOOKUP('01_Input_Raw_Products'!F43,'10_Master_Gem_Types'!A:A,'10_Master_Gem_Types'!N:N),"")</f>
        <v>0</v>
      </c>
      <c r="K43" s="9" cm="1">
        <f t="array" ref="K43">IF('01_Input_Raw_Products'!J43&lt;&gt;"",'01_Input_Raw_Products'!J43,IFERROR(_xlfn.XLOOKUP('01_Input_Raw_Products'!F43,'10_Master_Gem_Types'!A:A,'10_Master_Gem_Types'!E:E),""))</f>
        <v>0</v>
      </c>
      <c r="L43" s="9">
        <f>'01_Input_Raw_Products'!P43</f>
        <v>0</v>
      </c>
      <c r="M43" s="9" cm="1">
        <f t="array" ref="M43">IFERROR(_xlfn.XLOOKUP('01_Input_Raw_Products'!K43,'12_Color_Mapping'!A:A,'12_Color_Mapping'!B:B),IFERROR(_xlfn.XLOOKUP('01_Input_Raw_Products'!F43,'10_Master_Gem_Types'!A:A,'10_Master_Gem_Types'!F:F),""))</f>
        <v>0</v>
      </c>
      <c r="N43" s="9">
        <f>IF(C43="","",IF('01_Input_Raw_Products'!F43&lt;&gt;"",'01_Input_Raw_Products'!F43,'01_Input_Raw_Products'!D43))</f>
        <v>0</v>
      </c>
      <c r="O43" s="9">
        <f>IF(C43="","","Catalog Automation")</f>
        <v>0</v>
      </c>
      <c r="P43" s="9">
        <f>'01_Input_Raw_Products'!U43</f>
        <v>0</v>
      </c>
      <c r="Q43" s="7">
        <f>IF('01_Input_Raw_Products'!O43&lt;&gt;"",'01_Input_Raw_Products'!O43,IF('01_Input_Raw_Products'!N43&lt;&gt;"",'01_Input_Raw_Products'!N43*1.1,""))</f>
        <v>0</v>
      </c>
      <c r="R43" s="9">
        <f>'01_Input_Raw_Products'!S43</f>
        <v>0</v>
      </c>
      <c r="S43" s="9" cm="1">
        <f t="array" ref="S43">IFERROR(_xlfn.XLOOKUP('01_Input_Raw_Products'!F43,'10_Master_Gem_Types'!A:A,'10_Master_Gem_Types'!H:H),"")</f>
        <v>0</v>
      </c>
      <c r="T43" s="8">
        <f>'01_Input_Raw_Products'!Q43</f>
        <v>0</v>
      </c>
      <c r="U43" s="8">
        <f>'01_Input_Raw_Products'!R43</f>
        <v>0</v>
      </c>
      <c r="V43" s="7">
        <f>I43</f>
        <v>0</v>
      </c>
      <c r="W43" s="9" cm="1">
        <f t="array" ref="W43">IF('01_Input_Raw_Products'!G43&lt;&gt;"",'01_Input_Raw_Products'!G43,IFERROR(_xlfn.XLOOKUP('01_Input_Raw_Products'!F43,'10_Master_Gem_Types'!A:A,'10_Master_Gem_Types'!L:L),""))</f>
        <v>0</v>
      </c>
      <c r="X43" s="9" cm="1">
        <f t="array" ref="X43">IFERROR(_xlfn.XLOOKUP('01_Input_Raw_Products'!F43,'10_Master_Gem_Types'!A:A,'10_Master_Gem_Types'!J:J),"")</f>
        <v>0</v>
      </c>
      <c r="Y43" s="9" cm="1">
        <f t="array" ref="Y43">IFERROR(_xlfn.XLOOKUP('01_Input_Raw_Products'!F43,'10_Master_Gem_Types'!A:A,'10_Master_Gem_Types'!I:I),"")</f>
        <v>0</v>
      </c>
      <c r="Z43" s="9" cm="1">
        <f t="array" ref="Z43">IFERROR(_xlfn.XLOOKUP('01_Input_Raw_Products'!L43,'13_Certification_Stickers'!A:A,'13_Certification_Stickers'!C:C),"")</f>
        <v>0</v>
      </c>
      <c r="AA43" s="9" cm="1">
        <f t="array" ref="AA43">IFERROR(_xlfn.XLOOKUP('01_Input_Raw_Products'!S43,'14_Shipping_Rules'!A:A,'14_Shipping_Rules'!B:B),"")</f>
        <v>0</v>
      </c>
      <c r="AB43" s="9" cm="1">
        <f t="array" ref="AB43">IFERROR(_xlfn.XLOOKUP('01_Input_Raw_Products'!D43,'16_Astro_Flags'!A:A,'16_Astro_Flags'!B:B),"")</f>
        <v>0</v>
      </c>
      <c r="AC43" s="9">
        <f>IF(C43="","","Catalog, Search")</f>
        <v>0</v>
      </c>
      <c r="AD43" s="9">
        <f>IF(C43="","",IF(OR(F43="",J43="",M43="",S43="",Y43=""),"Manual Review","Ready"))</f>
        <v>0</v>
      </c>
      <c r="AE43" s="9">
        <f>IF(C43="","",TEXTJOIN("; ",TRUE,IF(F43="","Missing url_key",""),IF(J43="","Missing classification",""),IF(M43="","Missing j_colour",""),IF(S43="","Missing hsn_code",""),IF(Y43="","Missing tax_class_id","")))</f>
        <v>0</v>
      </c>
    </row>
    <row r="44" spans="1:31">
      <c r="A44" s="9">
        <f>IF('01_Input_Raw_Products'!B44&lt;&gt;"",20,"")</f>
        <v>0</v>
      </c>
      <c r="B44" s="9" cm="1">
        <f t="array" ref="B44">IF('01_Input_Raw_Products'!M44&lt;&gt;"",'01_Input_Raw_Products'!M44,IFERROR(_xlfn.XLOOKUP('01_Input_Raw_Products'!F44,'10_Master_Gem_Types'!A:A,'10_Master_Gem_Types'!K:K),""))</f>
        <v>0</v>
      </c>
      <c r="C44" s="9">
        <f>'01_Input_Raw_Products'!B44</f>
        <v>0</v>
      </c>
      <c r="D44" s="9">
        <f>IF(C44="","",TEXT(I44,"0.00")&amp;" Ct "&amp;IF('01_Input_Raw_Products'!F44&lt;&gt;"",'01_Input_Raw_Products'!F44,'01_Input_Raw_Products'!D44)&amp;" "&amp;'01_Input_Raw_Products'!I44)</f>
        <v>0</v>
      </c>
      <c r="E44" s="9">
        <f>IF(C44="","",D44&amp;" | GemPundit")</f>
        <v>0</v>
      </c>
      <c r="F44" s="9" cm="1">
        <f t="array" ref="F44">IF('01_Input_Raw_Products'!X44&lt;&gt;"",'01_Input_Raw_Products'!X44,IFERROR(_xlfn.XLOOKUP('01_Input_Raw_Products'!F44,'10_Master_Gem_Types'!A:A,'10_Master_Gem_Types'!O:O),LOWER(SUBSTITUTE(IF('01_Input_Raw_Products'!F44&lt;&gt;"",'01_Input_Raw_Products'!F44,'01_Input_Raw_Products'!D44)," ","-"))))</f>
        <v>0</v>
      </c>
      <c r="G44" s="9">
        <f>'01_Input_Raw_Products'!C44</f>
        <v>0</v>
      </c>
      <c r="H44" s="9" cm="1">
        <f t="array" ref="H44">IF('01_Input_Raw_Products'!H44&lt;&gt;"",'01_Input_Raw_Products'!H44,IFERROR(_xlfn.XLOOKUP('01_Input_Raw_Products'!F44,'10_Master_Gem_Types'!A:A,'10_Master_Gem_Types'!D:D),""))</f>
        <v>0</v>
      </c>
      <c r="I44" s="7">
        <f>IF('01_Input_Raw_Products'!N44&lt;&gt;"",'01_Input_Raw_Products'!N44,IF('01_Input_Raw_Products'!O44&lt;&gt;"",'01_Input_Raw_Products'!O44*0.91,""))</f>
        <v>0</v>
      </c>
      <c r="J44" s="9" cm="1">
        <f t="array" ref="J44">IFERROR(_xlfn.XLOOKUP('01_Input_Raw_Products'!F44,'10_Master_Gem_Types'!A:A,'10_Master_Gem_Types'!N:N),"")</f>
        <v>0</v>
      </c>
      <c r="K44" s="9" cm="1">
        <f t="array" ref="K44">IF('01_Input_Raw_Products'!J44&lt;&gt;"",'01_Input_Raw_Products'!J44,IFERROR(_xlfn.XLOOKUP('01_Input_Raw_Products'!F44,'10_Master_Gem_Types'!A:A,'10_Master_Gem_Types'!E:E),""))</f>
        <v>0</v>
      </c>
      <c r="L44" s="9">
        <f>'01_Input_Raw_Products'!P44</f>
        <v>0</v>
      </c>
      <c r="M44" s="9" cm="1">
        <f t="array" ref="M44">IFERROR(_xlfn.XLOOKUP('01_Input_Raw_Products'!K44,'12_Color_Mapping'!A:A,'12_Color_Mapping'!B:B),IFERROR(_xlfn.XLOOKUP('01_Input_Raw_Products'!F44,'10_Master_Gem_Types'!A:A,'10_Master_Gem_Types'!F:F),""))</f>
        <v>0</v>
      </c>
      <c r="N44" s="9">
        <f>IF(C44="","",IF('01_Input_Raw_Products'!F44&lt;&gt;"",'01_Input_Raw_Products'!F44,'01_Input_Raw_Products'!D44))</f>
        <v>0</v>
      </c>
      <c r="O44" s="9">
        <f>IF(C44="","","Catalog Automation")</f>
        <v>0</v>
      </c>
      <c r="P44" s="9">
        <f>'01_Input_Raw_Products'!U44</f>
        <v>0</v>
      </c>
      <c r="Q44" s="7">
        <f>IF('01_Input_Raw_Products'!O44&lt;&gt;"",'01_Input_Raw_Products'!O44,IF('01_Input_Raw_Products'!N44&lt;&gt;"",'01_Input_Raw_Products'!N44*1.1,""))</f>
        <v>0</v>
      </c>
      <c r="R44" s="9">
        <f>'01_Input_Raw_Products'!S44</f>
        <v>0</v>
      </c>
      <c r="S44" s="9" cm="1">
        <f t="array" ref="S44">IFERROR(_xlfn.XLOOKUP('01_Input_Raw_Products'!F44,'10_Master_Gem_Types'!A:A,'10_Master_Gem_Types'!H:H),"")</f>
        <v>0</v>
      </c>
      <c r="T44" s="8">
        <f>'01_Input_Raw_Products'!Q44</f>
        <v>0</v>
      </c>
      <c r="U44" s="8">
        <f>'01_Input_Raw_Products'!R44</f>
        <v>0</v>
      </c>
      <c r="V44" s="7">
        <f>I44</f>
        <v>0</v>
      </c>
      <c r="W44" s="9" cm="1">
        <f t="array" ref="W44">IF('01_Input_Raw_Products'!G44&lt;&gt;"",'01_Input_Raw_Products'!G44,IFERROR(_xlfn.XLOOKUP('01_Input_Raw_Products'!F44,'10_Master_Gem_Types'!A:A,'10_Master_Gem_Types'!L:L),""))</f>
        <v>0</v>
      </c>
      <c r="X44" s="9" cm="1">
        <f t="array" ref="X44">IFERROR(_xlfn.XLOOKUP('01_Input_Raw_Products'!F44,'10_Master_Gem_Types'!A:A,'10_Master_Gem_Types'!J:J),"")</f>
        <v>0</v>
      </c>
      <c r="Y44" s="9" cm="1">
        <f t="array" ref="Y44">IFERROR(_xlfn.XLOOKUP('01_Input_Raw_Products'!F44,'10_Master_Gem_Types'!A:A,'10_Master_Gem_Types'!I:I),"")</f>
        <v>0</v>
      </c>
      <c r="Z44" s="9" cm="1">
        <f t="array" ref="Z44">IFERROR(_xlfn.XLOOKUP('01_Input_Raw_Products'!L44,'13_Certification_Stickers'!A:A,'13_Certification_Stickers'!C:C),"")</f>
        <v>0</v>
      </c>
      <c r="AA44" s="9" cm="1">
        <f t="array" ref="AA44">IFERROR(_xlfn.XLOOKUP('01_Input_Raw_Products'!S44,'14_Shipping_Rules'!A:A,'14_Shipping_Rules'!B:B),"")</f>
        <v>0</v>
      </c>
      <c r="AB44" s="9" cm="1">
        <f t="array" ref="AB44">IFERROR(_xlfn.XLOOKUP('01_Input_Raw_Products'!D44,'16_Astro_Flags'!A:A,'16_Astro_Flags'!B:B),"")</f>
        <v>0</v>
      </c>
      <c r="AC44" s="9">
        <f>IF(C44="","","Catalog, Search")</f>
        <v>0</v>
      </c>
      <c r="AD44" s="9">
        <f>IF(C44="","",IF(OR(F44="",J44="",M44="",S44="",Y44=""),"Manual Review","Ready"))</f>
        <v>0</v>
      </c>
      <c r="AE44" s="9">
        <f>IF(C44="","",TEXTJOIN("; ",TRUE,IF(F44="","Missing url_key",""),IF(J44="","Missing classification",""),IF(M44="","Missing j_colour",""),IF(S44="","Missing hsn_code",""),IF(Y44="","Missing tax_class_id","")))</f>
        <v>0</v>
      </c>
    </row>
    <row r="45" spans="1:31">
      <c r="A45" s="9">
        <f>IF('01_Input_Raw_Products'!B45&lt;&gt;"",20,"")</f>
        <v>0</v>
      </c>
      <c r="B45" s="9" cm="1">
        <f t="array" ref="B45">IF('01_Input_Raw_Products'!M45&lt;&gt;"",'01_Input_Raw_Products'!M45,IFERROR(_xlfn.XLOOKUP('01_Input_Raw_Products'!F45,'10_Master_Gem_Types'!A:A,'10_Master_Gem_Types'!K:K),""))</f>
        <v>0</v>
      </c>
      <c r="C45" s="9">
        <f>'01_Input_Raw_Products'!B45</f>
        <v>0</v>
      </c>
      <c r="D45" s="9">
        <f>IF(C45="","",TEXT(I45,"0.00")&amp;" Ct "&amp;IF('01_Input_Raw_Products'!F45&lt;&gt;"",'01_Input_Raw_Products'!F45,'01_Input_Raw_Products'!D45)&amp;" "&amp;'01_Input_Raw_Products'!I45)</f>
        <v>0</v>
      </c>
      <c r="E45" s="9">
        <f>IF(C45="","",D45&amp;" | GemPundit")</f>
        <v>0</v>
      </c>
      <c r="F45" s="9" cm="1">
        <f t="array" ref="F45">IF('01_Input_Raw_Products'!X45&lt;&gt;"",'01_Input_Raw_Products'!X45,IFERROR(_xlfn.XLOOKUP('01_Input_Raw_Products'!F45,'10_Master_Gem_Types'!A:A,'10_Master_Gem_Types'!O:O),LOWER(SUBSTITUTE(IF('01_Input_Raw_Products'!F45&lt;&gt;"",'01_Input_Raw_Products'!F45,'01_Input_Raw_Products'!D45)," ","-"))))</f>
        <v>0</v>
      </c>
      <c r="G45" s="9">
        <f>'01_Input_Raw_Products'!C45</f>
        <v>0</v>
      </c>
      <c r="H45" s="9" cm="1">
        <f t="array" ref="H45">IF('01_Input_Raw_Products'!H45&lt;&gt;"",'01_Input_Raw_Products'!H45,IFERROR(_xlfn.XLOOKUP('01_Input_Raw_Products'!F45,'10_Master_Gem_Types'!A:A,'10_Master_Gem_Types'!D:D),""))</f>
        <v>0</v>
      </c>
      <c r="I45" s="7">
        <f>IF('01_Input_Raw_Products'!N45&lt;&gt;"",'01_Input_Raw_Products'!N45,IF('01_Input_Raw_Products'!O45&lt;&gt;"",'01_Input_Raw_Products'!O45*0.91,""))</f>
        <v>0</v>
      </c>
      <c r="J45" s="9" cm="1">
        <f t="array" ref="J45">IFERROR(_xlfn.XLOOKUP('01_Input_Raw_Products'!F45,'10_Master_Gem_Types'!A:A,'10_Master_Gem_Types'!N:N),"")</f>
        <v>0</v>
      </c>
      <c r="K45" s="9" cm="1">
        <f t="array" ref="K45">IF('01_Input_Raw_Products'!J45&lt;&gt;"",'01_Input_Raw_Products'!J45,IFERROR(_xlfn.XLOOKUP('01_Input_Raw_Products'!F45,'10_Master_Gem_Types'!A:A,'10_Master_Gem_Types'!E:E),""))</f>
        <v>0</v>
      </c>
      <c r="L45" s="9">
        <f>'01_Input_Raw_Products'!P45</f>
        <v>0</v>
      </c>
      <c r="M45" s="9" cm="1">
        <f t="array" ref="M45">IFERROR(_xlfn.XLOOKUP('01_Input_Raw_Products'!K45,'12_Color_Mapping'!A:A,'12_Color_Mapping'!B:B),IFERROR(_xlfn.XLOOKUP('01_Input_Raw_Products'!F45,'10_Master_Gem_Types'!A:A,'10_Master_Gem_Types'!F:F),""))</f>
        <v>0</v>
      </c>
      <c r="N45" s="9">
        <f>IF(C45="","",IF('01_Input_Raw_Products'!F45&lt;&gt;"",'01_Input_Raw_Products'!F45,'01_Input_Raw_Products'!D45))</f>
        <v>0</v>
      </c>
      <c r="O45" s="9">
        <f>IF(C45="","","Catalog Automation")</f>
        <v>0</v>
      </c>
      <c r="P45" s="9">
        <f>'01_Input_Raw_Products'!U45</f>
        <v>0</v>
      </c>
      <c r="Q45" s="7">
        <f>IF('01_Input_Raw_Products'!O45&lt;&gt;"",'01_Input_Raw_Products'!O45,IF('01_Input_Raw_Products'!N45&lt;&gt;"",'01_Input_Raw_Products'!N45*1.1,""))</f>
        <v>0</v>
      </c>
      <c r="R45" s="9">
        <f>'01_Input_Raw_Products'!S45</f>
        <v>0</v>
      </c>
      <c r="S45" s="9" cm="1">
        <f t="array" ref="S45">IFERROR(_xlfn.XLOOKUP('01_Input_Raw_Products'!F45,'10_Master_Gem_Types'!A:A,'10_Master_Gem_Types'!H:H),"")</f>
        <v>0</v>
      </c>
      <c r="T45" s="8">
        <f>'01_Input_Raw_Products'!Q45</f>
        <v>0</v>
      </c>
      <c r="U45" s="8">
        <f>'01_Input_Raw_Products'!R45</f>
        <v>0</v>
      </c>
      <c r="V45" s="7">
        <f>I45</f>
        <v>0</v>
      </c>
      <c r="W45" s="9" cm="1">
        <f t="array" ref="W45">IF('01_Input_Raw_Products'!G45&lt;&gt;"",'01_Input_Raw_Products'!G45,IFERROR(_xlfn.XLOOKUP('01_Input_Raw_Products'!F45,'10_Master_Gem_Types'!A:A,'10_Master_Gem_Types'!L:L),""))</f>
        <v>0</v>
      </c>
      <c r="X45" s="9" cm="1">
        <f t="array" ref="X45">IFERROR(_xlfn.XLOOKUP('01_Input_Raw_Products'!F45,'10_Master_Gem_Types'!A:A,'10_Master_Gem_Types'!J:J),"")</f>
        <v>0</v>
      </c>
      <c r="Y45" s="9" cm="1">
        <f t="array" ref="Y45">IFERROR(_xlfn.XLOOKUP('01_Input_Raw_Products'!F45,'10_Master_Gem_Types'!A:A,'10_Master_Gem_Types'!I:I),"")</f>
        <v>0</v>
      </c>
      <c r="Z45" s="9" cm="1">
        <f t="array" ref="Z45">IFERROR(_xlfn.XLOOKUP('01_Input_Raw_Products'!L45,'13_Certification_Stickers'!A:A,'13_Certification_Stickers'!C:C),"")</f>
        <v>0</v>
      </c>
      <c r="AA45" s="9" cm="1">
        <f t="array" ref="AA45">IFERROR(_xlfn.XLOOKUP('01_Input_Raw_Products'!S45,'14_Shipping_Rules'!A:A,'14_Shipping_Rules'!B:B),"")</f>
        <v>0</v>
      </c>
      <c r="AB45" s="9" cm="1">
        <f t="array" ref="AB45">IFERROR(_xlfn.XLOOKUP('01_Input_Raw_Products'!D45,'16_Astro_Flags'!A:A,'16_Astro_Flags'!B:B),"")</f>
        <v>0</v>
      </c>
      <c r="AC45" s="9">
        <f>IF(C45="","","Catalog, Search")</f>
        <v>0</v>
      </c>
      <c r="AD45" s="9">
        <f>IF(C45="","",IF(OR(F45="",J45="",M45="",S45="",Y45=""),"Manual Review","Ready"))</f>
        <v>0</v>
      </c>
      <c r="AE45" s="9">
        <f>IF(C45="","",TEXTJOIN("; ",TRUE,IF(F45="","Missing url_key",""),IF(J45="","Missing classification",""),IF(M45="","Missing j_colour",""),IF(S45="","Missing hsn_code",""),IF(Y45="","Missing tax_class_id","")))</f>
        <v>0</v>
      </c>
    </row>
    <row r="46" spans="1:31">
      <c r="A46" s="9">
        <f>IF('01_Input_Raw_Products'!B46&lt;&gt;"",20,"")</f>
        <v>0</v>
      </c>
      <c r="B46" s="9" cm="1">
        <f t="array" ref="B46">IF('01_Input_Raw_Products'!M46&lt;&gt;"",'01_Input_Raw_Products'!M46,IFERROR(_xlfn.XLOOKUP('01_Input_Raw_Products'!F46,'10_Master_Gem_Types'!A:A,'10_Master_Gem_Types'!K:K),""))</f>
        <v>0</v>
      </c>
      <c r="C46" s="9">
        <f>'01_Input_Raw_Products'!B46</f>
        <v>0</v>
      </c>
      <c r="D46" s="9">
        <f>IF(C46="","",TEXT(I46,"0.00")&amp;" Ct "&amp;IF('01_Input_Raw_Products'!F46&lt;&gt;"",'01_Input_Raw_Products'!F46,'01_Input_Raw_Products'!D46)&amp;" "&amp;'01_Input_Raw_Products'!I46)</f>
        <v>0</v>
      </c>
      <c r="E46" s="9">
        <f>IF(C46="","",D46&amp;" | GemPundit")</f>
        <v>0</v>
      </c>
      <c r="F46" s="9" cm="1">
        <f t="array" ref="F46">IF('01_Input_Raw_Products'!X46&lt;&gt;"",'01_Input_Raw_Products'!X46,IFERROR(_xlfn.XLOOKUP('01_Input_Raw_Products'!F46,'10_Master_Gem_Types'!A:A,'10_Master_Gem_Types'!O:O),LOWER(SUBSTITUTE(IF('01_Input_Raw_Products'!F46&lt;&gt;"",'01_Input_Raw_Products'!F46,'01_Input_Raw_Products'!D46)," ","-"))))</f>
        <v>0</v>
      </c>
      <c r="G46" s="9">
        <f>'01_Input_Raw_Products'!C46</f>
        <v>0</v>
      </c>
      <c r="H46" s="9" cm="1">
        <f t="array" ref="H46">IF('01_Input_Raw_Products'!H46&lt;&gt;"",'01_Input_Raw_Products'!H46,IFERROR(_xlfn.XLOOKUP('01_Input_Raw_Products'!F46,'10_Master_Gem_Types'!A:A,'10_Master_Gem_Types'!D:D),""))</f>
        <v>0</v>
      </c>
      <c r="I46" s="7">
        <f>IF('01_Input_Raw_Products'!N46&lt;&gt;"",'01_Input_Raw_Products'!N46,IF('01_Input_Raw_Products'!O46&lt;&gt;"",'01_Input_Raw_Products'!O46*0.91,""))</f>
        <v>0</v>
      </c>
      <c r="J46" s="9" cm="1">
        <f t="array" ref="J46">IFERROR(_xlfn.XLOOKUP('01_Input_Raw_Products'!F46,'10_Master_Gem_Types'!A:A,'10_Master_Gem_Types'!N:N),"")</f>
        <v>0</v>
      </c>
      <c r="K46" s="9" cm="1">
        <f t="array" ref="K46">IF('01_Input_Raw_Products'!J46&lt;&gt;"",'01_Input_Raw_Products'!J46,IFERROR(_xlfn.XLOOKUP('01_Input_Raw_Products'!F46,'10_Master_Gem_Types'!A:A,'10_Master_Gem_Types'!E:E),""))</f>
        <v>0</v>
      </c>
      <c r="L46" s="9">
        <f>'01_Input_Raw_Products'!P46</f>
        <v>0</v>
      </c>
      <c r="M46" s="9" cm="1">
        <f t="array" ref="M46">IFERROR(_xlfn.XLOOKUP('01_Input_Raw_Products'!K46,'12_Color_Mapping'!A:A,'12_Color_Mapping'!B:B),IFERROR(_xlfn.XLOOKUP('01_Input_Raw_Products'!F46,'10_Master_Gem_Types'!A:A,'10_Master_Gem_Types'!F:F),""))</f>
        <v>0</v>
      </c>
      <c r="N46" s="9">
        <f>IF(C46="","",IF('01_Input_Raw_Products'!F46&lt;&gt;"",'01_Input_Raw_Products'!F46,'01_Input_Raw_Products'!D46))</f>
        <v>0</v>
      </c>
      <c r="O46" s="9">
        <f>IF(C46="","","Catalog Automation")</f>
        <v>0</v>
      </c>
      <c r="P46" s="9">
        <f>'01_Input_Raw_Products'!U46</f>
        <v>0</v>
      </c>
      <c r="Q46" s="7">
        <f>IF('01_Input_Raw_Products'!O46&lt;&gt;"",'01_Input_Raw_Products'!O46,IF('01_Input_Raw_Products'!N46&lt;&gt;"",'01_Input_Raw_Products'!N46*1.1,""))</f>
        <v>0</v>
      </c>
      <c r="R46" s="9">
        <f>'01_Input_Raw_Products'!S46</f>
        <v>0</v>
      </c>
      <c r="S46" s="9" cm="1">
        <f t="array" ref="S46">IFERROR(_xlfn.XLOOKUP('01_Input_Raw_Products'!F46,'10_Master_Gem_Types'!A:A,'10_Master_Gem_Types'!H:H),"")</f>
        <v>0</v>
      </c>
      <c r="T46" s="8">
        <f>'01_Input_Raw_Products'!Q46</f>
        <v>0</v>
      </c>
      <c r="U46" s="8">
        <f>'01_Input_Raw_Products'!R46</f>
        <v>0</v>
      </c>
      <c r="V46" s="7">
        <f>I46</f>
        <v>0</v>
      </c>
      <c r="W46" s="9" cm="1">
        <f t="array" ref="W46">IF('01_Input_Raw_Products'!G46&lt;&gt;"",'01_Input_Raw_Products'!G46,IFERROR(_xlfn.XLOOKUP('01_Input_Raw_Products'!F46,'10_Master_Gem_Types'!A:A,'10_Master_Gem_Types'!L:L),""))</f>
        <v>0</v>
      </c>
      <c r="X46" s="9" cm="1">
        <f t="array" ref="X46">IFERROR(_xlfn.XLOOKUP('01_Input_Raw_Products'!F46,'10_Master_Gem_Types'!A:A,'10_Master_Gem_Types'!J:J),"")</f>
        <v>0</v>
      </c>
      <c r="Y46" s="9" cm="1">
        <f t="array" ref="Y46">IFERROR(_xlfn.XLOOKUP('01_Input_Raw_Products'!F46,'10_Master_Gem_Types'!A:A,'10_Master_Gem_Types'!I:I),"")</f>
        <v>0</v>
      </c>
      <c r="Z46" s="9" cm="1">
        <f t="array" ref="Z46">IFERROR(_xlfn.XLOOKUP('01_Input_Raw_Products'!L46,'13_Certification_Stickers'!A:A,'13_Certification_Stickers'!C:C),"")</f>
        <v>0</v>
      </c>
      <c r="AA46" s="9" cm="1">
        <f t="array" ref="AA46">IFERROR(_xlfn.XLOOKUP('01_Input_Raw_Products'!S46,'14_Shipping_Rules'!A:A,'14_Shipping_Rules'!B:B),"")</f>
        <v>0</v>
      </c>
      <c r="AB46" s="9" cm="1">
        <f t="array" ref="AB46">IFERROR(_xlfn.XLOOKUP('01_Input_Raw_Products'!D46,'16_Astro_Flags'!A:A,'16_Astro_Flags'!B:B),"")</f>
        <v>0</v>
      </c>
      <c r="AC46" s="9">
        <f>IF(C46="","","Catalog, Search")</f>
        <v>0</v>
      </c>
      <c r="AD46" s="9">
        <f>IF(C46="","",IF(OR(F46="",J46="",M46="",S46="",Y46=""),"Manual Review","Ready"))</f>
        <v>0</v>
      </c>
      <c r="AE46" s="9">
        <f>IF(C46="","",TEXTJOIN("; ",TRUE,IF(F46="","Missing url_key",""),IF(J46="","Missing classification",""),IF(M46="","Missing j_colour",""),IF(S46="","Missing hsn_code",""),IF(Y46="","Missing tax_class_id","")))</f>
        <v>0</v>
      </c>
    </row>
    <row r="47" spans="1:31">
      <c r="A47" s="9">
        <f>IF('01_Input_Raw_Products'!B47&lt;&gt;"",20,"")</f>
        <v>0</v>
      </c>
      <c r="B47" s="9" cm="1">
        <f t="array" ref="B47">IF('01_Input_Raw_Products'!M47&lt;&gt;"",'01_Input_Raw_Products'!M47,IFERROR(_xlfn.XLOOKUP('01_Input_Raw_Products'!F47,'10_Master_Gem_Types'!A:A,'10_Master_Gem_Types'!K:K),""))</f>
        <v>0</v>
      </c>
      <c r="C47" s="9">
        <f>'01_Input_Raw_Products'!B47</f>
        <v>0</v>
      </c>
      <c r="D47" s="9">
        <f>IF(C47="","",TEXT(I47,"0.00")&amp;" Ct "&amp;IF('01_Input_Raw_Products'!F47&lt;&gt;"",'01_Input_Raw_Products'!F47,'01_Input_Raw_Products'!D47)&amp;" "&amp;'01_Input_Raw_Products'!I47)</f>
        <v>0</v>
      </c>
      <c r="E47" s="9">
        <f>IF(C47="","",D47&amp;" | GemPundit")</f>
        <v>0</v>
      </c>
      <c r="F47" s="9" cm="1">
        <f t="array" ref="F47">IF('01_Input_Raw_Products'!X47&lt;&gt;"",'01_Input_Raw_Products'!X47,IFERROR(_xlfn.XLOOKUP('01_Input_Raw_Products'!F47,'10_Master_Gem_Types'!A:A,'10_Master_Gem_Types'!O:O),LOWER(SUBSTITUTE(IF('01_Input_Raw_Products'!F47&lt;&gt;"",'01_Input_Raw_Products'!F47,'01_Input_Raw_Products'!D47)," ","-"))))</f>
        <v>0</v>
      </c>
      <c r="G47" s="9">
        <f>'01_Input_Raw_Products'!C47</f>
        <v>0</v>
      </c>
      <c r="H47" s="9" cm="1">
        <f t="array" ref="H47">IF('01_Input_Raw_Products'!H47&lt;&gt;"",'01_Input_Raw_Products'!H47,IFERROR(_xlfn.XLOOKUP('01_Input_Raw_Products'!F47,'10_Master_Gem_Types'!A:A,'10_Master_Gem_Types'!D:D),""))</f>
        <v>0</v>
      </c>
      <c r="I47" s="7">
        <f>IF('01_Input_Raw_Products'!N47&lt;&gt;"",'01_Input_Raw_Products'!N47,IF('01_Input_Raw_Products'!O47&lt;&gt;"",'01_Input_Raw_Products'!O47*0.91,""))</f>
        <v>0</v>
      </c>
      <c r="J47" s="9" cm="1">
        <f t="array" ref="J47">IFERROR(_xlfn.XLOOKUP('01_Input_Raw_Products'!F47,'10_Master_Gem_Types'!A:A,'10_Master_Gem_Types'!N:N),"")</f>
        <v>0</v>
      </c>
      <c r="K47" s="9" cm="1">
        <f t="array" ref="K47">IF('01_Input_Raw_Products'!J47&lt;&gt;"",'01_Input_Raw_Products'!J47,IFERROR(_xlfn.XLOOKUP('01_Input_Raw_Products'!F47,'10_Master_Gem_Types'!A:A,'10_Master_Gem_Types'!E:E),""))</f>
        <v>0</v>
      </c>
      <c r="L47" s="9">
        <f>'01_Input_Raw_Products'!P47</f>
        <v>0</v>
      </c>
      <c r="M47" s="9" cm="1">
        <f t="array" ref="M47">IFERROR(_xlfn.XLOOKUP('01_Input_Raw_Products'!K47,'12_Color_Mapping'!A:A,'12_Color_Mapping'!B:B),IFERROR(_xlfn.XLOOKUP('01_Input_Raw_Products'!F47,'10_Master_Gem_Types'!A:A,'10_Master_Gem_Types'!F:F),""))</f>
        <v>0</v>
      </c>
      <c r="N47" s="9">
        <f>IF(C47="","",IF('01_Input_Raw_Products'!F47&lt;&gt;"",'01_Input_Raw_Products'!F47,'01_Input_Raw_Products'!D47))</f>
        <v>0</v>
      </c>
      <c r="O47" s="9">
        <f>IF(C47="","","Catalog Automation")</f>
        <v>0</v>
      </c>
      <c r="P47" s="9">
        <f>'01_Input_Raw_Products'!U47</f>
        <v>0</v>
      </c>
      <c r="Q47" s="7">
        <f>IF('01_Input_Raw_Products'!O47&lt;&gt;"",'01_Input_Raw_Products'!O47,IF('01_Input_Raw_Products'!N47&lt;&gt;"",'01_Input_Raw_Products'!N47*1.1,""))</f>
        <v>0</v>
      </c>
      <c r="R47" s="9">
        <f>'01_Input_Raw_Products'!S47</f>
        <v>0</v>
      </c>
      <c r="S47" s="9" cm="1">
        <f t="array" ref="S47">IFERROR(_xlfn.XLOOKUP('01_Input_Raw_Products'!F47,'10_Master_Gem_Types'!A:A,'10_Master_Gem_Types'!H:H),"")</f>
        <v>0</v>
      </c>
      <c r="T47" s="8">
        <f>'01_Input_Raw_Products'!Q47</f>
        <v>0</v>
      </c>
      <c r="U47" s="8">
        <f>'01_Input_Raw_Products'!R47</f>
        <v>0</v>
      </c>
      <c r="V47" s="7">
        <f>I47</f>
        <v>0</v>
      </c>
      <c r="W47" s="9" cm="1">
        <f t="array" ref="W47">IF('01_Input_Raw_Products'!G47&lt;&gt;"",'01_Input_Raw_Products'!G47,IFERROR(_xlfn.XLOOKUP('01_Input_Raw_Products'!F47,'10_Master_Gem_Types'!A:A,'10_Master_Gem_Types'!L:L),""))</f>
        <v>0</v>
      </c>
      <c r="X47" s="9" cm="1">
        <f t="array" ref="X47">IFERROR(_xlfn.XLOOKUP('01_Input_Raw_Products'!F47,'10_Master_Gem_Types'!A:A,'10_Master_Gem_Types'!J:J),"")</f>
        <v>0</v>
      </c>
      <c r="Y47" s="9" cm="1">
        <f t="array" ref="Y47">IFERROR(_xlfn.XLOOKUP('01_Input_Raw_Products'!F47,'10_Master_Gem_Types'!A:A,'10_Master_Gem_Types'!I:I),"")</f>
        <v>0</v>
      </c>
      <c r="Z47" s="9" cm="1">
        <f t="array" ref="Z47">IFERROR(_xlfn.XLOOKUP('01_Input_Raw_Products'!L47,'13_Certification_Stickers'!A:A,'13_Certification_Stickers'!C:C),"")</f>
        <v>0</v>
      </c>
      <c r="AA47" s="9" cm="1">
        <f t="array" ref="AA47">IFERROR(_xlfn.XLOOKUP('01_Input_Raw_Products'!S47,'14_Shipping_Rules'!A:A,'14_Shipping_Rules'!B:B),"")</f>
        <v>0</v>
      </c>
      <c r="AB47" s="9" cm="1">
        <f t="array" ref="AB47">IFERROR(_xlfn.XLOOKUP('01_Input_Raw_Products'!D47,'16_Astro_Flags'!A:A,'16_Astro_Flags'!B:B),"")</f>
        <v>0</v>
      </c>
      <c r="AC47" s="9">
        <f>IF(C47="","","Catalog, Search")</f>
        <v>0</v>
      </c>
      <c r="AD47" s="9">
        <f>IF(C47="","",IF(OR(F47="",J47="",M47="",S47="",Y47=""),"Manual Review","Ready"))</f>
        <v>0</v>
      </c>
      <c r="AE47" s="9">
        <f>IF(C47="","",TEXTJOIN("; ",TRUE,IF(F47="","Missing url_key",""),IF(J47="","Missing classification",""),IF(M47="","Missing j_colour",""),IF(S47="","Missing hsn_code",""),IF(Y47="","Missing tax_class_id","")))</f>
        <v>0</v>
      </c>
    </row>
    <row r="48" spans="1:31">
      <c r="A48" s="9">
        <f>IF('01_Input_Raw_Products'!B48&lt;&gt;"",20,"")</f>
        <v>0</v>
      </c>
      <c r="B48" s="9" cm="1">
        <f t="array" ref="B48">IF('01_Input_Raw_Products'!M48&lt;&gt;"",'01_Input_Raw_Products'!M48,IFERROR(_xlfn.XLOOKUP('01_Input_Raw_Products'!F48,'10_Master_Gem_Types'!A:A,'10_Master_Gem_Types'!K:K),""))</f>
        <v>0</v>
      </c>
      <c r="C48" s="9">
        <f>'01_Input_Raw_Products'!B48</f>
        <v>0</v>
      </c>
      <c r="D48" s="9">
        <f>IF(C48="","",TEXT(I48,"0.00")&amp;" Ct "&amp;IF('01_Input_Raw_Products'!F48&lt;&gt;"",'01_Input_Raw_Products'!F48,'01_Input_Raw_Products'!D48)&amp;" "&amp;'01_Input_Raw_Products'!I48)</f>
        <v>0</v>
      </c>
      <c r="E48" s="9">
        <f>IF(C48="","",D48&amp;" | GemPundit")</f>
        <v>0</v>
      </c>
      <c r="F48" s="9" cm="1">
        <f t="array" ref="F48">IF('01_Input_Raw_Products'!X48&lt;&gt;"",'01_Input_Raw_Products'!X48,IFERROR(_xlfn.XLOOKUP('01_Input_Raw_Products'!F48,'10_Master_Gem_Types'!A:A,'10_Master_Gem_Types'!O:O),LOWER(SUBSTITUTE(IF('01_Input_Raw_Products'!F48&lt;&gt;"",'01_Input_Raw_Products'!F48,'01_Input_Raw_Products'!D48)," ","-"))))</f>
        <v>0</v>
      </c>
      <c r="G48" s="9">
        <f>'01_Input_Raw_Products'!C48</f>
        <v>0</v>
      </c>
      <c r="H48" s="9" cm="1">
        <f t="array" ref="H48">IF('01_Input_Raw_Products'!H48&lt;&gt;"",'01_Input_Raw_Products'!H48,IFERROR(_xlfn.XLOOKUP('01_Input_Raw_Products'!F48,'10_Master_Gem_Types'!A:A,'10_Master_Gem_Types'!D:D),""))</f>
        <v>0</v>
      </c>
      <c r="I48" s="7">
        <f>IF('01_Input_Raw_Products'!N48&lt;&gt;"",'01_Input_Raw_Products'!N48,IF('01_Input_Raw_Products'!O48&lt;&gt;"",'01_Input_Raw_Products'!O48*0.91,""))</f>
        <v>0</v>
      </c>
      <c r="J48" s="9" cm="1">
        <f t="array" ref="J48">IFERROR(_xlfn.XLOOKUP('01_Input_Raw_Products'!F48,'10_Master_Gem_Types'!A:A,'10_Master_Gem_Types'!N:N),"")</f>
        <v>0</v>
      </c>
      <c r="K48" s="9" cm="1">
        <f t="array" ref="K48">IF('01_Input_Raw_Products'!J48&lt;&gt;"",'01_Input_Raw_Products'!J48,IFERROR(_xlfn.XLOOKUP('01_Input_Raw_Products'!F48,'10_Master_Gem_Types'!A:A,'10_Master_Gem_Types'!E:E),""))</f>
        <v>0</v>
      </c>
      <c r="L48" s="9">
        <f>'01_Input_Raw_Products'!P48</f>
        <v>0</v>
      </c>
      <c r="M48" s="9" cm="1">
        <f t="array" ref="M48">IFERROR(_xlfn.XLOOKUP('01_Input_Raw_Products'!K48,'12_Color_Mapping'!A:A,'12_Color_Mapping'!B:B),IFERROR(_xlfn.XLOOKUP('01_Input_Raw_Products'!F48,'10_Master_Gem_Types'!A:A,'10_Master_Gem_Types'!F:F),""))</f>
        <v>0</v>
      </c>
      <c r="N48" s="9">
        <f>IF(C48="","",IF('01_Input_Raw_Products'!F48&lt;&gt;"",'01_Input_Raw_Products'!F48,'01_Input_Raw_Products'!D48))</f>
        <v>0</v>
      </c>
      <c r="O48" s="9">
        <f>IF(C48="","","Catalog Automation")</f>
        <v>0</v>
      </c>
      <c r="P48" s="9">
        <f>'01_Input_Raw_Products'!U48</f>
        <v>0</v>
      </c>
      <c r="Q48" s="7">
        <f>IF('01_Input_Raw_Products'!O48&lt;&gt;"",'01_Input_Raw_Products'!O48,IF('01_Input_Raw_Products'!N48&lt;&gt;"",'01_Input_Raw_Products'!N48*1.1,""))</f>
        <v>0</v>
      </c>
      <c r="R48" s="9">
        <f>'01_Input_Raw_Products'!S48</f>
        <v>0</v>
      </c>
      <c r="S48" s="9" cm="1">
        <f t="array" ref="S48">IFERROR(_xlfn.XLOOKUP('01_Input_Raw_Products'!F48,'10_Master_Gem_Types'!A:A,'10_Master_Gem_Types'!H:H),"")</f>
        <v>0</v>
      </c>
      <c r="T48" s="8">
        <f>'01_Input_Raw_Products'!Q48</f>
        <v>0</v>
      </c>
      <c r="U48" s="8">
        <f>'01_Input_Raw_Products'!R48</f>
        <v>0</v>
      </c>
      <c r="V48" s="7">
        <f>I48</f>
        <v>0</v>
      </c>
      <c r="W48" s="9" cm="1">
        <f t="array" ref="W48">IF('01_Input_Raw_Products'!G48&lt;&gt;"",'01_Input_Raw_Products'!G48,IFERROR(_xlfn.XLOOKUP('01_Input_Raw_Products'!F48,'10_Master_Gem_Types'!A:A,'10_Master_Gem_Types'!L:L),""))</f>
        <v>0</v>
      </c>
      <c r="X48" s="9" cm="1">
        <f t="array" ref="X48">IFERROR(_xlfn.XLOOKUP('01_Input_Raw_Products'!F48,'10_Master_Gem_Types'!A:A,'10_Master_Gem_Types'!J:J),"")</f>
        <v>0</v>
      </c>
      <c r="Y48" s="9" cm="1">
        <f t="array" ref="Y48">IFERROR(_xlfn.XLOOKUP('01_Input_Raw_Products'!F48,'10_Master_Gem_Types'!A:A,'10_Master_Gem_Types'!I:I),"")</f>
        <v>0</v>
      </c>
      <c r="Z48" s="9" cm="1">
        <f t="array" ref="Z48">IFERROR(_xlfn.XLOOKUP('01_Input_Raw_Products'!L48,'13_Certification_Stickers'!A:A,'13_Certification_Stickers'!C:C),"")</f>
        <v>0</v>
      </c>
      <c r="AA48" s="9" cm="1">
        <f t="array" ref="AA48">IFERROR(_xlfn.XLOOKUP('01_Input_Raw_Products'!S48,'14_Shipping_Rules'!A:A,'14_Shipping_Rules'!B:B),"")</f>
        <v>0</v>
      </c>
      <c r="AB48" s="9" cm="1">
        <f t="array" ref="AB48">IFERROR(_xlfn.XLOOKUP('01_Input_Raw_Products'!D48,'16_Astro_Flags'!A:A,'16_Astro_Flags'!B:B),"")</f>
        <v>0</v>
      </c>
      <c r="AC48" s="9">
        <f>IF(C48="","","Catalog, Search")</f>
        <v>0</v>
      </c>
      <c r="AD48" s="9">
        <f>IF(C48="","",IF(OR(F48="",J48="",M48="",S48="",Y48=""),"Manual Review","Ready"))</f>
        <v>0</v>
      </c>
      <c r="AE48" s="9">
        <f>IF(C48="","",TEXTJOIN("; ",TRUE,IF(F48="","Missing url_key",""),IF(J48="","Missing classification",""),IF(M48="","Missing j_colour",""),IF(S48="","Missing hsn_code",""),IF(Y48="","Missing tax_class_id","")))</f>
        <v>0</v>
      </c>
    </row>
    <row r="49" spans="1:31">
      <c r="A49" s="9">
        <f>IF('01_Input_Raw_Products'!B49&lt;&gt;"",20,"")</f>
        <v>0</v>
      </c>
      <c r="B49" s="9" cm="1">
        <f t="array" ref="B49">IF('01_Input_Raw_Products'!M49&lt;&gt;"",'01_Input_Raw_Products'!M49,IFERROR(_xlfn.XLOOKUP('01_Input_Raw_Products'!F49,'10_Master_Gem_Types'!A:A,'10_Master_Gem_Types'!K:K),""))</f>
        <v>0</v>
      </c>
      <c r="C49" s="9">
        <f>'01_Input_Raw_Products'!B49</f>
        <v>0</v>
      </c>
      <c r="D49" s="9">
        <f>IF(C49="","",TEXT(I49,"0.00")&amp;" Ct "&amp;IF('01_Input_Raw_Products'!F49&lt;&gt;"",'01_Input_Raw_Products'!F49,'01_Input_Raw_Products'!D49)&amp;" "&amp;'01_Input_Raw_Products'!I49)</f>
        <v>0</v>
      </c>
      <c r="E49" s="9">
        <f>IF(C49="","",D49&amp;" | GemPundit")</f>
        <v>0</v>
      </c>
      <c r="F49" s="9" cm="1">
        <f t="array" ref="F49">IF('01_Input_Raw_Products'!X49&lt;&gt;"",'01_Input_Raw_Products'!X49,IFERROR(_xlfn.XLOOKUP('01_Input_Raw_Products'!F49,'10_Master_Gem_Types'!A:A,'10_Master_Gem_Types'!O:O),LOWER(SUBSTITUTE(IF('01_Input_Raw_Products'!F49&lt;&gt;"",'01_Input_Raw_Products'!F49,'01_Input_Raw_Products'!D49)," ","-"))))</f>
        <v>0</v>
      </c>
      <c r="G49" s="9">
        <f>'01_Input_Raw_Products'!C49</f>
        <v>0</v>
      </c>
      <c r="H49" s="9" cm="1">
        <f t="array" ref="H49">IF('01_Input_Raw_Products'!H49&lt;&gt;"",'01_Input_Raw_Products'!H49,IFERROR(_xlfn.XLOOKUP('01_Input_Raw_Products'!F49,'10_Master_Gem_Types'!A:A,'10_Master_Gem_Types'!D:D),""))</f>
        <v>0</v>
      </c>
      <c r="I49" s="7">
        <f>IF('01_Input_Raw_Products'!N49&lt;&gt;"",'01_Input_Raw_Products'!N49,IF('01_Input_Raw_Products'!O49&lt;&gt;"",'01_Input_Raw_Products'!O49*0.91,""))</f>
        <v>0</v>
      </c>
      <c r="J49" s="9" cm="1">
        <f t="array" ref="J49">IFERROR(_xlfn.XLOOKUP('01_Input_Raw_Products'!F49,'10_Master_Gem_Types'!A:A,'10_Master_Gem_Types'!N:N),"")</f>
        <v>0</v>
      </c>
      <c r="K49" s="9" cm="1">
        <f t="array" ref="K49">IF('01_Input_Raw_Products'!J49&lt;&gt;"",'01_Input_Raw_Products'!J49,IFERROR(_xlfn.XLOOKUP('01_Input_Raw_Products'!F49,'10_Master_Gem_Types'!A:A,'10_Master_Gem_Types'!E:E),""))</f>
        <v>0</v>
      </c>
      <c r="L49" s="9">
        <f>'01_Input_Raw_Products'!P49</f>
        <v>0</v>
      </c>
      <c r="M49" s="9" cm="1">
        <f t="array" ref="M49">IFERROR(_xlfn.XLOOKUP('01_Input_Raw_Products'!K49,'12_Color_Mapping'!A:A,'12_Color_Mapping'!B:B),IFERROR(_xlfn.XLOOKUP('01_Input_Raw_Products'!F49,'10_Master_Gem_Types'!A:A,'10_Master_Gem_Types'!F:F),""))</f>
        <v>0</v>
      </c>
      <c r="N49" s="9">
        <f>IF(C49="","",IF('01_Input_Raw_Products'!F49&lt;&gt;"",'01_Input_Raw_Products'!F49,'01_Input_Raw_Products'!D49))</f>
        <v>0</v>
      </c>
      <c r="O49" s="9">
        <f>IF(C49="","","Catalog Automation")</f>
        <v>0</v>
      </c>
      <c r="P49" s="9">
        <f>'01_Input_Raw_Products'!U49</f>
        <v>0</v>
      </c>
      <c r="Q49" s="7">
        <f>IF('01_Input_Raw_Products'!O49&lt;&gt;"",'01_Input_Raw_Products'!O49,IF('01_Input_Raw_Products'!N49&lt;&gt;"",'01_Input_Raw_Products'!N49*1.1,""))</f>
        <v>0</v>
      </c>
      <c r="R49" s="9">
        <f>'01_Input_Raw_Products'!S49</f>
        <v>0</v>
      </c>
      <c r="S49" s="9" cm="1">
        <f t="array" ref="S49">IFERROR(_xlfn.XLOOKUP('01_Input_Raw_Products'!F49,'10_Master_Gem_Types'!A:A,'10_Master_Gem_Types'!H:H),"")</f>
        <v>0</v>
      </c>
      <c r="T49" s="8">
        <f>'01_Input_Raw_Products'!Q49</f>
        <v>0</v>
      </c>
      <c r="U49" s="8">
        <f>'01_Input_Raw_Products'!R49</f>
        <v>0</v>
      </c>
      <c r="V49" s="7">
        <f>I49</f>
        <v>0</v>
      </c>
      <c r="W49" s="9" cm="1">
        <f t="array" ref="W49">IF('01_Input_Raw_Products'!G49&lt;&gt;"",'01_Input_Raw_Products'!G49,IFERROR(_xlfn.XLOOKUP('01_Input_Raw_Products'!F49,'10_Master_Gem_Types'!A:A,'10_Master_Gem_Types'!L:L),""))</f>
        <v>0</v>
      </c>
      <c r="X49" s="9" cm="1">
        <f t="array" ref="X49">IFERROR(_xlfn.XLOOKUP('01_Input_Raw_Products'!F49,'10_Master_Gem_Types'!A:A,'10_Master_Gem_Types'!J:J),"")</f>
        <v>0</v>
      </c>
      <c r="Y49" s="9" cm="1">
        <f t="array" ref="Y49">IFERROR(_xlfn.XLOOKUP('01_Input_Raw_Products'!F49,'10_Master_Gem_Types'!A:A,'10_Master_Gem_Types'!I:I),"")</f>
        <v>0</v>
      </c>
      <c r="Z49" s="9" cm="1">
        <f t="array" ref="Z49">IFERROR(_xlfn.XLOOKUP('01_Input_Raw_Products'!L49,'13_Certification_Stickers'!A:A,'13_Certification_Stickers'!C:C),"")</f>
        <v>0</v>
      </c>
      <c r="AA49" s="9" cm="1">
        <f t="array" ref="AA49">IFERROR(_xlfn.XLOOKUP('01_Input_Raw_Products'!S49,'14_Shipping_Rules'!A:A,'14_Shipping_Rules'!B:B),"")</f>
        <v>0</v>
      </c>
      <c r="AB49" s="9" cm="1">
        <f t="array" ref="AB49">IFERROR(_xlfn.XLOOKUP('01_Input_Raw_Products'!D49,'16_Astro_Flags'!A:A,'16_Astro_Flags'!B:B),"")</f>
        <v>0</v>
      </c>
      <c r="AC49" s="9">
        <f>IF(C49="","","Catalog, Search")</f>
        <v>0</v>
      </c>
      <c r="AD49" s="9">
        <f>IF(C49="","",IF(OR(F49="",J49="",M49="",S49="",Y49=""),"Manual Review","Ready"))</f>
        <v>0</v>
      </c>
      <c r="AE49" s="9">
        <f>IF(C49="","",TEXTJOIN("; ",TRUE,IF(F49="","Missing url_key",""),IF(J49="","Missing classification",""),IF(M49="","Missing j_colour",""),IF(S49="","Missing hsn_code",""),IF(Y49="","Missing tax_class_id","")))</f>
        <v>0</v>
      </c>
    </row>
    <row r="50" spans="1:31">
      <c r="A50" s="9">
        <f>IF('01_Input_Raw_Products'!B50&lt;&gt;"",20,"")</f>
        <v>0</v>
      </c>
      <c r="B50" s="9" cm="1">
        <f t="array" ref="B50">IF('01_Input_Raw_Products'!M50&lt;&gt;"",'01_Input_Raw_Products'!M50,IFERROR(_xlfn.XLOOKUP('01_Input_Raw_Products'!F50,'10_Master_Gem_Types'!A:A,'10_Master_Gem_Types'!K:K),""))</f>
        <v>0</v>
      </c>
      <c r="C50" s="9">
        <f>'01_Input_Raw_Products'!B50</f>
        <v>0</v>
      </c>
      <c r="D50" s="9">
        <f>IF(C50="","",TEXT(I50,"0.00")&amp;" Ct "&amp;IF('01_Input_Raw_Products'!F50&lt;&gt;"",'01_Input_Raw_Products'!F50,'01_Input_Raw_Products'!D50)&amp;" "&amp;'01_Input_Raw_Products'!I50)</f>
        <v>0</v>
      </c>
      <c r="E50" s="9">
        <f>IF(C50="","",D50&amp;" | GemPundit")</f>
        <v>0</v>
      </c>
      <c r="F50" s="9" cm="1">
        <f t="array" ref="F50">IF('01_Input_Raw_Products'!X50&lt;&gt;"",'01_Input_Raw_Products'!X50,IFERROR(_xlfn.XLOOKUP('01_Input_Raw_Products'!F50,'10_Master_Gem_Types'!A:A,'10_Master_Gem_Types'!O:O),LOWER(SUBSTITUTE(IF('01_Input_Raw_Products'!F50&lt;&gt;"",'01_Input_Raw_Products'!F50,'01_Input_Raw_Products'!D50)," ","-"))))</f>
        <v>0</v>
      </c>
      <c r="G50" s="9">
        <f>'01_Input_Raw_Products'!C50</f>
        <v>0</v>
      </c>
      <c r="H50" s="9" cm="1">
        <f t="array" ref="H50">IF('01_Input_Raw_Products'!H50&lt;&gt;"",'01_Input_Raw_Products'!H50,IFERROR(_xlfn.XLOOKUP('01_Input_Raw_Products'!F50,'10_Master_Gem_Types'!A:A,'10_Master_Gem_Types'!D:D),""))</f>
        <v>0</v>
      </c>
      <c r="I50" s="7">
        <f>IF('01_Input_Raw_Products'!N50&lt;&gt;"",'01_Input_Raw_Products'!N50,IF('01_Input_Raw_Products'!O50&lt;&gt;"",'01_Input_Raw_Products'!O50*0.91,""))</f>
        <v>0</v>
      </c>
      <c r="J50" s="9" cm="1">
        <f t="array" ref="J50">IFERROR(_xlfn.XLOOKUP('01_Input_Raw_Products'!F50,'10_Master_Gem_Types'!A:A,'10_Master_Gem_Types'!N:N),"")</f>
        <v>0</v>
      </c>
      <c r="K50" s="9" cm="1">
        <f t="array" ref="K50">IF('01_Input_Raw_Products'!J50&lt;&gt;"",'01_Input_Raw_Products'!J50,IFERROR(_xlfn.XLOOKUP('01_Input_Raw_Products'!F50,'10_Master_Gem_Types'!A:A,'10_Master_Gem_Types'!E:E),""))</f>
        <v>0</v>
      </c>
      <c r="L50" s="9">
        <f>'01_Input_Raw_Products'!P50</f>
        <v>0</v>
      </c>
      <c r="M50" s="9" cm="1">
        <f t="array" ref="M50">IFERROR(_xlfn.XLOOKUP('01_Input_Raw_Products'!K50,'12_Color_Mapping'!A:A,'12_Color_Mapping'!B:B),IFERROR(_xlfn.XLOOKUP('01_Input_Raw_Products'!F50,'10_Master_Gem_Types'!A:A,'10_Master_Gem_Types'!F:F),""))</f>
        <v>0</v>
      </c>
      <c r="N50" s="9">
        <f>IF(C50="","",IF('01_Input_Raw_Products'!F50&lt;&gt;"",'01_Input_Raw_Products'!F50,'01_Input_Raw_Products'!D50))</f>
        <v>0</v>
      </c>
      <c r="O50" s="9">
        <f>IF(C50="","","Catalog Automation")</f>
        <v>0</v>
      </c>
      <c r="P50" s="9">
        <f>'01_Input_Raw_Products'!U50</f>
        <v>0</v>
      </c>
      <c r="Q50" s="7">
        <f>IF('01_Input_Raw_Products'!O50&lt;&gt;"",'01_Input_Raw_Products'!O50,IF('01_Input_Raw_Products'!N50&lt;&gt;"",'01_Input_Raw_Products'!N50*1.1,""))</f>
        <v>0</v>
      </c>
      <c r="R50" s="9">
        <f>'01_Input_Raw_Products'!S50</f>
        <v>0</v>
      </c>
      <c r="S50" s="9" cm="1">
        <f t="array" ref="S50">IFERROR(_xlfn.XLOOKUP('01_Input_Raw_Products'!F50,'10_Master_Gem_Types'!A:A,'10_Master_Gem_Types'!H:H),"")</f>
        <v>0</v>
      </c>
      <c r="T50" s="8">
        <f>'01_Input_Raw_Products'!Q50</f>
        <v>0</v>
      </c>
      <c r="U50" s="8">
        <f>'01_Input_Raw_Products'!R50</f>
        <v>0</v>
      </c>
      <c r="V50" s="7">
        <f>I50</f>
        <v>0</v>
      </c>
      <c r="W50" s="9" cm="1">
        <f t="array" ref="W50">IF('01_Input_Raw_Products'!G50&lt;&gt;"",'01_Input_Raw_Products'!G50,IFERROR(_xlfn.XLOOKUP('01_Input_Raw_Products'!F50,'10_Master_Gem_Types'!A:A,'10_Master_Gem_Types'!L:L),""))</f>
        <v>0</v>
      </c>
      <c r="X50" s="9" cm="1">
        <f t="array" ref="X50">IFERROR(_xlfn.XLOOKUP('01_Input_Raw_Products'!F50,'10_Master_Gem_Types'!A:A,'10_Master_Gem_Types'!J:J),"")</f>
        <v>0</v>
      </c>
      <c r="Y50" s="9" cm="1">
        <f t="array" ref="Y50">IFERROR(_xlfn.XLOOKUP('01_Input_Raw_Products'!F50,'10_Master_Gem_Types'!A:A,'10_Master_Gem_Types'!I:I),"")</f>
        <v>0</v>
      </c>
      <c r="Z50" s="9" cm="1">
        <f t="array" ref="Z50">IFERROR(_xlfn.XLOOKUP('01_Input_Raw_Products'!L50,'13_Certification_Stickers'!A:A,'13_Certification_Stickers'!C:C),"")</f>
        <v>0</v>
      </c>
      <c r="AA50" s="9" cm="1">
        <f t="array" ref="AA50">IFERROR(_xlfn.XLOOKUP('01_Input_Raw_Products'!S50,'14_Shipping_Rules'!A:A,'14_Shipping_Rules'!B:B),"")</f>
        <v>0</v>
      </c>
      <c r="AB50" s="9" cm="1">
        <f t="array" ref="AB50">IFERROR(_xlfn.XLOOKUP('01_Input_Raw_Products'!D50,'16_Astro_Flags'!A:A,'16_Astro_Flags'!B:B),"")</f>
        <v>0</v>
      </c>
      <c r="AC50" s="9">
        <f>IF(C50="","","Catalog, Search")</f>
        <v>0</v>
      </c>
      <c r="AD50" s="9">
        <f>IF(C50="","",IF(OR(F50="",J50="",M50="",S50="",Y50=""),"Manual Review","Ready"))</f>
        <v>0</v>
      </c>
      <c r="AE50" s="9">
        <f>IF(C50="","",TEXTJOIN("; ",TRUE,IF(F50="","Missing url_key",""),IF(J50="","Missing classification",""),IF(M50="","Missing j_colour",""),IF(S50="","Missing hsn_code",""),IF(Y50="","Missing tax_class_id","")))</f>
        <v>0</v>
      </c>
    </row>
    <row r="51" spans="1:31">
      <c r="A51" s="9">
        <f>IF('01_Input_Raw_Products'!B51&lt;&gt;"",20,"")</f>
        <v>0</v>
      </c>
      <c r="B51" s="9" cm="1">
        <f t="array" ref="B51">IF('01_Input_Raw_Products'!M51&lt;&gt;"",'01_Input_Raw_Products'!M51,IFERROR(_xlfn.XLOOKUP('01_Input_Raw_Products'!F51,'10_Master_Gem_Types'!A:A,'10_Master_Gem_Types'!K:K),""))</f>
        <v>0</v>
      </c>
      <c r="C51" s="9">
        <f>'01_Input_Raw_Products'!B51</f>
        <v>0</v>
      </c>
      <c r="D51" s="9">
        <f>IF(C51="","",TEXT(I51,"0.00")&amp;" Ct "&amp;IF('01_Input_Raw_Products'!F51&lt;&gt;"",'01_Input_Raw_Products'!F51,'01_Input_Raw_Products'!D51)&amp;" "&amp;'01_Input_Raw_Products'!I51)</f>
        <v>0</v>
      </c>
      <c r="E51" s="9">
        <f>IF(C51="","",D51&amp;" | GemPundit")</f>
        <v>0</v>
      </c>
      <c r="F51" s="9" cm="1">
        <f t="array" ref="F51">IF('01_Input_Raw_Products'!X51&lt;&gt;"",'01_Input_Raw_Products'!X51,IFERROR(_xlfn.XLOOKUP('01_Input_Raw_Products'!F51,'10_Master_Gem_Types'!A:A,'10_Master_Gem_Types'!O:O),LOWER(SUBSTITUTE(IF('01_Input_Raw_Products'!F51&lt;&gt;"",'01_Input_Raw_Products'!F51,'01_Input_Raw_Products'!D51)," ","-"))))</f>
        <v>0</v>
      </c>
      <c r="G51" s="9">
        <f>'01_Input_Raw_Products'!C51</f>
        <v>0</v>
      </c>
      <c r="H51" s="9" cm="1">
        <f t="array" ref="H51">IF('01_Input_Raw_Products'!H51&lt;&gt;"",'01_Input_Raw_Products'!H51,IFERROR(_xlfn.XLOOKUP('01_Input_Raw_Products'!F51,'10_Master_Gem_Types'!A:A,'10_Master_Gem_Types'!D:D),""))</f>
        <v>0</v>
      </c>
      <c r="I51" s="7">
        <f>IF('01_Input_Raw_Products'!N51&lt;&gt;"",'01_Input_Raw_Products'!N51,IF('01_Input_Raw_Products'!O51&lt;&gt;"",'01_Input_Raw_Products'!O51*0.91,""))</f>
        <v>0</v>
      </c>
      <c r="J51" s="9" cm="1">
        <f t="array" ref="J51">IFERROR(_xlfn.XLOOKUP('01_Input_Raw_Products'!F51,'10_Master_Gem_Types'!A:A,'10_Master_Gem_Types'!N:N),"")</f>
        <v>0</v>
      </c>
      <c r="K51" s="9" cm="1">
        <f t="array" ref="K51">IF('01_Input_Raw_Products'!J51&lt;&gt;"",'01_Input_Raw_Products'!J51,IFERROR(_xlfn.XLOOKUP('01_Input_Raw_Products'!F51,'10_Master_Gem_Types'!A:A,'10_Master_Gem_Types'!E:E),""))</f>
        <v>0</v>
      </c>
      <c r="L51" s="9">
        <f>'01_Input_Raw_Products'!P51</f>
        <v>0</v>
      </c>
      <c r="M51" s="9" cm="1">
        <f t="array" ref="M51">IFERROR(_xlfn.XLOOKUP('01_Input_Raw_Products'!K51,'12_Color_Mapping'!A:A,'12_Color_Mapping'!B:B),IFERROR(_xlfn.XLOOKUP('01_Input_Raw_Products'!F51,'10_Master_Gem_Types'!A:A,'10_Master_Gem_Types'!F:F),""))</f>
        <v>0</v>
      </c>
      <c r="N51" s="9">
        <f>IF(C51="","",IF('01_Input_Raw_Products'!F51&lt;&gt;"",'01_Input_Raw_Products'!F51,'01_Input_Raw_Products'!D51))</f>
        <v>0</v>
      </c>
      <c r="O51" s="9">
        <f>IF(C51="","","Catalog Automation")</f>
        <v>0</v>
      </c>
      <c r="P51" s="9">
        <f>'01_Input_Raw_Products'!U51</f>
        <v>0</v>
      </c>
      <c r="Q51" s="7">
        <f>IF('01_Input_Raw_Products'!O51&lt;&gt;"",'01_Input_Raw_Products'!O51,IF('01_Input_Raw_Products'!N51&lt;&gt;"",'01_Input_Raw_Products'!N51*1.1,""))</f>
        <v>0</v>
      </c>
      <c r="R51" s="9">
        <f>'01_Input_Raw_Products'!S51</f>
        <v>0</v>
      </c>
      <c r="S51" s="9" cm="1">
        <f t="array" ref="S51">IFERROR(_xlfn.XLOOKUP('01_Input_Raw_Products'!F51,'10_Master_Gem_Types'!A:A,'10_Master_Gem_Types'!H:H),"")</f>
        <v>0</v>
      </c>
      <c r="T51" s="8">
        <f>'01_Input_Raw_Products'!Q51</f>
        <v>0</v>
      </c>
      <c r="U51" s="8">
        <f>'01_Input_Raw_Products'!R51</f>
        <v>0</v>
      </c>
      <c r="V51" s="7">
        <f>I51</f>
        <v>0</v>
      </c>
      <c r="W51" s="9" cm="1">
        <f t="array" ref="W51">IF('01_Input_Raw_Products'!G51&lt;&gt;"",'01_Input_Raw_Products'!G51,IFERROR(_xlfn.XLOOKUP('01_Input_Raw_Products'!F51,'10_Master_Gem_Types'!A:A,'10_Master_Gem_Types'!L:L),""))</f>
        <v>0</v>
      </c>
      <c r="X51" s="9" cm="1">
        <f t="array" ref="X51">IFERROR(_xlfn.XLOOKUP('01_Input_Raw_Products'!F51,'10_Master_Gem_Types'!A:A,'10_Master_Gem_Types'!J:J),"")</f>
        <v>0</v>
      </c>
      <c r="Y51" s="9" cm="1">
        <f t="array" ref="Y51">IFERROR(_xlfn.XLOOKUP('01_Input_Raw_Products'!F51,'10_Master_Gem_Types'!A:A,'10_Master_Gem_Types'!I:I),"")</f>
        <v>0</v>
      </c>
      <c r="Z51" s="9" cm="1">
        <f t="array" ref="Z51">IFERROR(_xlfn.XLOOKUP('01_Input_Raw_Products'!L51,'13_Certification_Stickers'!A:A,'13_Certification_Stickers'!C:C),"")</f>
        <v>0</v>
      </c>
      <c r="AA51" s="9" cm="1">
        <f t="array" ref="AA51">IFERROR(_xlfn.XLOOKUP('01_Input_Raw_Products'!S51,'14_Shipping_Rules'!A:A,'14_Shipping_Rules'!B:B),"")</f>
        <v>0</v>
      </c>
      <c r="AB51" s="9" cm="1">
        <f t="array" ref="AB51">IFERROR(_xlfn.XLOOKUP('01_Input_Raw_Products'!D51,'16_Astro_Flags'!A:A,'16_Astro_Flags'!B:B),"")</f>
        <v>0</v>
      </c>
      <c r="AC51" s="9">
        <f>IF(C51="","","Catalog, Search")</f>
        <v>0</v>
      </c>
      <c r="AD51" s="9">
        <f>IF(C51="","",IF(OR(F51="",J51="",M51="",S51="",Y51=""),"Manual Review","Ready"))</f>
        <v>0</v>
      </c>
      <c r="AE51" s="9">
        <f>IF(C51="","",TEXTJOIN("; ",TRUE,IF(F51="","Missing url_key",""),IF(J51="","Missing classification",""),IF(M51="","Missing j_colour",""),IF(S51="","Missing hsn_code",""),IF(Y51="","Missing tax_class_id","")))</f>
        <v>0</v>
      </c>
    </row>
    <row r="52" spans="1:31">
      <c r="A52" s="9">
        <f>IF('01_Input_Raw_Products'!B52&lt;&gt;"",20,"")</f>
        <v>0</v>
      </c>
      <c r="B52" s="9" cm="1">
        <f t="array" ref="B52">IF('01_Input_Raw_Products'!M52&lt;&gt;"",'01_Input_Raw_Products'!M52,IFERROR(_xlfn.XLOOKUP('01_Input_Raw_Products'!F52,'10_Master_Gem_Types'!A:A,'10_Master_Gem_Types'!K:K),""))</f>
        <v>0</v>
      </c>
      <c r="C52" s="9">
        <f>'01_Input_Raw_Products'!B52</f>
        <v>0</v>
      </c>
      <c r="D52" s="9">
        <f>IF(C52="","",TEXT(I52,"0.00")&amp;" Ct "&amp;IF('01_Input_Raw_Products'!F52&lt;&gt;"",'01_Input_Raw_Products'!F52,'01_Input_Raw_Products'!D52)&amp;" "&amp;'01_Input_Raw_Products'!I52)</f>
        <v>0</v>
      </c>
      <c r="E52" s="9">
        <f>IF(C52="","",D52&amp;" | GemPundit")</f>
        <v>0</v>
      </c>
      <c r="F52" s="9" cm="1">
        <f t="array" ref="F52">IF('01_Input_Raw_Products'!X52&lt;&gt;"",'01_Input_Raw_Products'!X52,IFERROR(_xlfn.XLOOKUP('01_Input_Raw_Products'!F52,'10_Master_Gem_Types'!A:A,'10_Master_Gem_Types'!O:O),LOWER(SUBSTITUTE(IF('01_Input_Raw_Products'!F52&lt;&gt;"",'01_Input_Raw_Products'!F52,'01_Input_Raw_Products'!D52)," ","-"))))</f>
        <v>0</v>
      </c>
      <c r="G52" s="9">
        <f>'01_Input_Raw_Products'!C52</f>
        <v>0</v>
      </c>
      <c r="H52" s="9" cm="1">
        <f t="array" ref="H52">IF('01_Input_Raw_Products'!H52&lt;&gt;"",'01_Input_Raw_Products'!H52,IFERROR(_xlfn.XLOOKUP('01_Input_Raw_Products'!F52,'10_Master_Gem_Types'!A:A,'10_Master_Gem_Types'!D:D),""))</f>
        <v>0</v>
      </c>
      <c r="I52" s="7">
        <f>IF('01_Input_Raw_Products'!N52&lt;&gt;"",'01_Input_Raw_Products'!N52,IF('01_Input_Raw_Products'!O52&lt;&gt;"",'01_Input_Raw_Products'!O52*0.91,""))</f>
        <v>0</v>
      </c>
      <c r="J52" s="9" cm="1">
        <f t="array" ref="J52">IFERROR(_xlfn.XLOOKUP('01_Input_Raw_Products'!F52,'10_Master_Gem_Types'!A:A,'10_Master_Gem_Types'!N:N),"")</f>
        <v>0</v>
      </c>
      <c r="K52" s="9" cm="1">
        <f t="array" ref="K52">IF('01_Input_Raw_Products'!J52&lt;&gt;"",'01_Input_Raw_Products'!J52,IFERROR(_xlfn.XLOOKUP('01_Input_Raw_Products'!F52,'10_Master_Gem_Types'!A:A,'10_Master_Gem_Types'!E:E),""))</f>
        <v>0</v>
      </c>
      <c r="L52" s="9">
        <f>'01_Input_Raw_Products'!P52</f>
        <v>0</v>
      </c>
      <c r="M52" s="9" cm="1">
        <f t="array" ref="M52">IFERROR(_xlfn.XLOOKUP('01_Input_Raw_Products'!K52,'12_Color_Mapping'!A:A,'12_Color_Mapping'!B:B),IFERROR(_xlfn.XLOOKUP('01_Input_Raw_Products'!F52,'10_Master_Gem_Types'!A:A,'10_Master_Gem_Types'!F:F),""))</f>
        <v>0</v>
      </c>
      <c r="N52" s="9">
        <f>IF(C52="","",IF('01_Input_Raw_Products'!F52&lt;&gt;"",'01_Input_Raw_Products'!F52,'01_Input_Raw_Products'!D52))</f>
        <v>0</v>
      </c>
      <c r="O52" s="9">
        <f>IF(C52="","","Catalog Automation")</f>
        <v>0</v>
      </c>
      <c r="P52" s="9">
        <f>'01_Input_Raw_Products'!U52</f>
        <v>0</v>
      </c>
      <c r="Q52" s="7">
        <f>IF('01_Input_Raw_Products'!O52&lt;&gt;"",'01_Input_Raw_Products'!O52,IF('01_Input_Raw_Products'!N52&lt;&gt;"",'01_Input_Raw_Products'!N52*1.1,""))</f>
        <v>0</v>
      </c>
      <c r="R52" s="9">
        <f>'01_Input_Raw_Products'!S52</f>
        <v>0</v>
      </c>
      <c r="S52" s="9" cm="1">
        <f t="array" ref="S52">IFERROR(_xlfn.XLOOKUP('01_Input_Raw_Products'!F52,'10_Master_Gem_Types'!A:A,'10_Master_Gem_Types'!H:H),"")</f>
        <v>0</v>
      </c>
      <c r="T52" s="8">
        <f>'01_Input_Raw_Products'!Q52</f>
        <v>0</v>
      </c>
      <c r="U52" s="8">
        <f>'01_Input_Raw_Products'!R52</f>
        <v>0</v>
      </c>
      <c r="V52" s="7">
        <f>I52</f>
        <v>0</v>
      </c>
      <c r="W52" s="9" cm="1">
        <f t="array" ref="W52">IF('01_Input_Raw_Products'!G52&lt;&gt;"",'01_Input_Raw_Products'!G52,IFERROR(_xlfn.XLOOKUP('01_Input_Raw_Products'!F52,'10_Master_Gem_Types'!A:A,'10_Master_Gem_Types'!L:L),""))</f>
        <v>0</v>
      </c>
      <c r="X52" s="9" cm="1">
        <f t="array" ref="X52">IFERROR(_xlfn.XLOOKUP('01_Input_Raw_Products'!F52,'10_Master_Gem_Types'!A:A,'10_Master_Gem_Types'!J:J),"")</f>
        <v>0</v>
      </c>
      <c r="Y52" s="9" cm="1">
        <f t="array" ref="Y52">IFERROR(_xlfn.XLOOKUP('01_Input_Raw_Products'!F52,'10_Master_Gem_Types'!A:A,'10_Master_Gem_Types'!I:I),"")</f>
        <v>0</v>
      </c>
      <c r="Z52" s="9" cm="1">
        <f t="array" ref="Z52">IFERROR(_xlfn.XLOOKUP('01_Input_Raw_Products'!L52,'13_Certification_Stickers'!A:A,'13_Certification_Stickers'!C:C),"")</f>
        <v>0</v>
      </c>
      <c r="AA52" s="9" cm="1">
        <f t="array" ref="AA52">IFERROR(_xlfn.XLOOKUP('01_Input_Raw_Products'!S52,'14_Shipping_Rules'!A:A,'14_Shipping_Rules'!B:B),"")</f>
        <v>0</v>
      </c>
      <c r="AB52" s="9" cm="1">
        <f t="array" ref="AB52">IFERROR(_xlfn.XLOOKUP('01_Input_Raw_Products'!D52,'16_Astro_Flags'!A:A,'16_Astro_Flags'!B:B),"")</f>
        <v>0</v>
      </c>
      <c r="AC52" s="9">
        <f>IF(C52="","","Catalog, Search")</f>
        <v>0</v>
      </c>
      <c r="AD52" s="9">
        <f>IF(C52="","",IF(OR(F52="",J52="",M52="",S52="",Y52=""),"Manual Review","Ready"))</f>
        <v>0</v>
      </c>
      <c r="AE52" s="9">
        <f>IF(C52="","",TEXTJOIN("; ",TRUE,IF(F52="","Missing url_key",""),IF(J52="","Missing classification",""),IF(M52="","Missing j_colour",""),IF(S52="","Missing hsn_code",""),IF(Y52="","Missing tax_class_id","")))</f>
        <v>0</v>
      </c>
    </row>
    <row r="53" spans="1:31">
      <c r="A53" s="9">
        <f>IF('01_Input_Raw_Products'!B53&lt;&gt;"",20,"")</f>
        <v>0</v>
      </c>
      <c r="B53" s="9" cm="1">
        <f t="array" ref="B53">IF('01_Input_Raw_Products'!M53&lt;&gt;"",'01_Input_Raw_Products'!M53,IFERROR(_xlfn.XLOOKUP('01_Input_Raw_Products'!F53,'10_Master_Gem_Types'!A:A,'10_Master_Gem_Types'!K:K),""))</f>
        <v>0</v>
      </c>
      <c r="C53" s="9">
        <f>'01_Input_Raw_Products'!B53</f>
        <v>0</v>
      </c>
      <c r="D53" s="9">
        <f>IF(C53="","",TEXT(I53,"0.00")&amp;" Ct "&amp;IF('01_Input_Raw_Products'!F53&lt;&gt;"",'01_Input_Raw_Products'!F53,'01_Input_Raw_Products'!D53)&amp;" "&amp;'01_Input_Raw_Products'!I53)</f>
        <v>0</v>
      </c>
      <c r="E53" s="9">
        <f>IF(C53="","",D53&amp;" | GemPundit")</f>
        <v>0</v>
      </c>
      <c r="F53" s="9" cm="1">
        <f t="array" ref="F53">IF('01_Input_Raw_Products'!X53&lt;&gt;"",'01_Input_Raw_Products'!X53,IFERROR(_xlfn.XLOOKUP('01_Input_Raw_Products'!F53,'10_Master_Gem_Types'!A:A,'10_Master_Gem_Types'!O:O),LOWER(SUBSTITUTE(IF('01_Input_Raw_Products'!F53&lt;&gt;"",'01_Input_Raw_Products'!F53,'01_Input_Raw_Products'!D53)," ","-"))))</f>
        <v>0</v>
      </c>
      <c r="G53" s="9">
        <f>'01_Input_Raw_Products'!C53</f>
        <v>0</v>
      </c>
      <c r="H53" s="9" cm="1">
        <f t="array" ref="H53">IF('01_Input_Raw_Products'!H53&lt;&gt;"",'01_Input_Raw_Products'!H53,IFERROR(_xlfn.XLOOKUP('01_Input_Raw_Products'!F53,'10_Master_Gem_Types'!A:A,'10_Master_Gem_Types'!D:D),""))</f>
        <v>0</v>
      </c>
      <c r="I53" s="7">
        <f>IF('01_Input_Raw_Products'!N53&lt;&gt;"",'01_Input_Raw_Products'!N53,IF('01_Input_Raw_Products'!O53&lt;&gt;"",'01_Input_Raw_Products'!O53*0.91,""))</f>
        <v>0</v>
      </c>
      <c r="J53" s="9" cm="1">
        <f t="array" ref="J53">IFERROR(_xlfn.XLOOKUP('01_Input_Raw_Products'!F53,'10_Master_Gem_Types'!A:A,'10_Master_Gem_Types'!N:N),"")</f>
        <v>0</v>
      </c>
      <c r="K53" s="9" cm="1">
        <f t="array" ref="K53">IF('01_Input_Raw_Products'!J53&lt;&gt;"",'01_Input_Raw_Products'!J53,IFERROR(_xlfn.XLOOKUP('01_Input_Raw_Products'!F53,'10_Master_Gem_Types'!A:A,'10_Master_Gem_Types'!E:E),""))</f>
        <v>0</v>
      </c>
      <c r="L53" s="9">
        <f>'01_Input_Raw_Products'!P53</f>
        <v>0</v>
      </c>
      <c r="M53" s="9" cm="1">
        <f t="array" ref="M53">IFERROR(_xlfn.XLOOKUP('01_Input_Raw_Products'!K53,'12_Color_Mapping'!A:A,'12_Color_Mapping'!B:B),IFERROR(_xlfn.XLOOKUP('01_Input_Raw_Products'!F53,'10_Master_Gem_Types'!A:A,'10_Master_Gem_Types'!F:F),""))</f>
        <v>0</v>
      </c>
      <c r="N53" s="9">
        <f>IF(C53="","",IF('01_Input_Raw_Products'!F53&lt;&gt;"",'01_Input_Raw_Products'!F53,'01_Input_Raw_Products'!D53))</f>
        <v>0</v>
      </c>
      <c r="O53" s="9">
        <f>IF(C53="","","Catalog Automation")</f>
        <v>0</v>
      </c>
      <c r="P53" s="9">
        <f>'01_Input_Raw_Products'!U53</f>
        <v>0</v>
      </c>
      <c r="Q53" s="7">
        <f>IF('01_Input_Raw_Products'!O53&lt;&gt;"",'01_Input_Raw_Products'!O53,IF('01_Input_Raw_Products'!N53&lt;&gt;"",'01_Input_Raw_Products'!N53*1.1,""))</f>
        <v>0</v>
      </c>
      <c r="R53" s="9">
        <f>'01_Input_Raw_Products'!S53</f>
        <v>0</v>
      </c>
      <c r="S53" s="9" cm="1">
        <f t="array" ref="S53">IFERROR(_xlfn.XLOOKUP('01_Input_Raw_Products'!F53,'10_Master_Gem_Types'!A:A,'10_Master_Gem_Types'!H:H),"")</f>
        <v>0</v>
      </c>
      <c r="T53" s="8">
        <f>'01_Input_Raw_Products'!Q53</f>
        <v>0</v>
      </c>
      <c r="U53" s="8">
        <f>'01_Input_Raw_Products'!R53</f>
        <v>0</v>
      </c>
      <c r="V53" s="7">
        <f>I53</f>
        <v>0</v>
      </c>
      <c r="W53" s="9" cm="1">
        <f t="array" ref="W53">IF('01_Input_Raw_Products'!G53&lt;&gt;"",'01_Input_Raw_Products'!G53,IFERROR(_xlfn.XLOOKUP('01_Input_Raw_Products'!F53,'10_Master_Gem_Types'!A:A,'10_Master_Gem_Types'!L:L),""))</f>
        <v>0</v>
      </c>
      <c r="X53" s="9" cm="1">
        <f t="array" ref="X53">IFERROR(_xlfn.XLOOKUP('01_Input_Raw_Products'!F53,'10_Master_Gem_Types'!A:A,'10_Master_Gem_Types'!J:J),"")</f>
        <v>0</v>
      </c>
      <c r="Y53" s="9" cm="1">
        <f t="array" ref="Y53">IFERROR(_xlfn.XLOOKUP('01_Input_Raw_Products'!F53,'10_Master_Gem_Types'!A:A,'10_Master_Gem_Types'!I:I),"")</f>
        <v>0</v>
      </c>
      <c r="Z53" s="9" cm="1">
        <f t="array" ref="Z53">IFERROR(_xlfn.XLOOKUP('01_Input_Raw_Products'!L53,'13_Certification_Stickers'!A:A,'13_Certification_Stickers'!C:C),"")</f>
        <v>0</v>
      </c>
      <c r="AA53" s="9" cm="1">
        <f t="array" ref="AA53">IFERROR(_xlfn.XLOOKUP('01_Input_Raw_Products'!S53,'14_Shipping_Rules'!A:A,'14_Shipping_Rules'!B:B),"")</f>
        <v>0</v>
      </c>
      <c r="AB53" s="9" cm="1">
        <f t="array" ref="AB53">IFERROR(_xlfn.XLOOKUP('01_Input_Raw_Products'!D53,'16_Astro_Flags'!A:A,'16_Astro_Flags'!B:B),"")</f>
        <v>0</v>
      </c>
      <c r="AC53" s="9">
        <f>IF(C53="","","Catalog, Search")</f>
        <v>0</v>
      </c>
      <c r="AD53" s="9">
        <f>IF(C53="","",IF(OR(F53="",J53="",M53="",S53="",Y53=""),"Manual Review","Ready"))</f>
        <v>0</v>
      </c>
      <c r="AE53" s="9">
        <f>IF(C53="","",TEXTJOIN("; ",TRUE,IF(F53="","Missing url_key",""),IF(J53="","Missing classification",""),IF(M53="","Missing j_colour",""),IF(S53="","Missing hsn_code",""),IF(Y53="","Missing tax_class_id","")))</f>
        <v>0</v>
      </c>
    </row>
    <row r="54" spans="1:31">
      <c r="A54" s="9">
        <f>IF('01_Input_Raw_Products'!B54&lt;&gt;"",20,"")</f>
        <v>0</v>
      </c>
      <c r="B54" s="9" cm="1">
        <f t="array" ref="B54">IF('01_Input_Raw_Products'!M54&lt;&gt;"",'01_Input_Raw_Products'!M54,IFERROR(_xlfn.XLOOKUP('01_Input_Raw_Products'!F54,'10_Master_Gem_Types'!A:A,'10_Master_Gem_Types'!K:K),""))</f>
        <v>0</v>
      </c>
      <c r="C54" s="9">
        <f>'01_Input_Raw_Products'!B54</f>
        <v>0</v>
      </c>
      <c r="D54" s="9">
        <f>IF(C54="","",TEXT(I54,"0.00")&amp;" Ct "&amp;IF('01_Input_Raw_Products'!F54&lt;&gt;"",'01_Input_Raw_Products'!F54,'01_Input_Raw_Products'!D54)&amp;" "&amp;'01_Input_Raw_Products'!I54)</f>
        <v>0</v>
      </c>
      <c r="E54" s="9">
        <f>IF(C54="","",D54&amp;" | GemPundit")</f>
        <v>0</v>
      </c>
      <c r="F54" s="9" cm="1">
        <f t="array" ref="F54">IF('01_Input_Raw_Products'!X54&lt;&gt;"",'01_Input_Raw_Products'!X54,IFERROR(_xlfn.XLOOKUP('01_Input_Raw_Products'!F54,'10_Master_Gem_Types'!A:A,'10_Master_Gem_Types'!O:O),LOWER(SUBSTITUTE(IF('01_Input_Raw_Products'!F54&lt;&gt;"",'01_Input_Raw_Products'!F54,'01_Input_Raw_Products'!D54)," ","-"))))</f>
        <v>0</v>
      </c>
      <c r="G54" s="9">
        <f>'01_Input_Raw_Products'!C54</f>
        <v>0</v>
      </c>
      <c r="H54" s="9" cm="1">
        <f t="array" ref="H54">IF('01_Input_Raw_Products'!H54&lt;&gt;"",'01_Input_Raw_Products'!H54,IFERROR(_xlfn.XLOOKUP('01_Input_Raw_Products'!F54,'10_Master_Gem_Types'!A:A,'10_Master_Gem_Types'!D:D),""))</f>
        <v>0</v>
      </c>
      <c r="I54" s="7">
        <f>IF('01_Input_Raw_Products'!N54&lt;&gt;"",'01_Input_Raw_Products'!N54,IF('01_Input_Raw_Products'!O54&lt;&gt;"",'01_Input_Raw_Products'!O54*0.91,""))</f>
        <v>0</v>
      </c>
      <c r="J54" s="9" cm="1">
        <f t="array" ref="J54">IFERROR(_xlfn.XLOOKUP('01_Input_Raw_Products'!F54,'10_Master_Gem_Types'!A:A,'10_Master_Gem_Types'!N:N),"")</f>
        <v>0</v>
      </c>
      <c r="K54" s="9" cm="1">
        <f t="array" ref="K54">IF('01_Input_Raw_Products'!J54&lt;&gt;"",'01_Input_Raw_Products'!J54,IFERROR(_xlfn.XLOOKUP('01_Input_Raw_Products'!F54,'10_Master_Gem_Types'!A:A,'10_Master_Gem_Types'!E:E),""))</f>
        <v>0</v>
      </c>
      <c r="L54" s="9">
        <f>'01_Input_Raw_Products'!P54</f>
        <v>0</v>
      </c>
      <c r="M54" s="9" cm="1">
        <f t="array" ref="M54">IFERROR(_xlfn.XLOOKUP('01_Input_Raw_Products'!K54,'12_Color_Mapping'!A:A,'12_Color_Mapping'!B:B),IFERROR(_xlfn.XLOOKUP('01_Input_Raw_Products'!F54,'10_Master_Gem_Types'!A:A,'10_Master_Gem_Types'!F:F),""))</f>
        <v>0</v>
      </c>
      <c r="N54" s="9">
        <f>IF(C54="","",IF('01_Input_Raw_Products'!F54&lt;&gt;"",'01_Input_Raw_Products'!F54,'01_Input_Raw_Products'!D54))</f>
        <v>0</v>
      </c>
      <c r="O54" s="9">
        <f>IF(C54="","","Catalog Automation")</f>
        <v>0</v>
      </c>
      <c r="P54" s="9">
        <f>'01_Input_Raw_Products'!U54</f>
        <v>0</v>
      </c>
      <c r="Q54" s="7">
        <f>IF('01_Input_Raw_Products'!O54&lt;&gt;"",'01_Input_Raw_Products'!O54,IF('01_Input_Raw_Products'!N54&lt;&gt;"",'01_Input_Raw_Products'!N54*1.1,""))</f>
        <v>0</v>
      </c>
      <c r="R54" s="9">
        <f>'01_Input_Raw_Products'!S54</f>
        <v>0</v>
      </c>
      <c r="S54" s="9" cm="1">
        <f t="array" ref="S54">IFERROR(_xlfn.XLOOKUP('01_Input_Raw_Products'!F54,'10_Master_Gem_Types'!A:A,'10_Master_Gem_Types'!H:H),"")</f>
        <v>0</v>
      </c>
      <c r="T54" s="8">
        <f>'01_Input_Raw_Products'!Q54</f>
        <v>0</v>
      </c>
      <c r="U54" s="8">
        <f>'01_Input_Raw_Products'!R54</f>
        <v>0</v>
      </c>
      <c r="V54" s="7">
        <f>I54</f>
        <v>0</v>
      </c>
      <c r="W54" s="9" cm="1">
        <f t="array" ref="W54">IF('01_Input_Raw_Products'!G54&lt;&gt;"",'01_Input_Raw_Products'!G54,IFERROR(_xlfn.XLOOKUP('01_Input_Raw_Products'!F54,'10_Master_Gem_Types'!A:A,'10_Master_Gem_Types'!L:L),""))</f>
        <v>0</v>
      </c>
      <c r="X54" s="9" cm="1">
        <f t="array" ref="X54">IFERROR(_xlfn.XLOOKUP('01_Input_Raw_Products'!F54,'10_Master_Gem_Types'!A:A,'10_Master_Gem_Types'!J:J),"")</f>
        <v>0</v>
      </c>
      <c r="Y54" s="9" cm="1">
        <f t="array" ref="Y54">IFERROR(_xlfn.XLOOKUP('01_Input_Raw_Products'!F54,'10_Master_Gem_Types'!A:A,'10_Master_Gem_Types'!I:I),"")</f>
        <v>0</v>
      </c>
      <c r="Z54" s="9" cm="1">
        <f t="array" ref="Z54">IFERROR(_xlfn.XLOOKUP('01_Input_Raw_Products'!L54,'13_Certification_Stickers'!A:A,'13_Certification_Stickers'!C:C),"")</f>
        <v>0</v>
      </c>
      <c r="AA54" s="9" cm="1">
        <f t="array" ref="AA54">IFERROR(_xlfn.XLOOKUP('01_Input_Raw_Products'!S54,'14_Shipping_Rules'!A:A,'14_Shipping_Rules'!B:B),"")</f>
        <v>0</v>
      </c>
      <c r="AB54" s="9" cm="1">
        <f t="array" ref="AB54">IFERROR(_xlfn.XLOOKUP('01_Input_Raw_Products'!D54,'16_Astro_Flags'!A:A,'16_Astro_Flags'!B:B),"")</f>
        <v>0</v>
      </c>
      <c r="AC54" s="9">
        <f>IF(C54="","","Catalog, Search")</f>
        <v>0</v>
      </c>
      <c r="AD54" s="9">
        <f>IF(C54="","",IF(OR(F54="",J54="",M54="",S54="",Y54=""),"Manual Review","Ready"))</f>
        <v>0</v>
      </c>
      <c r="AE54" s="9">
        <f>IF(C54="","",TEXTJOIN("; ",TRUE,IF(F54="","Missing url_key",""),IF(J54="","Missing classification",""),IF(M54="","Missing j_colour",""),IF(S54="","Missing hsn_code",""),IF(Y54="","Missing tax_class_id","")))</f>
        <v>0</v>
      </c>
    </row>
    <row r="55" spans="1:31">
      <c r="A55" s="9">
        <f>IF('01_Input_Raw_Products'!B55&lt;&gt;"",20,"")</f>
        <v>0</v>
      </c>
      <c r="B55" s="9" cm="1">
        <f t="array" ref="B55">IF('01_Input_Raw_Products'!M55&lt;&gt;"",'01_Input_Raw_Products'!M55,IFERROR(_xlfn.XLOOKUP('01_Input_Raw_Products'!F55,'10_Master_Gem_Types'!A:A,'10_Master_Gem_Types'!K:K),""))</f>
        <v>0</v>
      </c>
      <c r="C55" s="9">
        <f>'01_Input_Raw_Products'!B55</f>
        <v>0</v>
      </c>
      <c r="D55" s="9">
        <f>IF(C55="","",TEXT(I55,"0.00")&amp;" Ct "&amp;IF('01_Input_Raw_Products'!F55&lt;&gt;"",'01_Input_Raw_Products'!F55,'01_Input_Raw_Products'!D55)&amp;" "&amp;'01_Input_Raw_Products'!I55)</f>
        <v>0</v>
      </c>
      <c r="E55" s="9">
        <f>IF(C55="","",D55&amp;" | GemPundit")</f>
        <v>0</v>
      </c>
      <c r="F55" s="9" cm="1">
        <f t="array" ref="F55">IF('01_Input_Raw_Products'!X55&lt;&gt;"",'01_Input_Raw_Products'!X55,IFERROR(_xlfn.XLOOKUP('01_Input_Raw_Products'!F55,'10_Master_Gem_Types'!A:A,'10_Master_Gem_Types'!O:O),LOWER(SUBSTITUTE(IF('01_Input_Raw_Products'!F55&lt;&gt;"",'01_Input_Raw_Products'!F55,'01_Input_Raw_Products'!D55)," ","-"))))</f>
        <v>0</v>
      </c>
      <c r="G55" s="9">
        <f>'01_Input_Raw_Products'!C55</f>
        <v>0</v>
      </c>
      <c r="H55" s="9" cm="1">
        <f t="array" ref="H55">IF('01_Input_Raw_Products'!H55&lt;&gt;"",'01_Input_Raw_Products'!H55,IFERROR(_xlfn.XLOOKUP('01_Input_Raw_Products'!F55,'10_Master_Gem_Types'!A:A,'10_Master_Gem_Types'!D:D),""))</f>
        <v>0</v>
      </c>
      <c r="I55" s="7">
        <f>IF('01_Input_Raw_Products'!N55&lt;&gt;"",'01_Input_Raw_Products'!N55,IF('01_Input_Raw_Products'!O55&lt;&gt;"",'01_Input_Raw_Products'!O55*0.91,""))</f>
        <v>0</v>
      </c>
      <c r="J55" s="9" cm="1">
        <f t="array" ref="J55">IFERROR(_xlfn.XLOOKUP('01_Input_Raw_Products'!F55,'10_Master_Gem_Types'!A:A,'10_Master_Gem_Types'!N:N),"")</f>
        <v>0</v>
      </c>
      <c r="K55" s="9" cm="1">
        <f t="array" ref="K55">IF('01_Input_Raw_Products'!J55&lt;&gt;"",'01_Input_Raw_Products'!J55,IFERROR(_xlfn.XLOOKUP('01_Input_Raw_Products'!F55,'10_Master_Gem_Types'!A:A,'10_Master_Gem_Types'!E:E),""))</f>
        <v>0</v>
      </c>
      <c r="L55" s="9">
        <f>'01_Input_Raw_Products'!P55</f>
        <v>0</v>
      </c>
      <c r="M55" s="9" cm="1">
        <f t="array" ref="M55">IFERROR(_xlfn.XLOOKUP('01_Input_Raw_Products'!K55,'12_Color_Mapping'!A:A,'12_Color_Mapping'!B:B),IFERROR(_xlfn.XLOOKUP('01_Input_Raw_Products'!F55,'10_Master_Gem_Types'!A:A,'10_Master_Gem_Types'!F:F),""))</f>
        <v>0</v>
      </c>
      <c r="N55" s="9">
        <f>IF(C55="","",IF('01_Input_Raw_Products'!F55&lt;&gt;"",'01_Input_Raw_Products'!F55,'01_Input_Raw_Products'!D55))</f>
        <v>0</v>
      </c>
      <c r="O55" s="9">
        <f>IF(C55="","","Catalog Automation")</f>
        <v>0</v>
      </c>
      <c r="P55" s="9">
        <f>'01_Input_Raw_Products'!U55</f>
        <v>0</v>
      </c>
      <c r="Q55" s="7">
        <f>IF('01_Input_Raw_Products'!O55&lt;&gt;"",'01_Input_Raw_Products'!O55,IF('01_Input_Raw_Products'!N55&lt;&gt;"",'01_Input_Raw_Products'!N55*1.1,""))</f>
        <v>0</v>
      </c>
      <c r="R55" s="9">
        <f>'01_Input_Raw_Products'!S55</f>
        <v>0</v>
      </c>
      <c r="S55" s="9" cm="1">
        <f t="array" ref="S55">IFERROR(_xlfn.XLOOKUP('01_Input_Raw_Products'!F55,'10_Master_Gem_Types'!A:A,'10_Master_Gem_Types'!H:H),"")</f>
        <v>0</v>
      </c>
      <c r="T55" s="8">
        <f>'01_Input_Raw_Products'!Q55</f>
        <v>0</v>
      </c>
      <c r="U55" s="8">
        <f>'01_Input_Raw_Products'!R55</f>
        <v>0</v>
      </c>
      <c r="V55" s="7">
        <f>I55</f>
        <v>0</v>
      </c>
      <c r="W55" s="9" cm="1">
        <f t="array" ref="W55">IF('01_Input_Raw_Products'!G55&lt;&gt;"",'01_Input_Raw_Products'!G55,IFERROR(_xlfn.XLOOKUP('01_Input_Raw_Products'!F55,'10_Master_Gem_Types'!A:A,'10_Master_Gem_Types'!L:L),""))</f>
        <v>0</v>
      </c>
      <c r="X55" s="9" cm="1">
        <f t="array" ref="X55">IFERROR(_xlfn.XLOOKUP('01_Input_Raw_Products'!F55,'10_Master_Gem_Types'!A:A,'10_Master_Gem_Types'!J:J),"")</f>
        <v>0</v>
      </c>
      <c r="Y55" s="9" cm="1">
        <f t="array" ref="Y55">IFERROR(_xlfn.XLOOKUP('01_Input_Raw_Products'!F55,'10_Master_Gem_Types'!A:A,'10_Master_Gem_Types'!I:I),"")</f>
        <v>0</v>
      </c>
      <c r="Z55" s="9" cm="1">
        <f t="array" ref="Z55">IFERROR(_xlfn.XLOOKUP('01_Input_Raw_Products'!L55,'13_Certification_Stickers'!A:A,'13_Certification_Stickers'!C:C),"")</f>
        <v>0</v>
      </c>
      <c r="AA55" s="9" cm="1">
        <f t="array" ref="AA55">IFERROR(_xlfn.XLOOKUP('01_Input_Raw_Products'!S55,'14_Shipping_Rules'!A:A,'14_Shipping_Rules'!B:B),"")</f>
        <v>0</v>
      </c>
      <c r="AB55" s="9" cm="1">
        <f t="array" ref="AB55">IFERROR(_xlfn.XLOOKUP('01_Input_Raw_Products'!D55,'16_Astro_Flags'!A:A,'16_Astro_Flags'!B:B),"")</f>
        <v>0</v>
      </c>
      <c r="AC55" s="9">
        <f>IF(C55="","","Catalog, Search")</f>
        <v>0</v>
      </c>
      <c r="AD55" s="9">
        <f>IF(C55="","",IF(OR(F55="",J55="",M55="",S55="",Y55=""),"Manual Review","Ready"))</f>
        <v>0</v>
      </c>
      <c r="AE55" s="9">
        <f>IF(C55="","",TEXTJOIN("; ",TRUE,IF(F55="","Missing url_key",""),IF(J55="","Missing classification",""),IF(M55="","Missing j_colour",""),IF(S55="","Missing hsn_code",""),IF(Y55="","Missing tax_class_id","")))</f>
        <v>0</v>
      </c>
    </row>
    <row r="56" spans="1:31">
      <c r="A56" s="9">
        <f>IF('01_Input_Raw_Products'!B56&lt;&gt;"",20,"")</f>
        <v>0</v>
      </c>
      <c r="B56" s="9" cm="1">
        <f t="array" ref="B56">IF('01_Input_Raw_Products'!M56&lt;&gt;"",'01_Input_Raw_Products'!M56,IFERROR(_xlfn.XLOOKUP('01_Input_Raw_Products'!F56,'10_Master_Gem_Types'!A:A,'10_Master_Gem_Types'!K:K),""))</f>
        <v>0</v>
      </c>
      <c r="C56" s="9">
        <f>'01_Input_Raw_Products'!B56</f>
        <v>0</v>
      </c>
      <c r="D56" s="9">
        <f>IF(C56="","",TEXT(I56,"0.00")&amp;" Ct "&amp;IF('01_Input_Raw_Products'!F56&lt;&gt;"",'01_Input_Raw_Products'!F56,'01_Input_Raw_Products'!D56)&amp;" "&amp;'01_Input_Raw_Products'!I56)</f>
        <v>0</v>
      </c>
      <c r="E56" s="9">
        <f>IF(C56="","",D56&amp;" | GemPundit")</f>
        <v>0</v>
      </c>
      <c r="F56" s="9" cm="1">
        <f t="array" ref="F56">IF('01_Input_Raw_Products'!X56&lt;&gt;"",'01_Input_Raw_Products'!X56,IFERROR(_xlfn.XLOOKUP('01_Input_Raw_Products'!F56,'10_Master_Gem_Types'!A:A,'10_Master_Gem_Types'!O:O),LOWER(SUBSTITUTE(IF('01_Input_Raw_Products'!F56&lt;&gt;"",'01_Input_Raw_Products'!F56,'01_Input_Raw_Products'!D56)," ","-"))))</f>
        <v>0</v>
      </c>
      <c r="G56" s="9">
        <f>'01_Input_Raw_Products'!C56</f>
        <v>0</v>
      </c>
      <c r="H56" s="9" cm="1">
        <f t="array" ref="H56">IF('01_Input_Raw_Products'!H56&lt;&gt;"",'01_Input_Raw_Products'!H56,IFERROR(_xlfn.XLOOKUP('01_Input_Raw_Products'!F56,'10_Master_Gem_Types'!A:A,'10_Master_Gem_Types'!D:D),""))</f>
        <v>0</v>
      </c>
      <c r="I56" s="7">
        <f>IF('01_Input_Raw_Products'!N56&lt;&gt;"",'01_Input_Raw_Products'!N56,IF('01_Input_Raw_Products'!O56&lt;&gt;"",'01_Input_Raw_Products'!O56*0.91,""))</f>
        <v>0</v>
      </c>
      <c r="J56" s="9" cm="1">
        <f t="array" ref="J56">IFERROR(_xlfn.XLOOKUP('01_Input_Raw_Products'!F56,'10_Master_Gem_Types'!A:A,'10_Master_Gem_Types'!N:N),"")</f>
        <v>0</v>
      </c>
      <c r="K56" s="9" cm="1">
        <f t="array" ref="K56">IF('01_Input_Raw_Products'!J56&lt;&gt;"",'01_Input_Raw_Products'!J56,IFERROR(_xlfn.XLOOKUP('01_Input_Raw_Products'!F56,'10_Master_Gem_Types'!A:A,'10_Master_Gem_Types'!E:E),""))</f>
        <v>0</v>
      </c>
      <c r="L56" s="9">
        <f>'01_Input_Raw_Products'!P56</f>
        <v>0</v>
      </c>
      <c r="M56" s="9" cm="1">
        <f t="array" ref="M56">IFERROR(_xlfn.XLOOKUP('01_Input_Raw_Products'!K56,'12_Color_Mapping'!A:A,'12_Color_Mapping'!B:B),IFERROR(_xlfn.XLOOKUP('01_Input_Raw_Products'!F56,'10_Master_Gem_Types'!A:A,'10_Master_Gem_Types'!F:F),""))</f>
        <v>0</v>
      </c>
      <c r="N56" s="9">
        <f>IF(C56="","",IF('01_Input_Raw_Products'!F56&lt;&gt;"",'01_Input_Raw_Products'!F56,'01_Input_Raw_Products'!D56))</f>
        <v>0</v>
      </c>
      <c r="O56" s="9">
        <f>IF(C56="","","Catalog Automation")</f>
        <v>0</v>
      </c>
      <c r="P56" s="9">
        <f>'01_Input_Raw_Products'!U56</f>
        <v>0</v>
      </c>
      <c r="Q56" s="7">
        <f>IF('01_Input_Raw_Products'!O56&lt;&gt;"",'01_Input_Raw_Products'!O56,IF('01_Input_Raw_Products'!N56&lt;&gt;"",'01_Input_Raw_Products'!N56*1.1,""))</f>
        <v>0</v>
      </c>
      <c r="R56" s="9">
        <f>'01_Input_Raw_Products'!S56</f>
        <v>0</v>
      </c>
      <c r="S56" s="9" cm="1">
        <f t="array" ref="S56">IFERROR(_xlfn.XLOOKUP('01_Input_Raw_Products'!F56,'10_Master_Gem_Types'!A:A,'10_Master_Gem_Types'!H:H),"")</f>
        <v>0</v>
      </c>
      <c r="T56" s="8">
        <f>'01_Input_Raw_Products'!Q56</f>
        <v>0</v>
      </c>
      <c r="U56" s="8">
        <f>'01_Input_Raw_Products'!R56</f>
        <v>0</v>
      </c>
      <c r="V56" s="7">
        <f>I56</f>
        <v>0</v>
      </c>
      <c r="W56" s="9" cm="1">
        <f t="array" ref="W56">IF('01_Input_Raw_Products'!G56&lt;&gt;"",'01_Input_Raw_Products'!G56,IFERROR(_xlfn.XLOOKUP('01_Input_Raw_Products'!F56,'10_Master_Gem_Types'!A:A,'10_Master_Gem_Types'!L:L),""))</f>
        <v>0</v>
      </c>
      <c r="X56" s="9" cm="1">
        <f t="array" ref="X56">IFERROR(_xlfn.XLOOKUP('01_Input_Raw_Products'!F56,'10_Master_Gem_Types'!A:A,'10_Master_Gem_Types'!J:J),"")</f>
        <v>0</v>
      </c>
      <c r="Y56" s="9" cm="1">
        <f t="array" ref="Y56">IFERROR(_xlfn.XLOOKUP('01_Input_Raw_Products'!F56,'10_Master_Gem_Types'!A:A,'10_Master_Gem_Types'!I:I),"")</f>
        <v>0</v>
      </c>
      <c r="Z56" s="9" cm="1">
        <f t="array" ref="Z56">IFERROR(_xlfn.XLOOKUP('01_Input_Raw_Products'!L56,'13_Certification_Stickers'!A:A,'13_Certification_Stickers'!C:C),"")</f>
        <v>0</v>
      </c>
      <c r="AA56" s="9" cm="1">
        <f t="array" ref="AA56">IFERROR(_xlfn.XLOOKUP('01_Input_Raw_Products'!S56,'14_Shipping_Rules'!A:A,'14_Shipping_Rules'!B:B),"")</f>
        <v>0</v>
      </c>
      <c r="AB56" s="9" cm="1">
        <f t="array" ref="AB56">IFERROR(_xlfn.XLOOKUP('01_Input_Raw_Products'!D56,'16_Astro_Flags'!A:A,'16_Astro_Flags'!B:B),"")</f>
        <v>0</v>
      </c>
      <c r="AC56" s="9">
        <f>IF(C56="","","Catalog, Search")</f>
        <v>0</v>
      </c>
      <c r="AD56" s="9">
        <f>IF(C56="","",IF(OR(F56="",J56="",M56="",S56="",Y56=""),"Manual Review","Ready"))</f>
        <v>0</v>
      </c>
      <c r="AE56" s="9">
        <f>IF(C56="","",TEXTJOIN("; ",TRUE,IF(F56="","Missing url_key",""),IF(J56="","Missing classification",""),IF(M56="","Missing j_colour",""),IF(S56="","Missing hsn_code",""),IF(Y56="","Missing tax_class_id","")))</f>
        <v>0</v>
      </c>
    </row>
    <row r="57" spans="1:31">
      <c r="A57" s="9">
        <f>IF('01_Input_Raw_Products'!B57&lt;&gt;"",20,"")</f>
        <v>0</v>
      </c>
      <c r="B57" s="9" cm="1">
        <f t="array" ref="B57">IF('01_Input_Raw_Products'!M57&lt;&gt;"",'01_Input_Raw_Products'!M57,IFERROR(_xlfn.XLOOKUP('01_Input_Raw_Products'!F57,'10_Master_Gem_Types'!A:A,'10_Master_Gem_Types'!K:K),""))</f>
        <v>0</v>
      </c>
      <c r="C57" s="9">
        <f>'01_Input_Raw_Products'!B57</f>
        <v>0</v>
      </c>
      <c r="D57" s="9">
        <f>IF(C57="","",TEXT(I57,"0.00")&amp;" Ct "&amp;IF('01_Input_Raw_Products'!F57&lt;&gt;"",'01_Input_Raw_Products'!F57,'01_Input_Raw_Products'!D57)&amp;" "&amp;'01_Input_Raw_Products'!I57)</f>
        <v>0</v>
      </c>
      <c r="E57" s="9">
        <f>IF(C57="","",D57&amp;" | GemPundit")</f>
        <v>0</v>
      </c>
      <c r="F57" s="9" cm="1">
        <f t="array" ref="F57">IF('01_Input_Raw_Products'!X57&lt;&gt;"",'01_Input_Raw_Products'!X57,IFERROR(_xlfn.XLOOKUP('01_Input_Raw_Products'!F57,'10_Master_Gem_Types'!A:A,'10_Master_Gem_Types'!O:O),LOWER(SUBSTITUTE(IF('01_Input_Raw_Products'!F57&lt;&gt;"",'01_Input_Raw_Products'!F57,'01_Input_Raw_Products'!D57)," ","-"))))</f>
        <v>0</v>
      </c>
      <c r="G57" s="9">
        <f>'01_Input_Raw_Products'!C57</f>
        <v>0</v>
      </c>
      <c r="H57" s="9" cm="1">
        <f t="array" ref="H57">IF('01_Input_Raw_Products'!H57&lt;&gt;"",'01_Input_Raw_Products'!H57,IFERROR(_xlfn.XLOOKUP('01_Input_Raw_Products'!F57,'10_Master_Gem_Types'!A:A,'10_Master_Gem_Types'!D:D),""))</f>
        <v>0</v>
      </c>
      <c r="I57" s="7">
        <f>IF('01_Input_Raw_Products'!N57&lt;&gt;"",'01_Input_Raw_Products'!N57,IF('01_Input_Raw_Products'!O57&lt;&gt;"",'01_Input_Raw_Products'!O57*0.91,""))</f>
        <v>0</v>
      </c>
      <c r="J57" s="9" cm="1">
        <f t="array" ref="J57">IFERROR(_xlfn.XLOOKUP('01_Input_Raw_Products'!F57,'10_Master_Gem_Types'!A:A,'10_Master_Gem_Types'!N:N),"")</f>
        <v>0</v>
      </c>
      <c r="K57" s="9" cm="1">
        <f t="array" ref="K57">IF('01_Input_Raw_Products'!J57&lt;&gt;"",'01_Input_Raw_Products'!J57,IFERROR(_xlfn.XLOOKUP('01_Input_Raw_Products'!F57,'10_Master_Gem_Types'!A:A,'10_Master_Gem_Types'!E:E),""))</f>
        <v>0</v>
      </c>
      <c r="L57" s="9">
        <f>'01_Input_Raw_Products'!P57</f>
        <v>0</v>
      </c>
      <c r="M57" s="9" cm="1">
        <f t="array" ref="M57">IFERROR(_xlfn.XLOOKUP('01_Input_Raw_Products'!K57,'12_Color_Mapping'!A:A,'12_Color_Mapping'!B:B),IFERROR(_xlfn.XLOOKUP('01_Input_Raw_Products'!F57,'10_Master_Gem_Types'!A:A,'10_Master_Gem_Types'!F:F),""))</f>
        <v>0</v>
      </c>
      <c r="N57" s="9">
        <f>IF(C57="","",IF('01_Input_Raw_Products'!F57&lt;&gt;"",'01_Input_Raw_Products'!F57,'01_Input_Raw_Products'!D57))</f>
        <v>0</v>
      </c>
      <c r="O57" s="9">
        <f>IF(C57="","","Catalog Automation")</f>
        <v>0</v>
      </c>
      <c r="P57" s="9">
        <f>'01_Input_Raw_Products'!U57</f>
        <v>0</v>
      </c>
      <c r="Q57" s="7">
        <f>IF('01_Input_Raw_Products'!O57&lt;&gt;"",'01_Input_Raw_Products'!O57,IF('01_Input_Raw_Products'!N57&lt;&gt;"",'01_Input_Raw_Products'!N57*1.1,""))</f>
        <v>0</v>
      </c>
      <c r="R57" s="9">
        <f>'01_Input_Raw_Products'!S57</f>
        <v>0</v>
      </c>
      <c r="S57" s="9" cm="1">
        <f t="array" ref="S57">IFERROR(_xlfn.XLOOKUP('01_Input_Raw_Products'!F57,'10_Master_Gem_Types'!A:A,'10_Master_Gem_Types'!H:H),"")</f>
        <v>0</v>
      </c>
      <c r="T57" s="8">
        <f>'01_Input_Raw_Products'!Q57</f>
        <v>0</v>
      </c>
      <c r="U57" s="8">
        <f>'01_Input_Raw_Products'!R57</f>
        <v>0</v>
      </c>
      <c r="V57" s="7">
        <f>I57</f>
        <v>0</v>
      </c>
      <c r="W57" s="9" cm="1">
        <f t="array" ref="W57">IF('01_Input_Raw_Products'!G57&lt;&gt;"",'01_Input_Raw_Products'!G57,IFERROR(_xlfn.XLOOKUP('01_Input_Raw_Products'!F57,'10_Master_Gem_Types'!A:A,'10_Master_Gem_Types'!L:L),""))</f>
        <v>0</v>
      </c>
      <c r="X57" s="9" cm="1">
        <f t="array" ref="X57">IFERROR(_xlfn.XLOOKUP('01_Input_Raw_Products'!F57,'10_Master_Gem_Types'!A:A,'10_Master_Gem_Types'!J:J),"")</f>
        <v>0</v>
      </c>
      <c r="Y57" s="9" cm="1">
        <f t="array" ref="Y57">IFERROR(_xlfn.XLOOKUP('01_Input_Raw_Products'!F57,'10_Master_Gem_Types'!A:A,'10_Master_Gem_Types'!I:I),"")</f>
        <v>0</v>
      </c>
      <c r="Z57" s="9" cm="1">
        <f t="array" ref="Z57">IFERROR(_xlfn.XLOOKUP('01_Input_Raw_Products'!L57,'13_Certification_Stickers'!A:A,'13_Certification_Stickers'!C:C),"")</f>
        <v>0</v>
      </c>
      <c r="AA57" s="9" cm="1">
        <f t="array" ref="AA57">IFERROR(_xlfn.XLOOKUP('01_Input_Raw_Products'!S57,'14_Shipping_Rules'!A:A,'14_Shipping_Rules'!B:B),"")</f>
        <v>0</v>
      </c>
      <c r="AB57" s="9" cm="1">
        <f t="array" ref="AB57">IFERROR(_xlfn.XLOOKUP('01_Input_Raw_Products'!D57,'16_Astro_Flags'!A:A,'16_Astro_Flags'!B:B),"")</f>
        <v>0</v>
      </c>
      <c r="AC57" s="9">
        <f>IF(C57="","","Catalog, Search")</f>
        <v>0</v>
      </c>
      <c r="AD57" s="9">
        <f>IF(C57="","",IF(OR(F57="",J57="",M57="",S57="",Y57=""),"Manual Review","Ready"))</f>
        <v>0</v>
      </c>
      <c r="AE57" s="9">
        <f>IF(C57="","",TEXTJOIN("; ",TRUE,IF(F57="","Missing url_key",""),IF(J57="","Missing classification",""),IF(M57="","Missing j_colour",""),IF(S57="","Missing hsn_code",""),IF(Y57="","Missing tax_class_id","")))</f>
        <v>0</v>
      </c>
    </row>
    <row r="58" spans="1:31">
      <c r="A58" s="9">
        <f>IF('01_Input_Raw_Products'!B58&lt;&gt;"",20,"")</f>
        <v>0</v>
      </c>
      <c r="B58" s="9" cm="1">
        <f t="array" ref="B58">IF('01_Input_Raw_Products'!M58&lt;&gt;"",'01_Input_Raw_Products'!M58,IFERROR(_xlfn.XLOOKUP('01_Input_Raw_Products'!F58,'10_Master_Gem_Types'!A:A,'10_Master_Gem_Types'!K:K),""))</f>
        <v>0</v>
      </c>
      <c r="C58" s="9">
        <f>'01_Input_Raw_Products'!B58</f>
        <v>0</v>
      </c>
      <c r="D58" s="9">
        <f>IF(C58="","",TEXT(I58,"0.00")&amp;" Ct "&amp;IF('01_Input_Raw_Products'!F58&lt;&gt;"",'01_Input_Raw_Products'!F58,'01_Input_Raw_Products'!D58)&amp;" "&amp;'01_Input_Raw_Products'!I58)</f>
        <v>0</v>
      </c>
      <c r="E58" s="9">
        <f>IF(C58="","",D58&amp;" | GemPundit")</f>
        <v>0</v>
      </c>
      <c r="F58" s="9" cm="1">
        <f t="array" ref="F58">IF('01_Input_Raw_Products'!X58&lt;&gt;"",'01_Input_Raw_Products'!X58,IFERROR(_xlfn.XLOOKUP('01_Input_Raw_Products'!F58,'10_Master_Gem_Types'!A:A,'10_Master_Gem_Types'!O:O),LOWER(SUBSTITUTE(IF('01_Input_Raw_Products'!F58&lt;&gt;"",'01_Input_Raw_Products'!F58,'01_Input_Raw_Products'!D58)," ","-"))))</f>
        <v>0</v>
      </c>
      <c r="G58" s="9">
        <f>'01_Input_Raw_Products'!C58</f>
        <v>0</v>
      </c>
      <c r="H58" s="9" cm="1">
        <f t="array" ref="H58">IF('01_Input_Raw_Products'!H58&lt;&gt;"",'01_Input_Raw_Products'!H58,IFERROR(_xlfn.XLOOKUP('01_Input_Raw_Products'!F58,'10_Master_Gem_Types'!A:A,'10_Master_Gem_Types'!D:D),""))</f>
        <v>0</v>
      </c>
      <c r="I58" s="7">
        <f>IF('01_Input_Raw_Products'!N58&lt;&gt;"",'01_Input_Raw_Products'!N58,IF('01_Input_Raw_Products'!O58&lt;&gt;"",'01_Input_Raw_Products'!O58*0.91,""))</f>
        <v>0</v>
      </c>
      <c r="J58" s="9" cm="1">
        <f t="array" ref="J58">IFERROR(_xlfn.XLOOKUP('01_Input_Raw_Products'!F58,'10_Master_Gem_Types'!A:A,'10_Master_Gem_Types'!N:N),"")</f>
        <v>0</v>
      </c>
      <c r="K58" s="9" cm="1">
        <f t="array" ref="K58">IF('01_Input_Raw_Products'!J58&lt;&gt;"",'01_Input_Raw_Products'!J58,IFERROR(_xlfn.XLOOKUP('01_Input_Raw_Products'!F58,'10_Master_Gem_Types'!A:A,'10_Master_Gem_Types'!E:E),""))</f>
        <v>0</v>
      </c>
      <c r="L58" s="9">
        <f>'01_Input_Raw_Products'!P58</f>
        <v>0</v>
      </c>
      <c r="M58" s="9" cm="1">
        <f t="array" ref="M58">IFERROR(_xlfn.XLOOKUP('01_Input_Raw_Products'!K58,'12_Color_Mapping'!A:A,'12_Color_Mapping'!B:B),IFERROR(_xlfn.XLOOKUP('01_Input_Raw_Products'!F58,'10_Master_Gem_Types'!A:A,'10_Master_Gem_Types'!F:F),""))</f>
        <v>0</v>
      </c>
      <c r="N58" s="9">
        <f>IF(C58="","",IF('01_Input_Raw_Products'!F58&lt;&gt;"",'01_Input_Raw_Products'!F58,'01_Input_Raw_Products'!D58))</f>
        <v>0</v>
      </c>
      <c r="O58" s="9">
        <f>IF(C58="","","Catalog Automation")</f>
        <v>0</v>
      </c>
      <c r="P58" s="9">
        <f>'01_Input_Raw_Products'!U58</f>
        <v>0</v>
      </c>
      <c r="Q58" s="7">
        <f>IF('01_Input_Raw_Products'!O58&lt;&gt;"",'01_Input_Raw_Products'!O58,IF('01_Input_Raw_Products'!N58&lt;&gt;"",'01_Input_Raw_Products'!N58*1.1,""))</f>
        <v>0</v>
      </c>
      <c r="R58" s="9">
        <f>'01_Input_Raw_Products'!S58</f>
        <v>0</v>
      </c>
      <c r="S58" s="9" cm="1">
        <f t="array" ref="S58">IFERROR(_xlfn.XLOOKUP('01_Input_Raw_Products'!F58,'10_Master_Gem_Types'!A:A,'10_Master_Gem_Types'!H:H),"")</f>
        <v>0</v>
      </c>
      <c r="T58" s="8">
        <f>'01_Input_Raw_Products'!Q58</f>
        <v>0</v>
      </c>
      <c r="U58" s="8">
        <f>'01_Input_Raw_Products'!R58</f>
        <v>0</v>
      </c>
      <c r="V58" s="7">
        <f>I58</f>
        <v>0</v>
      </c>
      <c r="W58" s="9" cm="1">
        <f t="array" ref="W58">IF('01_Input_Raw_Products'!G58&lt;&gt;"",'01_Input_Raw_Products'!G58,IFERROR(_xlfn.XLOOKUP('01_Input_Raw_Products'!F58,'10_Master_Gem_Types'!A:A,'10_Master_Gem_Types'!L:L),""))</f>
        <v>0</v>
      </c>
      <c r="X58" s="9" cm="1">
        <f t="array" ref="X58">IFERROR(_xlfn.XLOOKUP('01_Input_Raw_Products'!F58,'10_Master_Gem_Types'!A:A,'10_Master_Gem_Types'!J:J),"")</f>
        <v>0</v>
      </c>
      <c r="Y58" s="9" cm="1">
        <f t="array" ref="Y58">IFERROR(_xlfn.XLOOKUP('01_Input_Raw_Products'!F58,'10_Master_Gem_Types'!A:A,'10_Master_Gem_Types'!I:I),"")</f>
        <v>0</v>
      </c>
      <c r="Z58" s="9" cm="1">
        <f t="array" ref="Z58">IFERROR(_xlfn.XLOOKUP('01_Input_Raw_Products'!L58,'13_Certification_Stickers'!A:A,'13_Certification_Stickers'!C:C),"")</f>
        <v>0</v>
      </c>
      <c r="AA58" s="9" cm="1">
        <f t="array" ref="AA58">IFERROR(_xlfn.XLOOKUP('01_Input_Raw_Products'!S58,'14_Shipping_Rules'!A:A,'14_Shipping_Rules'!B:B),"")</f>
        <v>0</v>
      </c>
      <c r="AB58" s="9" cm="1">
        <f t="array" ref="AB58">IFERROR(_xlfn.XLOOKUP('01_Input_Raw_Products'!D58,'16_Astro_Flags'!A:A,'16_Astro_Flags'!B:B),"")</f>
        <v>0</v>
      </c>
      <c r="AC58" s="9">
        <f>IF(C58="","","Catalog, Search")</f>
        <v>0</v>
      </c>
      <c r="AD58" s="9">
        <f>IF(C58="","",IF(OR(F58="",J58="",M58="",S58="",Y58=""),"Manual Review","Ready"))</f>
        <v>0</v>
      </c>
      <c r="AE58" s="9">
        <f>IF(C58="","",TEXTJOIN("; ",TRUE,IF(F58="","Missing url_key",""),IF(J58="","Missing classification",""),IF(M58="","Missing j_colour",""),IF(S58="","Missing hsn_code",""),IF(Y58="","Missing tax_class_id","")))</f>
        <v>0</v>
      </c>
    </row>
    <row r="59" spans="1:31">
      <c r="A59" s="9">
        <f>IF('01_Input_Raw_Products'!B59&lt;&gt;"",20,"")</f>
        <v>0</v>
      </c>
      <c r="B59" s="9" cm="1">
        <f t="array" ref="B59">IF('01_Input_Raw_Products'!M59&lt;&gt;"",'01_Input_Raw_Products'!M59,IFERROR(_xlfn.XLOOKUP('01_Input_Raw_Products'!F59,'10_Master_Gem_Types'!A:A,'10_Master_Gem_Types'!K:K),""))</f>
        <v>0</v>
      </c>
      <c r="C59" s="9">
        <f>'01_Input_Raw_Products'!B59</f>
        <v>0</v>
      </c>
      <c r="D59" s="9">
        <f>IF(C59="","",TEXT(I59,"0.00")&amp;" Ct "&amp;IF('01_Input_Raw_Products'!F59&lt;&gt;"",'01_Input_Raw_Products'!F59,'01_Input_Raw_Products'!D59)&amp;" "&amp;'01_Input_Raw_Products'!I59)</f>
        <v>0</v>
      </c>
      <c r="E59" s="9">
        <f>IF(C59="","",D59&amp;" | GemPundit")</f>
        <v>0</v>
      </c>
      <c r="F59" s="9" cm="1">
        <f t="array" ref="F59">IF('01_Input_Raw_Products'!X59&lt;&gt;"",'01_Input_Raw_Products'!X59,IFERROR(_xlfn.XLOOKUP('01_Input_Raw_Products'!F59,'10_Master_Gem_Types'!A:A,'10_Master_Gem_Types'!O:O),LOWER(SUBSTITUTE(IF('01_Input_Raw_Products'!F59&lt;&gt;"",'01_Input_Raw_Products'!F59,'01_Input_Raw_Products'!D59)," ","-"))))</f>
        <v>0</v>
      </c>
      <c r="G59" s="9">
        <f>'01_Input_Raw_Products'!C59</f>
        <v>0</v>
      </c>
      <c r="H59" s="9" cm="1">
        <f t="array" ref="H59">IF('01_Input_Raw_Products'!H59&lt;&gt;"",'01_Input_Raw_Products'!H59,IFERROR(_xlfn.XLOOKUP('01_Input_Raw_Products'!F59,'10_Master_Gem_Types'!A:A,'10_Master_Gem_Types'!D:D),""))</f>
        <v>0</v>
      </c>
      <c r="I59" s="7">
        <f>IF('01_Input_Raw_Products'!N59&lt;&gt;"",'01_Input_Raw_Products'!N59,IF('01_Input_Raw_Products'!O59&lt;&gt;"",'01_Input_Raw_Products'!O59*0.91,""))</f>
        <v>0</v>
      </c>
      <c r="J59" s="9" cm="1">
        <f t="array" ref="J59">IFERROR(_xlfn.XLOOKUP('01_Input_Raw_Products'!F59,'10_Master_Gem_Types'!A:A,'10_Master_Gem_Types'!N:N),"")</f>
        <v>0</v>
      </c>
      <c r="K59" s="9" cm="1">
        <f t="array" ref="K59">IF('01_Input_Raw_Products'!J59&lt;&gt;"",'01_Input_Raw_Products'!J59,IFERROR(_xlfn.XLOOKUP('01_Input_Raw_Products'!F59,'10_Master_Gem_Types'!A:A,'10_Master_Gem_Types'!E:E),""))</f>
        <v>0</v>
      </c>
      <c r="L59" s="9">
        <f>'01_Input_Raw_Products'!P59</f>
        <v>0</v>
      </c>
      <c r="M59" s="9" cm="1">
        <f t="array" ref="M59">IFERROR(_xlfn.XLOOKUP('01_Input_Raw_Products'!K59,'12_Color_Mapping'!A:A,'12_Color_Mapping'!B:B),IFERROR(_xlfn.XLOOKUP('01_Input_Raw_Products'!F59,'10_Master_Gem_Types'!A:A,'10_Master_Gem_Types'!F:F),""))</f>
        <v>0</v>
      </c>
      <c r="N59" s="9">
        <f>IF(C59="","",IF('01_Input_Raw_Products'!F59&lt;&gt;"",'01_Input_Raw_Products'!F59,'01_Input_Raw_Products'!D59))</f>
        <v>0</v>
      </c>
      <c r="O59" s="9">
        <f>IF(C59="","","Catalog Automation")</f>
        <v>0</v>
      </c>
      <c r="P59" s="9">
        <f>'01_Input_Raw_Products'!U59</f>
        <v>0</v>
      </c>
      <c r="Q59" s="7">
        <f>IF('01_Input_Raw_Products'!O59&lt;&gt;"",'01_Input_Raw_Products'!O59,IF('01_Input_Raw_Products'!N59&lt;&gt;"",'01_Input_Raw_Products'!N59*1.1,""))</f>
        <v>0</v>
      </c>
      <c r="R59" s="9">
        <f>'01_Input_Raw_Products'!S59</f>
        <v>0</v>
      </c>
      <c r="S59" s="9" cm="1">
        <f t="array" ref="S59">IFERROR(_xlfn.XLOOKUP('01_Input_Raw_Products'!F59,'10_Master_Gem_Types'!A:A,'10_Master_Gem_Types'!H:H),"")</f>
        <v>0</v>
      </c>
      <c r="T59" s="8">
        <f>'01_Input_Raw_Products'!Q59</f>
        <v>0</v>
      </c>
      <c r="U59" s="8">
        <f>'01_Input_Raw_Products'!R59</f>
        <v>0</v>
      </c>
      <c r="V59" s="7">
        <f>I59</f>
        <v>0</v>
      </c>
      <c r="W59" s="9" cm="1">
        <f t="array" ref="W59">IF('01_Input_Raw_Products'!G59&lt;&gt;"",'01_Input_Raw_Products'!G59,IFERROR(_xlfn.XLOOKUP('01_Input_Raw_Products'!F59,'10_Master_Gem_Types'!A:A,'10_Master_Gem_Types'!L:L),""))</f>
        <v>0</v>
      </c>
      <c r="X59" s="9" cm="1">
        <f t="array" ref="X59">IFERROR(_xlfn.XLOOKUP('01_Input_Raw_Products'!F59,'10_Master_Gem_Types'!A:A,'10_Master_Gem_Types'!J:J),"")</f>
        <v>0</v>
      </c>
      <c r="Y59" s="9" cm="1">
        <f t="array" ref="Y59">IFERROR(_xlfn.XLOOKUP('01_Input_Raw_Products'!F59,'10_Master_Gem_Types'!A:A,'10_Master_Gem_Types'!I:I),"")</f>
        <v>0</v>
      </c>
      <c r="Z59" s="9" cm="1">
        <f t="array" ref="Z59">IFERROR(_xlfn.XLOOKUP('01_Input_Raw_Products'!L59,'13_Certification_Stickers'!A:A,'13_Certification_Stickers'!C:C),"")</f>
        <v>0</v>
      </c>
      <c r="AA59" s="9" cm="1">
        <f t="array" ref="AA59">IFERROR(_xlfn.XLOOKUP('01_Input_Raw_Products'!S59,'14_Shipping_Rules'!A:A,'14_Shipping_Rules'!B:B),"")</f>
        <v>0</v>
      </c>
      <c r="AB59" s="9" cm="1">
        <f t="array" ref="AB59">IFERROR(_xlfn.XLOOKUP('01_Input_Raw_Products'!D59,'16_Astro_Flags'!A:A,'16_Astro_Flags'!B:B),"")</f>
        <v>0</v>
      </c>
      <c r="AC59" s="9">
        <f>IF(C59="","","Catalog, Search")</f>
        <v>0</v>
      </c>
      <c r="AD59" s="9">
        <f>IF(C59="","",IF(OR(F59="",J59="",M59="",S59="",Y59=""),"Manual Review","Ready"))</f>
        <v>0</v>
      </c>
      <c r="AE59" s="9">
        <f>IF(C59="","",TEXTJOIN("; ",TRUE,IF(F59="","Missing url_key",""),IF(J59="","Missing classification",""),IF(M59="","Missing j_colour",""),IF(S59="","Missing hsn_code",""),IF(Y59="","Missing tax_class_id","")))</f>
        <v>0</v>
      </c>
    </row>
    <row r="60" spans="1:31">
      <c r="A60" s="9">
        <f>IF('01_Input_Raw_Products'!B60&lt;&gt;"",20,"")</f>
        <v>0</v>
      </c>
      <c r="B60" s="9" cm="1">
        <f t="array" ref="B60">IF('01_Input_Raw_Products'!M60&lt;&gt;"",'01_Input_Raw_Products'!M60,IFERROR(_xlfn.XLOOKUP('01_Input_Raw_Products'!F60,'10_Master_Gem_Types'!A:A,'10_Master_Gem_Types'!K:K),""))</f>
        <v>0</v>
      </c>
      <c r="C60" s="9">
        <f>'01_Input_Raw_Products'!B60</f>
        <v>0</v>
      </c>
      <c r="D60" s="9">
        <f>IF(C60="","",TEXT(I60,"0.00")&amp;" Ct "&amp;IF('01_Input_Raw_Products'!F60&lt;&gt;"",'01_Input_Raw_Products'!F60,'01_Input_Raw_Products'!D60)&amp;" "&amp;'01_Input_Raw_Products'!I60)</f>
        <v>0</v>
      </c>
      <c r="E60" s="9">
        <f>IF(C60="","",D60&amp;" | GemPundit")</f>
        <v>0</v>
      </c>
      <c r="F60" s="9" cm="1">
        <f t="array" ref="F60">IF('01_Input_Raw_Products'!X60&lt;&gt;"",'01_Input_Raw_Products'!X60,IFERROR(_xlfn.XLOOKUP('01_Input_Raw_Products'!F60,'10_Master_Gem_Types'!A:A,'10_Master_Gem_Types'!O:O),LOWER(SUBSTITUTE(IF('01_Input_Raw_Products'!F60&lt;&gt;"",'01_Input_Raw_Products'!F60,'01_Input_Raw_Products'!D60)," ","-"))))</f>
        <v>0</v>
      </c>
      <c r="G60" s="9">
        <f>'01_Input_Raw_Products'!C60</f>
        <v>0</v>
      </c>
      <c r="H60" s="9" cm="1">
        <f t="array" ref="H60">IF('01_Input_Raw_Products'!H60&lt;&gt;"",'01_Input_Raw_Products'!H60,IFERROR(_xlfn.XLOOKUP('01_Input_Raw_Products'!F60,'10_Master_Gem_Types'!A:A,'10_Master_Gem_Types'!D:D),""))</f>
        <v>0</v>
      </c>
      <c r="I60" s="7">
        <f>IF('01_Input_Raw_Products'!N60&lt;&gt;"",'01_Input_Raw_Products'!N60,IF('01_Input_Raw_Products'!O60&lt;&gt;"",'01_Input_Raw_Products'!O60*0.91,""))</f>
        <v>0</v>
      </c>
      <c r="J60" s="9" cm="1">
        <f t="array" ref="J60">IFERROR(_xlfn.XLOOKUP('01_Input_Raw_Products'!F60,'10_Master_Gem_Types'!A:A,'10_Master_Gem_Types'!N:N),"")</f>
        <v>0</v>
      </c>
      <c r="K60" s="9" cm="1">
        <f t="array" ref="K60">IF('01_Input_Raw_Products'!J60&lt;&gt;"",'01_Input_Raw_Products'!J60,IFERROR(_xlfn.XLOOKUP('01_Input_Raw_Products'!F60,'10_Master_Gem_Types'!A:A,'10_Master_Gem_Types'!E:E),""))</f>
        <v>0</v>
      </c>
      <c r="L60" s="9">
        <f>'01_Input_Raw_Products'!P60</f>
        <v>0</v>
      </c>
      <c r="M60" s="9" cm="1">
        <f t="array" ref="M60">IFERROR(_xlfn.XLOOKUP('01_Input_Raw_Products'!K60,'12_Color_Mapping'!A:A,'12_Color_Mapping'!B:B),IFERROR(_xlfn.XLOOKUP('01_Input_Raw_Products'!F60,'10_Master_Gem_Types'!A:A,'10_Master_Gem_Types'!F:F),""))</f>
        <v>0</v>
      </c>
      <c r="N60" s="9">
        <f>IF(C60="","",IF('01_Input_Raw_Products'!F60&lt;&gt;"",'01_Input_Raw_Products'!F60,'01_Input_Raw_Products'!D60))</f>
        <v>0</v>
      </c>
      <c r="O60" s="9">
        <f>IF(C60="","","Catalog Automation")</f>
        <v>0</v>
      </c>
      <c r="P60" s="9">
        <f>'01_Input_Raw_Products'!U60</f>
        <v>0</v>
      </c>
      <c r="Q60" s="7">
        <f>IF('01_Input_Raw_Products'!O60&lt;&gt;"",'01_Input_Raw_Products'!O60,IF('01_Input_Raw_Products'!N60&lt;&gt;"",'01_Input_Raw_Products'!N60*1.1,""))</f>
        <v>0</v>
      </c>
      <c r="R60" s="9">
        <f>'01_Input_Raw_Products'!S60</f>
        <v>0</v>
      </c>
      <c r="S60" s="9" cm="1">
        <f t="array" ref="S60">IFERROR(_xlfn.XLOOKUP('01_Input_Raw_Products'!F60,'10_Master_Gem_Types'!A:A,'10_Master_Gem_Types'!H:H),"")</f>
        <v>0</v>
      </c>
      <c r="T60" s="8">
        <f>'01_Input_Raw_Products'!Q60</f>
        <v>0</v>
      </c>
      <c r="U60" s="8">
        <f>'01_Input_Raw_Products'!R60</f>
        <v>0</v>
      </c>
      <c r="V60" s="7">
        <f>I60</f>
        <v>0</v>
      </c>
      <c r="W60" s="9" cm="1">
        <f t="array" ref="W60">IF('01_Input_Raw_Products'!G60&lt;&gt;"",'01_Input_Raw_Products'!G60,IFERROR(_xlfn.XLOOKUP('01_Input_Raw_Products'!F60,'10_Master_Gem_Types'!A:A,'10_Master_Gem_Types'!L:L),""))</f>
        <v>0</v>
      </c>
      <c r="X60" s="9" cm="1">
        <f t="array" ref="X60">IFERROR(_xlfn.XLOOKUP('01_Input_Raw_Products'!F60,'10_Master_Gem_Types'!A:A,'10_Master_Gem_Types'!J:J),"")</f>
        <v>0</v>
      </c>
      <c r="Y60" s="9" cm="1">
        <f t="array" ref="Y60">IFERROR(_xlfn.XLOOKUP('01_Input_Raw_Products'!F60,'10_Master_Gem_Types'!A:A,'10_Master_Gem_Types'!I:I),"")</f>
        <v>0</v>
      </c>
      <c r="Z60" s="9" cm="1">
        <f t="array" ref="Z60">IFERROR(_xlfn.XLOOKUP('01_Input_Raw_Products'!L60,'13_Certification_Stickers'!A:A,'13_Certification_Stickers'!C:C),"")</f>
        <v>0</v>
      </c>
      <c r="AA60" s="9" cm="1">
        <f t="array" ref="AA60">IFERROR(_xlfn.XLOOKUP('01_Input_Raw_Products'!S60,'14_Shipping_Rules'!A:A,'14_Shipping_Rules'!B:B),"")</f>
        <v>0</v>
      </c>
      <c r="AB60" s="9" cm="1">
        <f t="array" ref="AB60">IFERROR(_xlfn.XLOOKUP('01_Input_Raw_Products'!D60,'16_Astro_Flags'!A:A,'16_Astro_Flags'!B:B),"")</f>
        <v>0</v>
      </c>
      <c r="AC60" s="9">
        <f>IF(C60="","","Catalog, Search")</f>
        <v>0</v>
      </c>
      <c r="AD60" s="9">
        <f>IF(C60="","",IF(OR(F60="",J60="",M60="",S60="",Y60=""),"Manual Review","Ready"))</f>
        <v>0</v>
      </c>
      <c r="AE60" s="9">
        <f>IF(C60="","",TEXTJOIN("; ",TRUE,IF(F60="","Missing url_key",""),IF(J60="","Missing classification",""),IF(M60="","Missing j_colour",""),IF(S60="","Missing hsn_code",""),IF(Y60="","Missing tax_class_id","")))</f>
        <v>0</v>
      </c>
    </row>
    <row r="61" spans="1:31">
      <c r="A61" s="9">
        <f>IF('01_Input_Raw_Products'!B61&lt;&gt;"",20,"")</f>
        <v>0</v>
      </c>
      <c r="B61" s="9" cm="1">
        <f t="array" ref="B61">IF('01_Input_Raw_Products'!M61&lt;&gt;"",'01_Input_Raw_Products'!M61,IFERROR(_xlfn.XLOOKUP('01_Input_Raw_Products'!F61,'10_Master_Gem_Types'!A:A,'10_Master_Gem_Types'!K:K),""))</f>
        <v>0</v>
      </c>
      <c r="C61" s="9">
        <f>'01_Input_Raw_Products'!B61</f>
        <v>0</v>
      </c>
      <c r="D61" s="9">
        <f>IF(C61="","",TEXT(I61,"0.00")&amp;" Ct "&amp;IF('01_Input_Raw_Products'!F61&lt;&gt;"",'01_Input_Raw_Products'!F61,'01_Input_Raw_Products'!D61)&amp;" "&amp;'01_Input_Raw_Products'!I61)</f>
        <v>0</v>
      </c>
      <c r="E61" s="9">
        <f>IF(C61="","",D61&amp;" | GemPundit")</f>
        <v>0</v>
      </c>
      <c r="F61" s="9" cm="1">
        <f t="array" ref="F61">IF('01_Input_Raw_Products'!X61&lt;&gt;"",'01_Input_Raw_Products'!X61,IFERROR(_xlfn.XLOOKUP('01_Input_Raw_Products'!F61,'10_Master_Gem_Types'!A:A,'10_Master_Gem_Types'!O:O),LOWER(SUBSTITUTE(IF('01_Input_Raw_Products'!F61&lt;&gt;"",'01_Input_Raw_Products'!F61,'01_Input_Raw_Products'!D61)," ","-"))))</f>
        <v>0</v>
      </c>
      <c r="G61" s="9">
        <f>'01_Input_Raw_Products'!C61</f>
        <v>0</v>
      </c>
      <c r="H61" s="9" cm="1">
        <f t="array" ref="H61">IF('01_Input_Raw_Products'!H61&lt;&gt;"",'01_Input_Raw_Products'!H61,IFERROR(_xlfn.XLOOKUP('01_Input_Raw_Products'!F61,'10_Master_Gem_Types'!A:A,'10_Master_Gem_Types'!D:D),""))</f>
        <v>0</v>
      </c>
      <c r="I61" s="7">
        <f>IF('01_Input_Raw_Products'!N61&lt;&gt;"",'01_Input_Raw_Products'!N61,IF('01_Input_Raw_Products'!O61&lt;&gt;"",'01_Input_Raw_Products'!O61*0.91,""))</f>
        <v>0</v>
      </c>
      <c r="J61" s="9" cm="1">
        <f t="array" ref="J61">IFERROR(_xlfn.XLOOKUP('01_Input_Raw_Products'!F61,'10_Master_Gem_Types'!A:A,'10_Master_Gem_Types'!N:N),"")</f>
        <v>0</v>
      </c>
      <c r="K61" s="9" cm="1">
        <f t="array" ref="K61">IF('01_Input_Raw_Products'!J61&lt;&gt;"",'01_Input_Raw_Products'!J61,IFERROR(_xlfn.XLOOKUP('01_Input_Raw_Products'!F61,'10_Master_Gem_Types'!A:A,'10_Master_Gem_Types'!E:E),""))</f>
        <v>0</v>
      </c>
      <c r="L61" s="9">
        <f>'01_Input_Raw_Products'!P61</f>
        <v>0</v>
      </c>
      <c r="M61" s="9" cm="1">
        <f t="array" ref="M61">IFERROR(_xlfn.XLOOKUP('01_Input_Raw_Products'!K61,'12_Color_Mapping'!A:A,'12_Color_Mapping'!B:B),IFERROR(_xlfn.XLOOKUP('01_Input_Raw_Products'!F61,'10_Master_Gem_Types'!A:A,'10_Master_Gem_Types'!F:F),""))</f>
        <v>0</v>
      </c>
      <c r="N61" s="9">
        <f>IF(C61="","",IF('01_Input_Raw_Products'!F61&lt;&gt;"",'01_Input_Raw_Products'!F61,'01_Input_Raw_Products'!D61))</f>
        <v>0</v>
      </c>
      <c r="O61" s="9">
        <f>IF(C61="","","Catalog Automation")</f>
        <v>0</v>
      </c>
      <c r="P61" s="9">
        <f>'01_Input_Raw_Products'!U61</f>
        <v>0</v>
      </c>
      <c r="Q61" s="7">
        <f>IF('01_Input_Raw_Products'!O61&lt;&gt;"",'01_Input_Raw_Products'!O61,IF('01_Input_Raw_Products'!N61&lt;&gt;"",'01_Input_Raw_Products'!N61*1.1,""))</f>
        <v>0</v>
      </c>
      <c r="R61" s="9">
        <f>'01_Input_Raw_Products'!S61</f>
        <v>0</v>
      </c>
      <c r="S61" s="9" cm="1">
        <f t="array" ref="S61">IFERROR(_xlfn.XLOOKUP('01_Input_Raw_Products'!F61,'10_Master_Gem_Types'!A:A,'10_Master_Gem_Types'!H:H),"")</f>
        <v>0</v>
      </c>
      <c r="T61" s="8">
        <f>'01_Input_Raw_Products'!Q61</f>
        <v>0</v>
      </c>
      <c r="U61" s="8">
        <f>'01_Input_Raw_Products'!R61</f>
        <v>0</v>
      </c>
      <c r="V61" s="7">
        <f>I61</f>
        <v>0</v>
      </c>
      <c r="W61" s="9" cm="1">
        <f t="array" ref="W61">IF('01_Input_Raw_Products'!G61&lt;&gt;"",'01_Input_Raw_Products'!G61,IFERROR(_xlfn.XLOOKUP('01_Input_Raw_Products'!F61,'10_Master_Gem_Types'!A:A,'10_Master_Gem_Types'!L:L),""))</f>
        <v>0</v>
      </c>
      <c r="X61" s="9" cm="1">
        <f t="array" ref="X61">IFERROR(_xlfn.XLOOKUP('01_Input_Raw_Products'!F61,'10_Master_Gem_Types'!A:A,'10_Master_Gem_Types'!J:J),"")</f>
        <v>0</v>
      </c>
      <c r="Y61" s="9" cm="1">
        <f t="array" ref="Y61">IFERROR(_xlfn.XLOOKUP('01_Input_Raw_Products'!F61,'10_Master_Gem_Types'!A:A,'10_Master_Gem_Types'!I:I),"")</f>
        <v>0</v>
      </c>
      <c r="Z61" s="9" cm="1">
        <f t="array" ref="Z61">IFERROR(_xlfn.XLOOKUP('01_Input_Raw_Products'!L61,'13_Certification_Stickers'!A:A,'13_Certification_Stickers'!C:C),"")</f>
        <v>0</v>
      </c>
      <c r="AA61" s="9" cm="1">
        <f t="array" ref="AA61">IFERROR(_xlfn.XLOOKUP('01_Input_Raw_Products'!S61,'14_Shipping_Rules'!A:A,'14_Shipping_Rules'!B:B),"")</f>
        <v>0</v>
      </c>
      <c r="AB61" s="9" cm="1">
        <f t="array" ref="AB61">IFERROR(_xlfn.XLOOKUP('01_Input_Raw_Products'!D61,'16_Astro_Flags'!A:A,'16_Astro_Flags'!B:B),"")</f>
        <v>0</v>
      </c>
      <c r="AC61" s="9">
        <f>IF(C61="","","Catalog, Search")</f>
        <v>0</v>
      </c>
      <c r="AD61" s="9">
        <f>IF(C61="","",IF(OR(F61="",J61="",M61="",S61="",Y61=""),"Manual Review","Ready"))</f>
        <v>0</v>
      </c>
      <c r="AE61" s="9">
        <f>IF(C61="","",TEXTJOIN("; ",TRUE,IF(F61="","Missing url_key",""),IF(J61="","Missing classification",""),IF(M61="","Missing j_colour",""),IF(S61="","Missing hsn_code",""),IF(Y61="","Missing tax_class_id","")))</f>
        <v>0</v>
      </c>
    </row>
    <row r="62" spans="1:31">
      <c r="A62" s="9">
        <f>IF('01_Input_Raw_Products'!B62&lt;&gt;"",20,"")</f>
        <v>0</v>
      </c>
      <c r="B62" s="9" cm="1">
        <f t="array" ref="B62">IF('01_Input_Raw_Products'!M62&lt;&gt;"",'01_Input_Raw_Products'!M62,IFERROR(_xlfn.XLOOKUP('01_Input_Raw_Products'!F62,'10_Master_Gem_Types'!A:A,'10_Master_Gem_Types'!K:K),""))</f>
        <v>0</v>
      </c>
      <c r="C62" s="9">
        <f>'01_Input_Raw_Products'!B62</f>
        <v>0</v>
      </c>
      <c r="D62" s="9">
        <f>IF(C62="","",TEXT(I62,"0.00")&amp;" Ct "&amp;IF('01_Input_Raw_Products'!F62&lt;&gt;"",'01_Input_Raw_Products'!F62,'01_Input_Raw_Products'!D62)&amp;" "&amp;'01_Input_Raw_Products'!I62)</f>
        <v>0</v>
      </c>
      <c r="E62" s="9">
        <f>IF(C62="","",D62&amp;" | GemPundit")</f>
        <v>0</v>
      </c>
      <c r="F62" s="9" cm="1">
        <f t="array" ref="F62">IF('01_Input_Raw_Products'!X62&lt;&gt;"",'01_Input_Raw_Products'!X62,IFERROR(_xlfn.XLOOKUP('01_Input_Raw_Products'!F62,'10_Master_Gem_Types'!A:A,'10_Master_Gem_Types'!O:O),LOWER(SUBSTITUTE(IF('01_Input_Raw_Products'!F62&lt;&gt;"",'01_Input_Raw_Products'!F62,'01_Input_Raw_Products'!D62)," ","-"))))</f>
        <v>0</v>
      </c>
      <c r="G62" s="9">
        <f>'01_Input_Raw_Products'!C62</f>
        <v>0</v>
      </c>
      <c r="H62" s="9" cm="1">
        <f t="array" ref="H62">IF('01_Input_Raw_Products'!H62&lt;&gt;"",'01_Input_Raw_Products'!H62,IFERROR(_xlfn.XLOOKUP('01_Input_Raw_Products'!F62,'10_Master_Gem_Types'!A:A,'10_Master_Gem_Types'!D:D),""))</f>
        <v>0</v>
      </c>
      <c r="I62" s="7">
        <f>IF('01_Input_Raw_Products'!N62&lt;&gt;"",'01_Input_Raw_Products'!N62,IF('01_Input_Raw_Products'!O62&lt;&gt;"",'01_Input_Raw_Products'!O62*0.91,""))</f>
        <v>0</v>
      </c>
      <c r="J62" s="9" cm="1">
        <f t="array" ref="J62">IFERROR(_xlfn.XLOOKUP('01_Input_Raw_Products'!F62,'10_Master_Gem_Types'!A:A,'10_Master_Gem_Types'!N:N),"")</f>
        <v>0</v>
      </c>
      <c r="K62" s="9" cm="1">
        <f t="array" ref="K62">IF('01_Input_Raw_Products'!J62&lt;&gt;"",'01_Input_Raw_Products'!J62,IFERROR(_xlfn.XLOOKUP('01_Input_Raw_Products'!F62,'10_Master_Gem_Types'!A:A,'10_Master_Gem_Types'!E:E),""))</f>
        <v>0</v>
      </c>
      <c r="L62" s="9">
        <f>'01_Input_Raw_Products'!P62</f>
        <v>0</v>
      </c>
      <c r="M62" s="9" cm="1">
        <f t="array" ref="M62">IFERROR(_xlfn.XLOOKUP('01_Input_Raw_Products'!K62,'12_Color_Mapping'!A:A,'12_Color_Mapping'!B:B),IFERROR(_xlfn.XLOOKUP('01_Input_Raw_Products'!F62,'10_Master_Gem_Types'!A:A,'10_Master_Gem_Types'!F:F),""))</f>
        <v>0</v>
      </c>
      <c r="N62" s="9">
        <f>IF(C62="","",IF('01_Input_Raw_Products'!F62&lt;&gt;"",'01_Input_Raw_Products'!F62,'01_Input_Raw_Products'!D62))</f>
        <v>0</v>
      </c>
      <c r="O62" s="9">
        <f>IF(C62="","","Catalog Automation")</f>
        <v>0</v>
      </c>
      <c r="P62" s="9">
        <f>'01_Input_Raw_Products'!U62</f>
        <v>0</v>
      </c>
      <c r="Q62" s="7">
        <f>IF('01_Input_Raw_Products'!O62&lt;&gt;"",'01_Input_Raw_Products'!O62,IF('01_Input_Raw_Products'!N62&lt;&gt;"",'01_Input_Raw_Products'!N62*1.1,""))</f>
        <v>0</v>
      </c>
      <c r="R62" s="9">
        <f>'01_Input_Raw_Products'!S62</f>
        <v>0</v>
      </c>
      <c r="S62" s="9" cm="1">
        <f t="array" ref="S62">IFERROR(_xlfn.XLOOKUP('01_Input_Raw_Products'!F62,'10_Master_Gem_Types'!A:A,'10_Master_Gem_Types'!H:H),"")</f>
        <v>0</v>
      </c>
      <c r="T62" s="8">
        <f>'01_Input_Raw_Products'!Q62</f>
        <v>0</v>
      </c>
      <c r="U62" s="8">
        <f>'01_Input_Raw_Products'!R62</f>
        <v>0</v>
      </c>
      <c r="V62" s="7">
        <f>I62</f>
        <v>0</v>
      </c>
      <c r="W62" s="9" cm="1">
        <f t="array" ref="W62">IF('01_Input_Raw_Products'!G62&lt;&gt;"",'01_Input_Raw_Products'!G62,IFERROR(_xlfn.XLOOKUP('01_Input_Raw_Products'!F62,'10_Master_Gem_Types'!A:A,'10_Master_Gem_Types'!L:L),""))</f>
        <v>0</v>
      </c>
      <c r="X62" s="9" cm="1">
        <f t="array" ref="X62">IFERROR(_xlfn.XLOOKUP('01_Input_Raw_Products'!F62,'10_Master_Gem_Types'!A:A,'10_Master_Gem_Types'!J:J),"")</f>
        <v>0</v>
      </c>
      <c r="Y62" s="9" cm="1">
        <f t="array" ref="Y62">IFERROR(_xlfn.XLOOKUP('01_Input_Raw_Products'!F62,'10_Master_Gem_Types'!A:A,'10_Master_Gem_Types'!I:I),"")</f>
        <v>0</v>
      </c>
      <c r="Z62" s="9" cm="1">
        <f t="array" ref="Z62">IFERROR(_xlfn.XLOOKUP('01_Input_Raw_Products'!L62,'13_Certification_Stickers'!A:A,'13_Certification_Stickers'!C:C),"")</f>
        <v>0</v>
      </c>
      <c r="AA62" s="9" cm="1">
        <f t="array" ref="AA62">IFERROR(_xlfn.XLOOKUP('01_Input_Raw_Products'!S62,'14_Shipping_Rules'!A:A,'14_Shipping_Rules'!B:B),"")</f>
        <v>0</v>
      </c>
      <c r="AB62" s="9" cm="1">
        <f t="array" ref="AB62">IFERROR(_xlfn.XLOOKUP('01_Input_Raw_Products'!D62,'16_Astro_Flags'!A:A,'16_Astro_Flags'!B:B),"")</f>
        <v>0</v>
      </c>
      <c r="AC62" s="9">
        <f>IF(C62="","","Catalog, Search")</f>
        <v>0</v>
      </c>
      <c r="AD62" s="9">
        <f>IF(C62="","",IF(OR(F62="",J62="",M62="",S62="",Y62=""),"Manual Review","Ready"))</f>
        <v>0</v>
      </c>
      <c r="AE62" s="9">
        <f>IF(C62="","",TEXTJOIN("; ",TRUE,IF(F62="","Missing url_key",""),IF(J62="","Missing classification",""),IF(M62="","Missing j_colour",""),IF(S62="","Missing hsn_code",""),IF(Y62="","Missing tax_class_id","")))</f>
        <v>0</v>
      </c>
    </row>
    <row r="63" spans="1:31">
      <c r="A63" s="9">
        <f>IF('01_Input_Raw_Products'!B63&lt;&gt;"",20,"")</f>
        <v>0</v>
      </c>
      <c r="B63" s="9" cm="1">
        <f t="array" ref="B63">IF('01_Input_Raw_Products'!M63&lt;&gt;"",'01_Input_Raw_Products'!M63,IFERROR(_xlfn.XLOOKUP('01_Input_Raw_Products'!F63,'10_Master_Gem_Types'!A:A,'10_Master_Gem_Types'!K:K),""))</f>
        <v>0</v>
      </c>
      <c r="C63" s="9">
        <f>'01_Input_Raw_Products'!B63</f>
        <v>0</v>
      </c>
      <c r="D63" s="9">
        <f>IF(C63="","",TEXT(I63,"0.00")&amp;" Ct "&amp;IF('01_Input_Raw_Products'!F63&lt;&gt;"",'01_Input_Raw_Products'!F63,'01_Input_Raw_Products'!D63)&amp;" "&amp;'01_Input_Raw_Products'!I63)</f>
        <v>0</v>
      </c>
      <c r="E63" s="9">
        <f>IF(C63="","",D63&amp;" | GemPundit")</f>
        <v>0</v>
      </c>
      <c r="F63" s="9" cm="1">
        <f t="array" ref="F63">IF('01_Input_Raw_Products'!X63&lt;&gt;"",'01_Input_Raw_Products'!X63,IFERROR(_xlfn.XLOOKUP('01_Input_Raw_Products'!F63,'10_Master_Gem_Types'!A:A,'10_Master_Gem_Types'!O:O),LOWER(SUBSTITUTE(IF('01_Input_Raw_Products'!F63&lt;&gt;"",'01_Input_Raw_Products'!F63,'01_Input_Raw_Products'!D63)," ","-"))))</f>
        <v>0</v>
      </c>
      <c r="G63" s="9">
        <f>'01_Input_Raw_Products'!C63</f>
        <v>0</v>
      </c>
      <c r="H63" s="9" cm="1">
        <f t="array" ref="H63">IF('01_Input_Raw_Products'!H63&lt;&gt;"",'01_Input_Raw_Products'!H63,IFERROR(_xlfn.XLOOKUP('01_Input_Raw_Products'!F63,'10_Master_Gem_Types'!A:A,'10_Master_Gem_Types'!D:D),""))</f>
        <v>0</v>
      </c>
      <c r="I63" s="7">
        <f>IF('01_Input_Raw_Products'!N63&lt;&gt;"",'01_Input_Raw_Products'!N63,IF('01_Input_Raw_Products'!O63&lt;&gt;"",'01_Input_Raw_Products'!O63*0.91,""))</f>
        <v>0</v>
      </c>
      <c r="J63" s="9" cm="1">
        <f t="array" ref="J63">IFERROR(_xlfn.XLOOKUP('01_Input_Raw_Products'!F63,'10_Master_Gem_Types'!A:A,'10_Master_Gem_Types'!N:N),"")</f>
        <v>0</v>
      </c>
      <c r="K63" s="9" cm="1">
        <f t="array" ref="K63">IF('01_Input_Raw_Products'!J63&lt;&gt;"",'01_Input_Raw_Products'!J63,IFERROR(_xlfn.XLOOKUP('01_Input_Raw_Products'!F63,'10_Master_Gem_Types'!A:A,'10_Master_Gem_Types'!E:E),""))</f>
        <v>0</v>
      </c>
      <c r="L63" s="9">
        <f>'01_Input_Raw_Products'!P63</f>
        <v>0</v>
      </c>
      <c r="M63" s="9" cm="1">
        <f t="array" ref="M63">IFERROR(_xlfn.XLOOKUP('01_Input_Raw_Products'!K63,'12_Color_Mapping'!A:A,'12_Color_Mapping'!B:B),IFERROR(_xlfn.XLOOKUP('01_Input_Raw_Products'!F63,'10_Master_Gem_Types'!A:A,'10_Master_Gem_Types'!F:F),""))</f>
        <v>0</v>
      </c>
      <c r="N63" s="9">
        <f>IF(C63="","",IF('01_Input_Raw_Products'!F63&lt;&gt;"",'01_Input_Raw_Products'!F63,'01_Input_Raw_Products'!D63))</f>
        <v>0</v>
      </c>
      <c r="O63" s="9">
        <f>IF(C63="","","Catalog Automation")</f>
        <v>0</v>
      </c>
      <c r="P63" s="9">
        <f>'01_Input_Raw_Products'!U63</f>
        <v>0</v>
      </c>
      <c r="Q63" s="7">
        <f>IF('01_Input_Raw_Products'!O63&lt;&gt;"",'01_Input_Raw_Products'!O63,IF('01_Input_Raw_Products'!N63&lt;&gt;"",'01_Input_Raw_Products'!N63*1.1,""))</f>
        <v>0</v>
      </c>
      <c r="R63" s="9">
        <f>'01_Input_Raw_Products'!S63</f>
        <v>0</v>
      </c>
      <c r="S63" s="9" cm="1">
        <f t="array" ref="S63">IFERROR(_xlfn.XLOOKUP('01_Input_Raw_Products'!F63,'10_Master_Gem_Types'!A:A,'10_Master_Gem_Types'!H:H),"")</f>
        <v>0</v>
      </c>
      <c r="T63" s="8">
        <f>'01_Input_Raw_Products'!Q63</f>
        <v>0</v>
      </c>
      <c r="U63" s="8">
        <f>'01_Input_Raw_Products'!R63</f>
        <v>0</v>
      </c>
      <c r="V63" s="7">
        <f>I63</f>
        <v>0</v>
      </c>
      <c r="W63" s="9" cm="1">
        <f t="array" ref="W63">IF('01_Input_Raw_Products'!G63&lt;&gt;"",'01_Input_Raw_Products'!G63,IFERROR(_xlfn.XLOOKUP('01_Input_Raw_Products'!F63,'10_Master_Gem_Types'!A:A,'10_Master_Gem_Types'!L:L),""))</f>
        <v>0</v>
      </c>
      <c r="X63" s="9" cm="1">
        <f t="array" ref="X63">IFERROR(_xlfn.XLOOKUP('01_Input_Raw_Products'!F63,'10_Master_Gem_Types'!A:A,'10_Master_Gem_Types'!J:J),"")</f>
        <v>0</v>
      </c>
      <c r="Y63" s="9" cm="1">
        <f t="array" ref="Y63">IFERROR(_xlfn.XLOOKUP('01_Input_Raw_Products'!F63,'10_Master_Gem_Types'!A:A,'10_Master_Gem_Types'!I:I),"")</f>
        <v>0</v>
      </c>
      <c r="Z63" s="9" cm="1">
        <f t="array" ref="Z63">IFERROR(_xlfn.XLOOKUP('01_Input_Raw_Products'!L63,'13_Certification_Stickers'!A:A,'13_Certification_Stickers'!C:C),"")</f>
        <v>0</v>
      </c>
      <c r="AA63" s="9" cm="1">
        <f t="array" ref="AA63">IFERROR(_xlfn.XLOOKUP('01_Input_Raw_Products'!S63,'14_Shipping_Rules'!A:A,'14_Shipping_Rules'!B:B),"")</f>
        <v>0</v>
      </c>
      <c r="AB63" s="9" cm="1">
        <f t="array" ref="AB63">IFERROR(_xlfn.XLOOKUP('01_Input_Raw_Products'!D63,'16_Astro_Flags'!A:A,'16_Astro_Flags'!B:B),"")</f>
        <v>0</v>
      </c>
      <c r="AC63" s="9">
        <f>IF(C63="","","Catalog, Search")</f>
        <v>0</v>
      </c>
      <c r="AD63" s="9">
        <f>IF(C63="","",IF(OR(F63="",J63="",M63="",S63="",Y63=""),"Manual Review","Ready"))</f>
        <v>0</v>
      </c>
      <c r="AE63" s="9">
        <f>IF(C63="","",TEXTJOIN("; ",TRUE,IF(F63="","Missing url_key",""),IF(J63="","Missing classification",""),IF(M63="","Missing j_colour",""),IF(S63="","Missing hsn_code",""),IF(Y63="","Missing tax_class_id","")))</f>
        <v>0</v>
      </c>
    </row>
    <row r="64" spans="1:31">
      <c r="A64" s="9">
        <f>IF('01_Input_Raw_Products'!B64&lt;&gt;"",20,"")</f>
        <v>0</v>
      </c>
      <c r="B64" s="9" cm="1">
        <f t="array" ref="B64">IF('01_Input_Raw_Products'!M64&lt;&gt;"",'01_Input_Raw_Products'!M64,IFERROR(_xlfn.XLOOKUP('01_Input_Raw_Products'!F64,'10_Master_Gem_Types'!A:A,'10_Master_Gem_Types'!K:K),""))</f>
        <v>0</v>
      </c>
      <c r="C64" s="9">
        <f>'01_Input_Raw_Products'!B64</f>
        <v>0</v>
      </c>
      <c r="D64" s="9">
        <f>IF(C64="","",TEXT(I64,"0.00")&amp;" Ct "&amp;IF('01_Input_Raw_Products'!F64&lt;&gt;"",'01_Input_Raw_Products'!F64,'01_Input_Raw_Products'!D64)&amp;" "&amp;'01_Input_Raw_Products'!I64)</f>
        <v>0</v>
      </c>
      <c r="E64" s="9">
        <f>IF(C64="","",D64&amp;" | GemPundit")</f>
        <v>0</v>
      </c>
      <c r="F64" s="9" cm="1">
        <f t="array" ref="F64">IF('01_Input_Raw_Products'!X64&lt;&gt;"",'01_Input_Raw_Products'!X64,IFERROR(_xlfn.XLOOKUP('01_Input_Raw_Products'!F64,'10_Master_Gem_Types'!A:A,'10_Master_Gem_Types'!O:O),LOWER(SUBSTITUTE(IF('01_Input_Raw_Products'!F64&lt;&gt;"",'01_Input_Raw_Products'!F64,'01_Input_Raw_Products'!D64)," ","-"))))</f>
        <v>0</v>
      </c>
      <c r="G64" s="9">
        <f>'01_Input_Raw_Products'!C64</f>
        <v>0</v>
      </c>
      <c r="H64" s="9" cm="1">
        <f t="array" ref="H64">IF('01_Input_Raw_Products'!H64&lt;&gt;"",'01_Input_Raw_Products'!H64,IFERROR(_xlfn.XLOOKUP('01_Input_Raw_Products'!F64,'10_Master_Gem_Types'!A:A,'10_Master_Gem_Types'!D:D),""))</f>
        <v>0</v>
      </c>
      <c r="I64" s="7">
        <f>IF('01_Input_Raw_Products'!N64&lt;&gt;"",'01_Input_Raw_Products'!N64,IF('01_Input_Raw_Products'!O64&lt;&gt;"",'01_Input_Raw_Products'!O64*0.91,""))</f>
        <v>0</v>
      </c>
      <c r="J64" s="9" cm="1">
        <f t="array" ref="J64">IFERROR(_xlfn.XLOOKUP('01_Input_Raw_Products'!F64,'10_Master_Gem_Types'!A:A,'10_Master_Gem_Types'!N:N),"")</f>
        <v>0</v>
      </c>
      <c r="K64" s="9" cm="1">
        <f t="array" ref="K64">IF('01_Input_Raw_Products'!J64&lt;&gt;"",'01_Input_Raw_Products'!J64,IFERROR(_xlfn.XLOOKUP('01_Input_Raw_Products'!F64,'10_Master_Gem_Types'!A:A,'10_Master_Gem_Types'!E:E),""))</f>
        <v>0</v>
      </c>
      <c r="L64" s="9">
        <f>'01_Input_Raw_Products'!P64</f>
        <v>0</v>
      </c>
      <c r="M64" s="9" cm="1">
        <f t="array" ref="M64">IFERROR(_xlfn.XLOOKUP('01_Input_Raw_Products'!K64,'12_Color_Mapping'!A:A,'12_Color_Mapping'!B:B),IFERROR(_xlfn.XLOOKUP('01_Input_Raw_Products'!F64,'10_Master_Gem_Types'!A:A,'10_Master_Gem_Types'!F:F),""))</f>
        <v>0</v>
      </c>
      <c r="N64" s="9">
        <f>IF(C64="","",IF('01_Input_Raw_Products'!F64&lt;&gt;"",'01_Input_Raw_Products'!F64,'01_Input_Raw_Products'!D64))</f>
        <v>0</v>
      </c>
      <c r="O64" s="9">
        <f>IF(C64="","","Catalog Automation")</f>
        <v>0</v>
      </c>
      <c r="P64" s="9">
        <f>'01_Input_Raw_Products'!U64</f>
        <v>0</v>
      </c>
      <c r="Q64" s="7">
        <f>IF('01_Input_Raw_Products'!O64&lt;&gt;"",'01_Input_Raw_Products'!O64,IF('01_Input_Raw_Products'!N64&lt;&gt;"",'01_Input_Raw_Products'!N64*1.1,""))</f>
        <v>0</v>
      </c>
      <c r="R64" s="9">
        <f>'01_Input_Raw_Products'!S64</f>
        <v>0</v>
      </c>
      <c r="S64" s="9" cm="1">
        <f t="array" ref="S64">IFERROR(_xlfn.XLOOKUP('01_Input_Raw_Products'!F64,'10_Master_Gem_Types'!A:A,'10_Master_Gem_Types'!H:H),"")</f>
        <v>0</v>
      </c>
      <c r="T64" s="8">
        <f>'01_Input_Raw_Products'!Q64</f>
        <v>0</v>
      </c>
      <c r="U64" s="8">
        <f>'01_Input_Raw_Products'!R64</f>
        <v>0</v>
      </c>
      <c r="V64" s="7">
        <f>I64</f>
        <v>0</v>
      </c>
      <c r="W64" s="9" cm="1">
        <f t="array" ref="W64">IF('01_Input_Raw_Products'!G64&lt;&gt;"",'01_Input_Raw_Products'!G64,IFERROR(_xlfn.XLOOKUP('01_Input_Raw_Products'!F64,'10_Master_Gem_Types'!A:A,'10_Master_Gem_Types'!L:L),""))</f>
        <v>0</v>
      </c>
      <c r="X64" s="9" cm="1">
        <f t="array" ref="X64">IFERROR(_xlfn.XLOOKUP('01_Input_Raw_Products'!F64,'10_Master_Gem_Types'!A:A,'10_Master_Gem_Types'!J:J),"")</f>
        <v>0</v>
      </c>
      <c r="Y64" s="9" cm="1">
        <f t="array" ref="Y64">IFERROR(_xlfn.XLOOKUP('01_Input_Raw_Products'!F64,'10_Master_Gem_Types'!A:A,'10_Master_Gem_Types'!I:I),"")</f>
        <v>0</v>
      </c>
      <c r="Z64" s="9" cm="1">
        <f t="array" ref="Z64">IFERROR(_xlfn.XLOOKUP('01_Input_Raw_Products'!L64,'13_Certification_Stickers'!A:A,'13_Certification_Stickers'!C:C),"")</f>
        <v>0</v>
      </c>
      <c r="AA64" s="9" cm="1">
        <f t="array" ref="AA64">IFERROR(_xlfn.XLOOKUP('01_Input_Raw_Products'!S64,'14_Shipping_Rules'!A:A,'14_Shipping_Rules'!B:B),"")</f>
        <v>0</v>
      </c>
      <c r="AB64" s="9" cm="1">
        <f t="array" ref="AB64">IFERROR(_xlfn.XLOOKUP('01_Input_Raw_Products'!D64,'16_Astro_Flags'!A:A,'16_Astro_Flags'!B:B),"")</f>
        <v>0</v>
      </c>
      <c r="AC64" s="9">
        <f>IF(C64="","","Catalog, Search")</f>
        <v>0</v>
      </c>
      <c r="AD64" s="9">
        <f>IF(C64="","",IF(OR(F64="",J64="",M64="",S64="",Y64=""),"Manual Review","Ready"))</f>
        <v>0</v>
      </c>
      <c r="AE64" s="9">
        <f>IF(C64="","",TEXTJOIN("; ",TRUE,IF(F64="","Missing url_key",""),IF(J64="","Missing classification",""),IF(M64="","Missing j_colour",""),IF(S64="","Missing hsn_code",""),IF(Y64="","Missing tax_class_id","")))</f>
        <v>0</v>
      </c>
    </row>
    <row r="65" spans="1:31">
      <c r="A65" s="9">
        <f>IF('01_Input_Raw_Products'!B65&lt;&gt;"",20,"")</f>
        <v>0</v>
      </c>
      <c r="B65" s="9" cm="1">
        <f t="array" ref="B65">IF('01_Input_Raw_Products'!M65&lt;&gt;"",'01_Input_Raw_Products'!M65,IFERROR(_xlfn.XLOOKUP('01_Input_Raw_Products'!F65,'10_Master_Gem_Types'!A:A,'10_Master_Gem_Types'!K:K),""))</f>
        <v>0</v>
      </c>
      <c r="C65" s="9">
        <f>'01_Input_Raw_Products'!B65</f>
        <v>0</v>
      </c>
      <c r="D65" s="9">
        <f>IF(C65="","",TEXT(I65,"0.00")&amp;" Ct "&amp;IF('01_Input_Raw_Products'!F65&lt;&gt;"",'01_Input_Raw_Products'!F65,'01_Input_Raw_Products'!D65)&amp;" "&amp;'01_Input_Raw_Products'!I65)</f>
        <v>0</v>
      </c>
      <c r="E65" s="9">
        <f>IF(C65="","",D65&amp;" | GemPundit")</f>
        <v>0</v>
      </c>
      <c r="F65" s="9" cm="1">
        <f t="array" ref="F65">IF('01_Input_Raw_Products'!X65&lt;&gt;"",'01_Input_Raw_Products'!X65,IFERROR(_xlfn.XLOOKUP('01_Input_Raw_Products'!F65,'10_Master_Gem_Types'!A:A,'10_Master_Gem_Types'!O:O),LOWER(SUBSTITUTE(IF('01_Input_Raw_Products'!F65&lt;&gt;"",'01_Input_Raw_Products'!F65,'01_Input_Raw_Products'!D65)," ","-"))))</f>
        <v>0</v>
      </c>
      <c r="G65" s="9">
        <f>'01_Input_Raw_Products'!C65</f>
        <v>0</v>
      </c>
      <c r="H65" s="9" cm="1">
        <f t="array" ref="H65">IF('01_Input_Raw_Products'!H65&lt;&gt;"",'01_Input_Raw_Products'!H65,IFERROR(_xlfn.XLOOKUP('01_Input_Raw_Products'!F65,'10_Master_Gem_Types'!A:A,'10_Master_Gem_Types'!D:D),""))</f>
        <v>0</v>
      </c>
      <c r="I65" s="7">
        <f>IF('01_Input_Raw_Products'!N65&lt;&gt;"",'01_Input_Raw_Products'!N65,IF('01_Input_Raw_Products'!O65&lt;&gt;"",'01_Input_Raw_Products'!O65*0.91,""))</f>
        <v>0</v>
      </c>
      <c r="J65" s="9" cm="1">
        <f t="array" ref="J65">IFERROR(_xlfn.XLOOKUP('01_Input_Raw_Products'!F65,'10_Master_Gem_Types'!A:A,'10_Master_Gem_Types'!N:N),"")</f>
        <v>0</v>
      </c>
      <c r="K65" s="9" cm="1">
        <f t="array" ref="K65">IF('01_Input_Raw_Products'!J65&lt;&gt;"",'01_Input_Raw_Products'!J65,IFERROR(_xlfn.XLOOKUP('01_Input_Raw_Products'!F65,'10_Master_Gem_Types'!A:A,'10_Master_Gem_Types'!E:E),""))</f>
        <v>0</v>
      </c>
      <c r="L65" s="9">
        <f>'01_Input_Raw_Products'!P65</f>
        <v>0</v>
      </c>
      <c r="M65" s="9" cm="1">
        <f t="array" ref="M65">IFERROR(_xlfn.XLOOKUP('01_Input_Raw_Products'!K65,'12_Color_Mapping'!A:A,'12_Color_Mapping'!B:B),IFERROR(_xlfn.XLOOKUP('01_Input_Raw_Products'!F65,'10_Master_Gem_Types'!A:A,'10_Master_Gem_Types'!F:F),""))</f>
        <v>0</v>
      </c>
      <c r="N65" s="9">
        <f>IF(C65="","",IF('01_Input_Raw_Products'!F65&lt;&gt;"",'01_Input_Raw_Products'!F65,'01_Input_Raw_Products'!D65))</f>
        <v>0</v>
      </c>
      <c r="O65" s="9">
        <f>IF(C65="","","Catalog Automation")</f>
        <v>0</v>
      </c>
      <c r="P65" s="9">
        <f>'01_Input_Raw_Products'!U65</f>
        <v>0</v>
      </c>
      <c r="Q65" s="7">
        <f>IF('01_Input_Raw_Products'!O65&lt;&gt;"",'01_Input_Raw_Products'!O65,IF('01_Input_Raw_Products'!N65&lt;&gt;"",'01_Input_Raw_Products'!N65*1.1,""))</f>
        <v>0</v>
      </c>
      <c r="R65" s="9">
        <f>'01_Input_Raw_Products'!S65</f>
        <v>0</v>
      </c>
      <c r="S65" s="9" cm="1">
        <f t="array" ref="S65">IFERROR(_xlfn.XLOOKUP('01_Input_Raw_Products'!F65,'10_Master_Gem_Types'!A:A,'10_Master_Gem_Types'!H:H),"")</f>
        <v>0</v>
      </c>
      <c r="T65" s="8">
        <f>'01_Input_Raw_Products'!Q65</f>
        <v>0</v>
      </c>
      <c r="U65" s="8">
        <f>'01_Input_Raw_Products'!R65</f>
        <v>0</v>
      </c>
      <c r="V65" s="7">
        <f>I65</f>
        <v>0</v>
      </c>
      <c r="W65" s="9" cm="1">
        <f t="array" ref="W65">IF('01_Input_Raw_Products'!G65&lt;&gt;"",'01_Input_Raw_Products'!G65,IFERROR(_xlfn.XLOOKUP('01_Input_Raw_Products'!F65,'10_Master_Gem_Types'!A:A,'10_Master_Gem_Types'!L:L),""))</f>
        <v>0</v>
      </c>
      <c r="X65" s="9" cm="1">
        <f t="array" ref="X65">IFERROR(_xlfn.XLOOKUP('01_Input_Raw_Products'!F65,'10_Master_Gem_Types'!A:A,'10_Master_Gem_Types'!J:J),"")</f>
        <v>0</v>
      </c>
      <c r="Y65" s="9" cm="1">
        <f t="array" ref="Y65">IFERROR(_xlfn.XLOOKUP('01_Input_Raw_Products'!F65,'10_Master_Gem_Types'!A:A,'10_Master_Gem_Types'!I:I),"")</f>
        <v>0</v>
      </c>
      <c r="Z65" s="9" cm="1">
        <f t="array" ref="Z65">IFERROR(_xlfn.XLOOKUP('01_Input_Raw_Products'!L65,'13_Certification_Stickers'!A:A,'13_Certification_Stickers'!C:C),"")</f>
        <v>0</v>
      </c>
      <c r="AA65" s="9" cm="1">
        <f t="array" ref="AA65">IFERROR(_xlfn.XLOOKUP('01_Input_Raw_Products'!S65,'14_Shipping_Rules'!A:A,'14_Shipping_Rules'!B:B),"")</f>
        <v>0</v>
      </c>
      <c r="AB65" s="9" cm="1">
        <f t="array" ref="AB65">IFERROR(_xlfn.XLOOKUP('01_Input_Raw_Products'!D65,'16_Astro_Flags'!A:A,'16_Astro_Flags'!B:B),"")</f>
        <v>0</v>
      </c>
      <c r="AC65" s="9">
        <f>IF(C65="","","Catalog, Search")</f>
        <v>0</v>
      </c>
      <c r="AD65" s="9">
        <f>IF(C65="","",IF(OR(F65="",J65="",M65="",S65="",Y65=""),"Manual Review","Ready"))</f>
        <v>0</v>
      </c>
      <c r="AE65" s="9">
        <f>IF(C65="","",TEXTJOIN("; ",TRUE,IF(F65="","Missing url_key",""),IF(J65="","Missing classification",""),IF(M65="","Missing j_colour",""),IF(S65="","Missing hsn_code",""),IF(Y65="","Missing tax_class_id","")))</f>
        <v>0</v>
      </c>
    </row>
    <row r="66" spans="1:31">
      <c r="A66" s="9">
        <f>IF('01_Input_Raw_Products'!B66&lt;&gt;"",20,"")</f>
        <v>0</v>
      </c>
      <c r="B66" s="9" cm="1">
        <f t="array" ref="B66">IF('01_Input_Raw_Products'!M66&lt;&gt;"",'01_Input_Raw_Products'!M66,IFERROR(_xlfn.XLOOKUP('01_Input_Raw_Products'!F66,'10_Master_Gem_Types'!A:A,'10_Master_Gem_Types'!K:K),""))</f>
        <v>0</v>
      </c>
      <c r="C66" s="9">
        <f>'01_Input_Raw_Products'!B66</f>
        <v>0</v>
      </c>
      <c r="D66" s="9">
        <f>IF(C66="","",TEXT(I66,"0.00")&amp;" Ct "&amp;IF('01_Input_Raw_Products'!F66&lt;&gt;"",'01_Input_Raw_Products'!F66,'01_Input_Raw_Products'!D66)&amp;" "&amp;'01_Input_Raw_Products'!I66)</f>
        <v>0</v>
      </c>
      <c r="E66" s="9">
        <f>IF(C66="","",D66&amp;" | GemPundit")</f>
        <v>0</v>
      </c>
      <c r="F66" s="9" cm="1">
        <f t="array" ref="F66">IF('01_Input_Raw_Products'!X66&lt;&gt;"",'01_Input_Raw_Products'!X66,IFERROR(_xlfn.XLOOKUP('01_Input_Raw_Products'!F66,'10_Master_Gem_Types'!A:A,'10_Master_Gem_Types'!O:O),LOWER(SUBSTITUTE(IF('01_Input_Raw_Products'!F66&lt;&gt;"",'01_Input_Raw_Products'!F66,'01_Input_Raw_Products'!D66)," ","-"))))</f>
        <v>0</v>
      </c>
      <c r="G66" s="9">
        <f>'01_Input_Raw_Products'!C66</f>
        <v>0</v>
      </c>
      <c r="H66" s="9" cm="1">
        <f t="array" ref="H66">IF('01_Input_Raw_Products'!H66&lt;&gt;"",'01_Input_Raw_Products'!H66,IFERROR(_xlfn.XLOOKUP('01_Input_Raw_Products'!F66,'10_Master_Gem_Types'!A:A,'10_Master_Gem_Types'!D:D),""))</f>
        <v>0</v>
      </c>
      <c r="I66" s="7">
        <f>IF('01_Input_Raw_Products'!N66&lt;&gt;"",'01_Input_Raw_Products'!N66,IF('01_Input_Raw_Products'!O66&lt;&gt;"",'01_Input_Raw_Products'!O66*0.91,""))</f>
        <v>0</v>
      </c>
      <c r="J66" s="9" cm="1">
        <f t="array" ref="J66">IFERROR(_xlfn.XLOOKUP('01_Input_Raw_Products'!F66,'10_Master_Gem_Types'!A:A,'10_Master_Gem_Types'!N:N),"")</f>
        <v>0</v>
      </c>
      <c r="K66" s="9" cm="1">
        <f t="array" ref="K66">IF('01_Input_Raw_Products'!J66&lt;&gt;"",'01_Input_Raw_Products'!J66,IFERROR(_xlfn.XLOOKUP('01_Input_Raw_Products'!F66,'10_Master_Gem_Types'!A:A,'10_Master_Gem_Types'!E:E),""))</f>
        <v>0</v>
      </c>
      <c r="L66" s="9">
        <f>'01_Input_Raw_Products'!P66</f>
        <v>0</v>
      </c>
      <c r="M66" s="9" cm="1">
        <f t="array" ref="M66">IFERROR(_xlfn.XLOOKUP('01_Input_Raw_Products'!K66,'12_Color_Mapping'!A:A,'12_Color_Mapping'!B:B),IFERROR(_xlfn.XLOOKUP('01_Input_Raw_Products'!F66,'10_Master_Gem_Types'!A:A,'10_Master_Gem_Types'!F:F),""))</f>
        <v>0</v>
      </c>
      <c r="N66" s="9">
        <f>IF(C66="","",IF('01_Input_Raw_Products'!F66&lt;&gt;"",'01_Input_Raw_Products'!F66,'01_Input_Raw_Products'!D66))</f>
        <v>0</v>
      </c>
      <c r="O66" s="9">
        <f>IF(C66="","","Catalog Automation")</f>
        <v>0</v>
      </c>
      <c r="P66" s="9">
        <f>'01_Input_Raw_Products'!U66</f>
        <v>0</v>
      </c>
      <c r="Q66" s="7">
        <f>IF('01_Input_Raw_Products'!O66&lt;&gt;"",'01_Input_Raw_Products'!O66,IF('01_Input_Raw_Products'!N66&lt;&gt;"",'01_Input_Raw_Products'!N66*1.1,""))</f>
        <v>0</v>
      </c>
      <c r="R66" s="9">
        <f>'01_Input_Raw_Products'!S66</f>
        <v>0</v>
      </c>
      <c r="S66" s="9" cm="1">
        <f t="array" ref="S66">IFERROR(_xlfn.XLOOKUP('01_Input_Raw_Products'!F66,'10_Master_Gem_Types'!A:A,'10_Master_Gem_Types'!H:H),"")</f>
        <v>0</v>
      </c>
      <c r="T66" s="8">
        <f>'01_Input_Raw_Products'!Q66</f>
        <v>0</v>
      </c>
      <c r="U66" s="8">
        <f>'01_Input_Raw_Products'!R66</f>
        <v>0</v>
      </c>
      <c r="V66" s="7">
        <f>I66</f>
        <v>0</v>
      </c>
      <c r="W66" s="9" cm="1">
        <f t="array" ref="W66">IF('01_Input_Raw_Products'!G66&lt;&gt;"",'01_Input_Raw_Products'!G66,IFERROR(_xlfn.XLOOKUP('01_Input_Raw_Products'!F66,'10_Master_Gem_Types'!A:A,'10_Master_Gem_Types'!L:L),""))</f>
        <v>0</v>
      </c>
      <c r="X66" s="9" cm="1">
        <f t="array" ref="X66">IFERROR(_xlfn.XLOOKUP('01_Input_Raw_Products'!F66,'10_Master_Gem_Types'!A:A,'10_Master_Gem_Types'!J:J),"")</f>
        <v>0</v>
      </c>
      <c r="Y66" s="9" cm="1">
        <f t="array" ref="Y66">IFERROR(_xlfn.XLOOKUP('01_Input_Raw_Products'!F66,'10_Master_Gem_Types'!A:A,'10_Master_Gem_Types'!I:I),"")</f>
        <v>0</v>
      </c>
      <c r="Z66" s="9" cm="1">
        <f t="array" ref="Z66">IFERROR(_xlfn.XLOOKUP('01_Input_Raw_Products'!L66,'13_Certification_Stickers'!A:A,'13_Certification_Stickers'!C:C),"")</f>
        <v>0</v>
      </c>
      <c r="AA66" s="9" cm="1">
        <f t="array" ref="AA66">IFERROR(_xlfn.XLOOKUP('01_Input_Raw_Products'!S66,'14_Shipping_Rules'!A:A,'14_Shipping_Rules'!B:B),"")</f>
        <v>0</v>
      </c>
      <c r="AB66" s="9" cm="1">
        <f t="array" ref="AB66">IFERROR(_xlfn.XLOOKUP('01_Input_Raw_Products'!D66,'16_Astro_Flags'!A:A,'16_Astro_Flags'!B:B),"")</f>
        <v>0</v>
      </c>
      <c r="AC66" s="9">
        <f>IF(C66="","","Catalog, Search")</f>
        <v>0</v>
      </c>
      <c r="AD66" s="9">
        <f>IF(C66="","",IF(OR(F66="",J66="",M66="",S66="",Y66=""),"Manual Review","Ready"))</f>
        <v>0</v>
      </c>
      <c r="AE66" s="9">
        <f>IF(C66="","",TEXTJOIN("; ",TRUE,IF(F66="","Missing url_key",""),IF(J66="","Missing classification",""),IF(M66="","Missing j_colour",""),IF(S66="","Missing hsn_code",""),IF(Y66="","Missing tax_class_id","")))</f>
        <v>0</v>
      </c>
    </row>
    <row r="67" spans="1:31">
      <c r="A67" s="9">
        <f>IF('01_Input_Raw_Products'!B67&lt;&gt;"",20,"")</f>
        <v>0</v>
      </c>
      <c r="B67" s="9" cm="1">
        <f t="array" ref="B67">IF('01_Input_Raw_Products'!M67&lt;&gt;"",'01_Input_Raw_Products'!M67,IFERROR(_xlfn.XLOOKUP('01_Input_Raw_Products'!F67,'10_Master_Gem_Types'!A:A,'10_Master_Gem_Types'!K:K),""))</f>
        <v>0</v>
      </c>
      <c r="C67" s="9">
        <f>'01_Input_Raw_Products'!B67</f>
        <v>0</v>
      </c>
      <c r="D67" s="9">
        <f>IF(C67="","",TEXT(I67,"0.00")&amp;" Ct "&amp;IF('01_Input_Raw_Products'!F67&lt;&gt;"",'01_Input_Raw_Products'!F67,'01_Input_Raw_Products'!D67)&amp;" "&amp;'01_Input_Raw_Products'!I67)</f>
        <v>0</v>
      </c>
      <c r="E67" s="9">
        <f>IF(C67="","",D67&amp;" | GemPundit")</f>
        <v>0</v>
      </c>
      <c r="F67" s="9" cm="1">
        <f t="array" ref="F67">IF('01_Input_Raw_Products'!X67&lt;&gt;"",'01_Input_Raw_Products'!X67,IFERROR(_xlfn.XLOOKUP('01_Input_Raw_Products'!F67,'10_Master_Gem_Types'!A:A,'10_Master_Gem_Types'!O:O),LOWER(SUBSTITUTE(IF('01_Input_Raw_Products'!F67&lt;&gt;"",'01_Input_Raw_Products'!F67,'01_Input_Raw_Products'!D67)," ","-"))))</f>
        <v>0</v>
      </c>
      <c r="G67" s="9">
        <f>'01_Input_Raw_Products'!C67</f>
        <v>0</v>
      </c>
      <c r="H67" s="9" cm="1">
        <f t="array" ref="H67">IF('01_Input_Raw_Products'!H67&lt;&gt;"",'01_Input_Raw_Products'!H67,IFERROR(_xlfn.XLOOKUP('01_Input_Raw_Products'!F67,'10_Master_Gem_Types'!A:A,'10_Master_Gem_Types'!D:D),""))</f>
        <v>0</v>
      </c>
      <c r="I67" s="7">
        <f>IF('01_Input_Raw_Products'!N67&lt;&gt;"",'01_Input_Raw_Products'!N67,IF('01_Input_Raw_Products'!O67&lt;&gt;"",'01_Input_Raw_Products'!O67*0.91,""))</f>
        <v>0</v>
      </c>
      <c r="J67" s="9" cm="1">
        <f t="array" ref="J67">IFERROR(_xlfn.XLOOKUP('01_Input_Raw_Products'!F67,'10_Master_Gem_Types'!A:A,'10_Master_Gem_Types'!N:N),"")</f>
        <v>0</v>
      </c>
      <c r="K67" s="9" cm="1">
        <f t="array" ref="K67">IF('01_Input_Raw_Products'!J67&lt;&gt;"",'01_Input_Raw_Products'!J67,IFERROR(_xlfn.XLOOKUP('01_Input_Raw_Products'!F67,'10_Master_Gem_Types'!A:A,'10_Master_Gem_Types'!E:E),""))</f>
        <v>0</v>
      </c>
      <c r="L67" s="9">
        <f>'01_Input_Raw_Products'!P67</f>
        <v>0</v>
      </c>
      <c r="M67" s="9" cm="1">
        <f t="array" ref="M67">IFERROR(_xlfn.XLOOKUP('01_Input_Raw_Products'!K67,'12_Color_Mapping'!A:A,'12_Color_Mapping'!B:B),IFERROR(_xlfn.XLOOKUP('01_Input_Raw_Products'!F67,'10_Master_Gem_Types'!A:A,'10_Master_Gem_Types'!F:F),""))</f>
        <v>0</v>
      </c>
      <c r="N67" s="9">
        <f>IF(C67="","",IF('01_Input_Raw_Products'!F67&lt;&gt;"",'01_Input_Raw_Products'!F67,'01_Input_Raw_Products'!D67))</f>
        <v>0</v>
      </c>
      <c r="O67" s="9">
        <f>IF(C67="","","Catalog Automation")</f>
        <v>0</v>
      </c>
      <c r="P67" s="9">
        <f>'01_Input_Raw_Products'!U67</f>
        <v>0</v>
      </c>
      <c r="Q67" s="7">
        <f>IF('01_Input_Raw_Products'!O67&lt;&gt;"",'01_Input_Raw_Products'!O67,IF('01_Input_Raw_Products'!N67&lt;&gt;"",'01_Input_Raw_Products'!N67*1.1,""))</f>
        <v>0</v>
      </c>
      <c r="R67" s="9">
        <f>'01_Input_Raw_Products'!S67</f>
        <v>0</v>
      </c>
      <c r="S67" s="9" cm="1">
        <f t="array" ref="S67">IFERROR(_xlfn.XLOOKUP('01_Input_Raw_Products'!F67,'10_Master_Gem_Types'!A:A,'10_Master_Gem_Types'!H:H),"")</f>
        <v>0</v>
      </c>
      <c r="T67" s="8">
        <f>'01_Input_Raw_Products'!Q67</f>
        <v>0</v>
      </c>
      <c r="U67" s="8">
        <f>'01_Input_Raw_Products'!R67</f>
        <v>0</v>
      </c>
      <c r="V67" s="7">
        <f>I67</f>
        <v>0</v>
      </c>
      <c r="W67" s="9" cm="1">
        <f t="array" ref="W67">IF('01_Input_Raw_Products'!G67&lt;&gt;"",'01_Input_Raw_Products'!G67,IFERROR(_xlfn.XLOOKUP('01_Input_Raw_Products'!F67,'10_Master_Gem_Types'!A:A,'10_Master_Gem_Types'!L:L),""))</f>
        <v>0</v>
      </c>
      <c r="X67" s="9" cm="1">
        <f t="array" ref="X67">IFERROR(_xlfn.XLOOKUP('01_Input_Raw_Products'!F67,'10_Master_Gem_Types'!A:A,'10_Master_Gem_Types'!J:J),"")</f>
        <v>0</v>
      </c>
      <c r="Y67" s="9" cm="1">
        <f t="array" ref="Y67">IFERROR(_xlfn.XLOOKUP('01_Input_Raw_Products'!F67,'10_Master_Gem_Types'!A:A,'10_Master_Gem_Types'!I:I),"")</f>
        <v>0</v>
      </c>
      <c r="Z67" s="9" cm="1">
        <f t="array" ref="Z67">IFERROR(_xlfn.XLOOKUP('01_Input_Raw_Products'!L67,'13_Certification_Stickers'!A:A,'13_Certification_Stickers'!C:C),"")</f>
        <v>0</v>
      </c>
      <c r="AA67" s="9" cm="1">
        <f t="array" ref="AA67">IFERROR(_xlfn.XLOOKUP('01_Input_Raw_Products'!S67,'14_Shipping_Rules'!A:A,'14_Shipping_Rules'!B:B),"")</f>
        <v>0</v>
      </c>
      <c r="AB67" s="9" cm="1">
        <f t="array" ref="AB67">IFERROR(_xlfn.XLOOKUP('01_Input_Raw_Products'!D67,'16_Astro_Flags'!A:A,'16_Astro_Flags'!B:B),"")</f>
        <v>0</v>
      </c>
      <c r="AC67" s="9">
        <f>IF(C67="","","Catalog, Search")</f>
        <v>0</v>
      </c>
      <c r="AD67" s="9">
        <f>IF(C67="","",IF(OR(F67="",J67="",M67="",S67="",Y67=""),"Manual Review","Ready"))</f>
        <v>0</v>
      </c>
      <c r="AE67" s="9">
        <f>IF(C67="","",TEXTJOIN("; ",TRUE,IF(F67="","Missing url_key",""),IF(J67="","Missing classification",""),IF(M67="","Missing j_colour",""),IF(S67="","Missing hsn_code",""),IF(Y67="","Missing tax_class_id","")))</f>
        <v>0</v>
      </c>
    </row>
    <row r="68" spans="1:31">
      <c r="A68" s="9">
        <f>IF('01_Input_Raw_Products'!B68&lt;&gt;"",20,"")</f>
        <v>0</v>
      </c>
      <c r="B68" s="9" cm="1">
        <f t="array" ref="B68">IF('01_Input_Raw_Products'!M68&lt;&gt;"",'01_Input_Raw_Products'!M68,IFERROR(_xlfn.XLOOKUP('01_Input_Raw_Products'!F68,'10_Master_Gem_Types'!A:A,'10_Master_Gem_Types'!K:K),""))</f>
        <v>0</v>
      </c>
      <c r="C68" s="9">
        <f>'01_Input_Raw_Products'!B68</f>
        <v>0</v>
      </c>
      <c r="D68" s="9">
        <f>IF(C68="","",TEXT(I68,"0.00")&amp;" Ct "&amp;IF('01_Input_Raw_Products'!F68&lt;&gt;"",'01_Input_Raw_Products'!F68,'01_Input_Raw_Products'!D68)&amp;" "&amp;'01_Input_Raw_Products'!I68)</f>
        <v>0</v>
      </c>
      <c r="E68" s="9">
        <f>IF(C68="","",D68&amp;" | GemPundit")</f>
        <v>0</v>
      </c>
      <c r="F68" s="9" cm="1">
        <f t="array" ref="F68">IF('01_Input_Raw_Products'!X68&lt;&gt;"",'01_Input_Raw_Products'!X68,IFERROR(_xlfn.XLOOKUP('01_Input_Raw_Products'!F68,'10_Master_Gem_Types'!A:A,'10_Master_Gem_Types'!O:O),LOWER(SUBSTITUTE(IF('01_Input_Raw_Products'!F68&lt;&gt;"",'01_Input_Raw_Products'!F68,'01_Input_Raw_Products'!D68)," ","-"))))</f>
        <v>0</v>
      </c>
      <c r="G68" s="9">
        <f>'01_Input_Raw_Products'!C68</f>
        <v>0</v>
      </c>
      <c r="H68" s="9" cm="1">
        <f t="array" ref="H68">IF('01_Input_Raw_Products'!H68&lt;&gt;"",'01_Input_Raw_Products'!H68,IFERROR(_xlfn.XLOOKUP('01_Input_Raw_Products'!F68,'10_Master_Gem_Types'!A:A,'10_Master_Gem_Types'!D:D),""))</f>
        <v>0</v>
      </c>
      <c r="I68" s="7">
        <f>IF('01_Input_Raw_Products'!N68&lt;&gt;"",'01_Input_Raw_Products'!N68,IF('01_Input_Raw_Products'!O68&lt;&gt;"",'01_Input_Raw_Products'!O68*0.91,""))</f>
        <v>0</v>
      </c>
      <c r="J68" s="9" cm="1">
        <f t="array" ref="J68">IFERROR(_xlfn.XLOOKUP('01_Input_Raw_Products'!F68,'10_Master_Gem_Types'!A:A,'10_Master_Gem_Types'!N:N),"")</f>
        <v>0</v>
      </c>
      <c r="K68" s="9" cm="1">
        <f t="array" ref="K68">IF('01_Input_Raw_Products'!J68&lt;&gt;"",'01_Input_Raw_Products'!J68,IFERROR(_xlfn.XLOOKUP('01_Input_Raw_Products'!F68,'10_Master_Gem_Types'!A:A,'10_Master_Gem_Types'!E:E),""))</f>
        <v>0</v>
      </c>
      <c r="L68" s="9">
        <f>'01_Input_Raw_Products'!P68</f>
        <v>0</v>
      </c>
      <c r="M68" s="9" cm="1">
        <f t="array" ref="M68">IFERROR(_xlfn.XLOOKUP('01_Input_Raw_Products'!K68,'12_Color_Mapping'!A:A,'12_Color_Mapping'!B:B),IFERROR(_xlfn.XLOOKUP('01_Input_Raw_Products'!F68,'10_Master_Gem_Types'!A:A,'10_Master_Gem_Types'!F:F),""))</f>
        <v>0</v>
      </c>
      <c r="N68" s="9">
        <f>IF(C68="","",IF('01_Input_Raw_Products'!F68&lt;&gt;"",'01_Input_Raw_Products'!F68,'01_Input_Raw_Products'!D68))</f>
        <v>0</v>
      </c>
      <c r="O68" s="9">
        <f>IF(C68="","","Catalog Automation")</f>
        <v>0</v>
      </c>
      <c r="P68" s="9">
        <f>'01_Input_Raw_Products'!U68</f>
        <v>0</v>
      </c>
      <c r="Q68" s="7">
        <f>IF('01_Input_Raw_Products'!O68&lt;&gt;"",'01_Input_Raw_Products'!O68,IF('01_Input_Raw_Products'!N68&lt;&gt;"",'01_Input_Raw_Products'!N68*1.1,""))</f>
        <v>0</v>
      </c>
      <c r="R68" s="9">
        <f>'01_Input_Raw_Products'!S68</f>
        <v>0</v>
      </c>
      <c r="S68" s="9" cm="1">
        <f t="array" ref="S68">IFERROR(_xlfn.XLOOKUP('01_Input_Raw_Products'!F68,'10_Master_Gem_Types'!A:A,'10_Master_Gem_Types'!H:H),"")</f>
        <v>0</v>
      </c>
      <c r="T68" s="8">
        <f>'01_Input_Raw_Products'!Q68</f>
        <v>0</v>
      </c>
      <c r="U68" s="8">
        <f>'01_Input_Raw_Products'!R68</f>
        <v>0</v>
      </c>
      <c r="V68" s="7">
        <f>I68</f>
        <v>0</v>
      </c>
      <c r="W68" s="9" cm="1">
        <f t="array" ref="W68">IF('01_Input_Raw_Products'!G68&lt;&gt;"",'01_Input_Raw_Products'!G68,IFERROR(_xlfn.XLOOKUP('01_Input_Raw_Products'!F68,'10_Master_Gem_Types'!A:A,'10_Master_Gem_Types'!L:L),""))</f>
        <v>0</v>
      </c>
      <c r="X68" s="9" cm="1">
        <f t="array" ref="X68">IFERROR(_xlfn.XLOOKUP('01_Input_Raw_Products'!F68,'10_Master_Gem_Types'!A:A,'10_Master_Gem_Types'!J:J),"")</f>
        <v>0</v>
      </c>
      <c r="Y68" s="9" cm="1">
        <f t="array" ref="Y68">IFERROR(_xlfn.XLOOKUP('01_Input_Raw_Products'!F68,'10_Master_Gem_Types'!A:A,'10_Master_Gem_Types'!I:I),"")</f>
        <v>0</v>
      </c>
      <c r="Z68" s="9" cm="1">
        <f t="array" ref="Z68">IFERROR(_xlfn.XLOOKUP('01_Input_Raw_Products'!L68,'13_Certification_Stickers'!A:A,'13_Certification_Stickers'!C:C),"")</f>
        <v>0</v>
      </c>
      <c r="AA68" s="9" cm="1">
        <f t="array" ref="AA68">IFERROR(_xlfn.XLOOKUP('01_Input_Raw_Products'!S68,'14_Shipping_Rules'!A:A,'14_Shipping_Rules'!B:B),"")</f>
        <v>0</v>
      </c>
      <c r="AB68" s="9" cm="1">
        <f t="array" ref="AB68">IFERROR(_xlfn.XLOOKUP('01_Input_Raw_Products'!D68,'16_Astro_Flags'!A:A,'16_Astro_Flags'!B:B),"")</f>
        <v>0</v>
      </c>
      <c r="AC68" s="9">
        <f>IF(C68="","","Catalog, Search")</f>
        <v>0</v>
      </c>
      <c r="AD68" s="9">
        <f>IF(C68="","",IF(OR(F68="",J68="",M68="",S68="",Y68=""),"Manual Review","Ready"))</f>
        <v>0</v>
      </c>
      <c r="AE68" s="9">
        <f>IF(C68="","",TEXTJOIN("; ",TRUE,IF(F68="","Missing url_key",""),IF(J68="","Missing classification",""),IF(M68="","Missing j_colour",""),IF(S68="","Missing hsn_code",""),IF(Y68="","Missing tax_class_id","")))</f>
        <v>0</v>
      </c>
    </row>
    <row r="69" spans="1:31">
      <c r="A69" s="9">
        <f>IF('01_Input_Raw_Products'!B69&lt;&gt;"",20,"")</f>
        <v>0</v>
      </c>
      <c r="B69" s="9" cm="1">
        <f t="array" ref="B69">IF('01_Input_Raw_Products'!M69&lt;&gt;"",'01_Input_Raw_Products'!M69,IFERROR(_xlfn.XLOOKUP('01_Input_Raw_Products'!F69,'10_Master_Gem_Types'!A:A,'10_Master_Gem_Types'!K:K),""))</f>
        <v>0</v>
      </c>
      <c r="C69" s="9">
        <f>'01_Input_Raw_Products'!B69</f>
        <v>0</v>
      </c>
      <c r="D69" s="9">
        <f>IF(C69="","",TEXT(I69,"0.00")&amp;" Ct "&amp;IF('01_Input_Raw_Products'!F69&lt;&gt;"",'01_Input_Raw_Products'!F69,'01_Input_Raw_Products'!D69)&amp;" "&amp;'01_Input_Raw_Products'!I69)</f>
        <v>0</v>
      </c>
      <c r="E69" s="9">
        <f>IF(C69="","",D69&amp;" | GemPundit")</f>
        <v>0</v>
      </c>
      <c r="F69" s="9" cm="1">
        <f t="array" ref="F69">IF('01_Input_Raw_Products'!X69&lt;&gt;"",'01_Input_Raw_Products'!X69,IFERROR(_xlfn.XLOOKUP('01_Input_Raw_Products'!F69,'10_Master_Gem_Types'!A:A,'10_Master_Gem_Types'!O:O),LOWER(SUBSTITUTE(IF('01_Input_Raw_Products'!F69&lt;&gt;"",'01_Input_Raw_Products'!F69,'01_Input_Raw_Products'!D69)," ","-"))))</f>
        <v>0</v>
      </c>
      <c r="G69" s="9">
        <f>'01_Input_Raw_Products'!C69</f>
        <v>0</v>
      </c>
      <c r="H69" s="9" cm="1">
        <f t="array" ref="H69">IF('01_Input_Raw_Products'!H69&lt;&gt;"",'01_Input_Raw_Products'!H69,IFERROR(_xlfn.XLOOKUP('01_Input_Raw_Products'!F69,'10_Master_Gem_Types'!A:A,'10_Master_Gem_Types'!D:D),""))</f>
        <v>0</v>
      </c>
      <c r="I69" s="7">
        <f>IF('01_Input_Raw_Products'!N69&lt;&gt;"",'01_Input_Raw_Products'!N69,IF('01_Input_Raw_Products'!O69&lt;&gt;"",'01_Input_Raw_Products'!O69*0.91,""))</f>
        <v>0</v>
      </c>
      <c r="J69" s="9" cm="1">
        <f t="array" ref="J69">IFERROR(_xlfn.XLOOKUP('01_Input_Raw_Products'!F69,'10_Master_Gem_Types'!A:A,'10_Master_Gem_Types'!N:N),"")</f>
        <v>0</v>
      </c>
      <c r="K69" s="9" cm="1">
        <f t="array" ref="K69">IF('01_Input_Raw_Products'!J69&lt;&gt;"",'01_Input_Raw_Products'!J69,IFERROR(_xlfn.XLOOKUP('01_Input_Raw_Products'!F69,'10_Master_Gem_Types'!A:A,'10_Master_Gem_Types'!E:E),""))</f>
        <v>0</v>
      </c>
      <c r="L69" s="9">
        <f>'01_Input_Raw_Products'!P69</f>
        <v>0</v>
      </c>
      <c r="M69" s="9" cm="1">
        <f t="array" ref="M69">IFERROR(_xlfn.XLOOKUP('01_Input_Raw_Products'!K69,'12_Color_Mapping'!A:A,'12_Color_Mapping'!B:B),IFERROR(_xlfn.XLOOKUP('01_Input_Raw_Products'!F69,'10_Master_Gem_Types'!A:A,'10_Master_Gem_Types'!F:F),""))</f>
        <v>0</v>
      </c>
      <c r="N69" s="9">
        <f>IF(C69="","",IF('01_Input_Raw_Products'!F69&lt;&gt;"",'01_Input_Raw_Products'!F69,'01_Input_Raw_Products'!D69))</f>
        <v>0</v>
      </c>
      <c r="O69" s="9">
        <f>IF(C69="","","Catalog Automation")</f>
        <v>0</v>
      </c>
      <c r="P69" s="9">
        <f>'01_Input_Raw_Products'!U69</f>
        <v>0</v>
      </c>
      <c r="Q69" s="7">
        <f>IF('01_Input_Raw_Products'!O69&lt;&gt;"",'01_Input_Raw_Products'!O69,IF('01_Input_Raw_Products'!N69&lt;&gt;"",'01_Input_Raw_Products'!N69*1.1,""))</f>
        <v>0</v>
      </c>
      <c r="R69" s="9">
        <f>'01_Input_Raw_Products'!S69</f>
        <v>0</v>
      </c>
      <c r="S69" s="9" cm="1">
        <f t="array" ref="S69">IFERROR(_xlfn.XLOOKUP('01_Input_Raw_Products'!F69,'10_Master_Gem_Types'!A:A,'10_Master_Gem_Types'!H:H),"")</f>
        <v>0</v>
      </c>
      <c r="T69" s="8">
        <f>'01_Input_Raw_Products'!Q69</f>
        <v>0</v>
      </c>
      <c r="U69" s="8">
        <f>'01_Input_Raw_Products'!R69</f>
        <v>0</v>
      </c>
      <c r="V69" s="7">
        <f>I69</f>
        <v>0</v>
      </c>
      <c r="W69" s="9" cm="1">
        <f t="array" ref="W69">IF('01_Input_Raw_Products'!G69&lt;&gt;"",'01_Input_Raw_Products'!G69,IFERROR(_xlfn.XLOOKUP('01_Input_Raw_Products'!F69,'10_Master_Gem_Types'!A:A,'10_Master_Gem_Types'!L:L),""))</f>
        <v>0</v>
      </c>
      <c r="X69" s="9" cm="1">
        <f t="array" ref="X69">IFERROR(_xlfn.XLOOKUP('01_Input_Raw_Products'!F69,'10_Master_Gem_Types'!A:A,'10_Master_Gem_Types'!J:J),"")</f>
        <v>0</v>
      </c>
      <c r="Y69" s="9" cm="1">
        <f t="array" ref="Y69">IFERROR(_xlfn.XLOOKUP('01_Input_Raw_Products'!F69,'10_Master_Gem_Types'!A:A,'10_Master_Gem_Types'!I:I),"")</f>
        <v>0</v>
      </c>
      <c r="Z69" s="9" cm="1">
        <f t="array" ref="Z69">IFERROR(_xlfn.XLOOKUP('01_Input_Raw_Products'!L69,'13_Certification_Stickers'!A:A,'13_Certification_Stickers'!C:C),"")</f>
        <v>0</v>
      </c>
      <c r="AA69" s="9" cm="1">
        <f t="array" ref="AA69">IFERROR(_xlfn.XLOOKUP('01_Input_Raw_Products'!S69,'14_Shipping_Rules'!A:A,'14_Shipping_Rules'!B:B),"")</f>
        <v>0</v>
      </c>
      <c r="AB69" s="9" cm="1">
        <f t="array" ref="AB69">IFERROR(_xlfn.XLOOKUP('01_Input_Raw_Products'!D69,'16_Astro_Flags'!A:A,'16_Astro_Flags'!B:B),"")</f>
        <v>0</v>
      </c>
      <c r="AC69" s="9">
        <f>IF(C69="","","Catalog, Search")</f>
        <v>0</v>
      </c>
      <c r="AD69" s="9">
        <f>IF(C69="","",IF(OR(F69="",J69="",M69="",S69="",Y69=""),"Manual Review","Ready"))</f>
        <v>0</v>
      </c>
      <c r="AE69" s="9">
        <f>IF(C69="","",TEXTJOIN("; ",TRUE,IF(F69="","Missing url_key",""),IF(J69="","Missing classification",""),IF(M69="","Missing j_colour",""),IF(S69="","Missing hsn_code",""),IF(Y69="","Missing tax_class_id","")))</f>
        <v>0</v>
      </c>
    </row>
    <row r="70" spans="1:31">
      <c r="A70" s="9">
        <f>IF('01_Input_Raw_Products'!B70&lt;&gt;"",20,"")</f>
        <v>0</v>
      </c>
      <c r="B70" s="9" cm="1">
        <f t="array" ref="B70">IF('01_Input_Raw_Products'!M70&lt;&gt;"",'01_Input_Raw_Products'!M70,IFERROR(_xlfn.XLOOKUP('01_Input_Raw_Products'!F70,'10_Master_Gem_Types'!A:A,'10_Master_Gem_Types'!K:K),""))</f>
        <v>0</v>
      </c>
      <c r="C70" s="9">
        <f>'01_Input_Raw_Products'!B70</f>
        <v>0</v>
      </c>
      <c r="D70" s="9">
        <f>IF(C70="","",TEXT(I70,"0.00")&amp;" Ct "&amp;IF('01_Input_Raw_Products'!F70&lt;&gt;"",'01_Input_Raw_Products'!F70,'01_Input_Raw_Products'!D70)&amp;" "&amp;'01_Input_Raw_Products'!I70)</f>
        <v>0</v>
      </c>
      <c r="E70" s="9">
        <f>IF(C70="","",D70&amp;" | GemPundit")</f>
        <v>0</v>
      </c>
      <c r="F70" s="9" cm="1">
        <f t="array" ref="F70">IF('01_Input_Raw_Products'!X70&lt;&gt;"",'01_Input_Raw_Products'!X70,IFERROR(_xlfn.XLOOKUP('01_Input_Raw_Products'!F70,'10_Master_Gem_Types'!A:A,'10_Master_Gem_Types'!O:O),LOWER(SUBSTITUTE(IF('01_Input_Raw_Products'!F70&lt;&gt;"",'01_Input_Raw_Products'!F70,'01_Input_Raw_Products'!D70)," ","-"))))</f>
        <v>0</v>
      </c>
      <c r="G70" s="9">
        <f>'01_Input_Raw_Products'!C70</f>
        <v>0</v>
      </c>
      <c r="H70" s="9" cm="1">
        <f t="array" ref="H70">IF('01_Input_Raw_Products'!H70&lt;&gt;"",'01_Input_Raw_Products'!H70,IFERROR(_xlfn.XLOOKUP('01_Input_Raw_Products'!F70,'10_Master_Gem_Types'!A:A,'10_Master_Gem_Types'!D:D),""))</f>
        <v>0</v>
      </c>
      <c r="I70" s="7">
        <f>IF('01_Input_Raw_Products'!N70&lt;&gt;"",'01_Input_Raw_Products'!N70,IF('01_Input_Raw_Products'!O70&lt;&gt;"",'01_Input_Raw_Products'!O70*0.91,""))</f>
        <v>0</v>
      </c>
      <c r="J70" s="9" cm="1">
        <f t="array" ref="J70">IFERROR(_xlfn.XLOOKUP('01_Input_Raw_Products'!F70,'10_Master_Gem_Types'!A:A,'10_Master_Gem_Types'!N:N),"")</f>
        <v>0</v>
      </c>
      <c r="K70" s="9" cm="1">
        <f t="array" ref="K70">IF('01_Input_Raw_Products'!J70&lt;&gt;"",'01_Input_Raw_Products'!J70,IFERROR(_xlfn.XLOOKUP('01_Input_Raw_Products'!F70,'10_Master_Gem_Types'!A:A,'10_Master_Gem_Types'!E:E),""))</f>
        <v>0</v>
      </c>
      <c r="L70" s="9">
        <f>'01_Input_Raw_Products'!P70</f>
        <v>0</v>
      </c>
      <c r="M70" s="9" cm="1">
        <f t="array" ref="M70">IFERROR(_xlfn.XLOOKUP('01_Input_Raw_Products'!K70,'12_Color_Mapping'!A:A,'12_Color_Mapping'!B:B),IFERROR(_xlfn.XLOOKUP('01_Input_Raw_Products'!F70,'10_Master_Gem_Types'!A:A,'10_Master_Gem_Types'!F:F),""))</f>
        <v>0</v>
      </c>
      <c r="N70" s="9">
        <f>IF(C70="","",IF('01_Input_Raw_Products'!F70&lt;&gt;"",'01_Input_Raw_Products'!F70,'01_Input_Raw_Products'!D70))</f>
        <v>0</v>
      </c>
      <c r="O70" s="9">
        <f>IF(C70="","","Catalog Automation")</f>
        <v>0</v>
      </c>
      <c r="P70" s="9">
        <f>'01_Input_Raw_Products'!U70</f>
        <v>0</v>
      </c>
      <c r="Q70" s="7">
        <f>IF('01_Input_Raw_Products'!O70&lt;&gt;"",'01_Input_Raw_Products'!O70,IF('01_Input_Raw_Products'!N70&lt;&gt;"",'01_Input_Raw_Products'!N70*1.1,""))</f>
        <v>0</v>
      </c>
      <c r="R70" s="9">
        <f>'01_Input_Raw_Products'!S70</f>
        <v>0</v>
      </c>
      <c r="S70" s="9" cm="1">
        <f t="array" ref="S70">IFERROR(_xlfn.XLOOKUP('01_Input_Raw_Products'!F70,'10_Master_Gem_Types'!A:A,'10_Master_Gem_Types'!H:H),"")</f>
        <v>0</v>
      </c>
      <c r="T70" s="8">
        <f>'01_Input_Raw_Products'!Q70</f>
        <v>0</v>
      </c>
      <c r="U70" s="8">
        <f>'01_Input_Raw_Products'!R70</f>
        <v>0</v>
      </c>
      <c r="V70" s="7">
        <f>I70</f>
        <v>0</v>
      </c>
      <c r="W70" s="9" cm="1">
        <f t="array" ref="W70">IF('01_Input_Raw_Products'!G70&lt;&gt;"",'01_Input_Raw_Products'!G70,IFERROR(_xlfn.XLOOKUP('01_Input_Raw_Products'!F70,'10_Master_Gem_Types'!A:A,'10_Master_Gem_Types'!L:L),""))</f>
        <v>0</v>
      </c>
      <c r="X70" s="9" cm="1">
        <f t="array" ref="X70">IFERROR(_xlfn.XLOOKUP('01_Input_Raw_Products'!F70,'10_Master_Gem_Types'!A:A,'10_Master_Gem_Types'!J:J),"")</f>
        <v>0</v>
      </c>
      <c r="Y70" s="9" cm="1">
        <f t="array" ref="Y70">IFERROR(_xlfn.XLOOKUP('01_Input_Raw_Products'!F70,'10_Master_Gem_Types'!A:A,'10_Master_Gem_Types'!I:I),"")</f>
        <v>0</v>
      </c>
      <c r="Z70" s="9" cm="1">
        <f t="array" ref="Z70">IFERROR(_xlfn.XLOOKUP('01_Input_Raw_Products'!L70,'13_Certification_Stickers'!A:A,'13_Certification_Stickers'!C:C),"")</f>
        <v>0</v>
      </c>
      <c r="AA70" s="9" cm="1">
        <f t="array" ref="AA70">IFERROR(_xlfn.XLOOKUP('01_Input_Raw_Products'!S70,'14_Shipping_Rules'!A:A,'14_Shipping_Rules'!B:B),"")</f>
        <v>0</v>
      </c>
      <c r="AB70" s="9" cm="1">
        <f t="array" ref="AB70">IFERROR(_xlfn.XLOOKUP('01_Input_Raw_Products'!D70,'16_Astro_Flags'!A:A,'16_Astro_Flags'!B:B),"")</f>
        <v>0</v>
      </c>
      <c r="AC70" s="9">
        <f>IF(C70="","","Catalog, Search")</f>
        <v>0</v>
      </c>
      <c r="AD70" s="9">
        <f>IF(C70="","",IF(OR(F70="",J70="",M70="",S70="",Y70=""),"Manual Review","Ready"))</f>
        <v>0</v>
      </c>
      <c r="AE70" s="9">
        <f>IF(C70="","",TEXTJOIN("; ",TRUE,IF(F70="","Missing url_key",""),IF(J70="","Missing classification",""),IF(M70="","Missing j_colour",""),IF(S70="","Missing hsn_code",""),IF(Y70="","Missing tax_class_id","")))</f>
        <v>0</v>
      </c>
    </row>
    <row r="71" spans="1:31">
      <c r="A71" s="9">
        <f>IF('01_Input_Raw_Products'!B71&lt;&gt;"",20,"")</f>
        <v>0</v>
      </c>
      <c r="B71" s="9" cm="1">
        <f t="array" ref="B71">IF('01_Input_Raw_Products'!M71&lt;&gt;"",'01_Input_Raw_Products'!M71,IFERROR(_xlfn.XLOOKUP('01_Input_Raw_Products'!F71,'10_Master_Gem_Types'!A:A,'10_Master_Gem_Types'!K:K),""))</f>
        <v>0</v>
      </c>
      <c r="C71" s="9">
        <f>'01_Input_Raw_Products'!B71</f>
        <v>0</v>
      </c>
      <c r="D71" s="9">
        <f>IF(C71="","",TEXT(I71,"0.00")&amp;" Ct "&amp;IF('01_Input_Raw_Products'!F71&lt;&gt;"",'01_Input_Raw_Products'!F71,'01_Input_Raw_Products'!D71)&amp;" "&amp;'01_Input_Raw_Products'!I71)</f>
        <v>0</v>
      </c>
      <c r="E71" s="9">
        <f>IF(C71="","",D71&amp;" | GemPundit")</f>
        <v>0</v>
      </c>
      <c r="F71" s="9" cm="1">
        <f t="array" ref="F71">IF('01_Input_Raw_Products'!X71&lt;&gt;"",'01_Input_Raw_Products'!X71,IFERROR(_xlfn.XLOOKUP('01_Input_Raw_Products'!F71,'10_Master_Gem_Types'!A:A,'10_Master_Gem_Types'!O:O),LOWER(SUBSTITUTE(IF('01_Input_Raw_Products'!F71&lt;&gt;"",'01_Input_Raw_Products'!F71,'01_Input_Raw_Products'!D71)," ","-"))))</f>
        <v>0</v>
      </c>
      <c r="G71" s="9">
        <f>'01_Input_Raw_Products'!C71</f>
        <v>0</v>
      </c>
      <c r="H71" s="9" cm="1">
        <f t="array" ref="H71">IF('01_Input_Raw_Products'!H71&lt;&gt;"",'01_Input_Raw_Products'!H71,IFERROR(_xlfn.XLOOKUP('01_Input_Raw_Products'!F71,'10_Master_Gem_Types'!A:A,'10_Master_Gem_Types'!D:D),""))</f>
        <v>0</v>
      </c>
      <c r="I71" s="7">
        <f>IF('01_Input_Raw_Products'!N71&lt;&gt;"",'01_Input_Raw_Products'!N71,IF('01_Input_Raw_Products'!O71&lt;&gt;"",'01_Input_Raw_Products'!O71*0.91,""))</f>
        <v>0</v>
      </c>
      <c r="J71" s="9" cm="1">
        <f t="array" ref="J71">IFERROR(_xlfn.XLOOKUP('01_Input_Raw_Products'!F71,'10_Master_Gem_Types'!A:A,'10_Master_Gem_Types'!N:N),"")</f>
        <v>0</v>
      </c>
      <c r="K71" s="9" cm="1">
        <f t="array" ref="K71">IF('01_Input_Raw_Products'!J71&lt;&gt;"",'01_Input_Raw_Products'!J71,IFERROR(_xlfn.XLOOKUP('01_Input_Raw_Products'!F71,'10_Master_Gem_Types'!A:A,'10_Master_Gem_Types'!E:E),""))</f>
        <v>0</v>
      </c>
      <c r="L71" s="9">
        <f>'01_Input_Raw_Products'!P71</f>
        <v>0</v>
      </c>
      <c r="M71" s="9" cm="1">
        <f t="array" ref="M71">IFERROR(_xlfn.XLOOKUP('01_Input_Raw_Products'!K71,'12_Color_Mapping'!A:A,'12_Color_Mapping'!B:B),IFERROR(_xlfn.XLOOKUP('01_Input_Raw_Products'!F71,'10_Master_Gem_Types'!A:A,'10_Master_Gem_Types'!F:F),""))</f>
        <v>0</v>
      </c>
      <c r="N71" s="9">
        <f>IF(C71="","",IF('01_Input_Raw_Products'!F71&lt;&gt;"",'01_Input_Raw_Products'!F71,'01_Input_Raw_Products'!D71))</f>
        <v>0</v>
      </c>
      <c r="O71" s="9">
        <f>IF(C71="","","Catalog Automation")</f>
        <v>0</v>
      </c>
      <c r="P71" s="9">
        <f>'01_Input_Raw_Products'!U71</f>
        <v>0</v>
      </c>
      <c r="Q71" s="7">
        <f>IF('01_Input_Raw_Products'!O71&lt;&gt;"",'01_Input_Raw_Products'!O71,IF('01_Input_Raw_Products'!N71&lt;&gt;"",'01_Input_Raw_Products'!N71*1.1,""))</f>
        <v>0</v>
      </c>
      <c r="R71" s="9">
        <f>'01_Input_Raw_Products'!S71</f>
        <v>0</v>
      </c>
      <c r="S71" s="9" cm="1">
        <f t="array" ref="S71">IFERROR(_xlfn.XLOOKUP('01_Input_Raw_Products'!F71,'10_Master_Gem_Types'!A:A,'10_Master_Gem_Types'!H:H),"")</f>
        <v>0</v>
      </c>
      <c r="T71" s="8">
        <f>'01_Input_Raw_Products'!Q71</f>
        <v>0</v>
      </c>
      <c r="U71" s="8">
        <f>'01_Input_Raw_Products'!R71</f>
        <v>0</v>
      </c>
      <c r="V71" s="7">
        <f>I71</f>
        <v>0</v>
      </c>
      <c r="W71" s="9" cm="1">
        <f t="array" ref="W71">IF('01_Input_Raw_Products'!G71&lt;&gt;"",'01_Input_Raw_Products'!G71,IFERROR(_xlfn.XLOOKUP('01_Input_Raw_Products'!F71,'10_Master_Gem_Types'!A:A,'10_Master_Gem_Types'!L:L),""))</f>
        <v>0</v>
      </c>
      <c r="X71" s="9" cm="1">
        <f t="array" ref="X71">IFERROR(_xlfn.XLOOKUP('01_Input_Raw_Products'!F71,'10_Master_Gem_Types'!A:A,'10_Master_Gem_Types'!J:J),"")</f>
        <v>0</v>
      </c>
      <c r="Y71" s="9" cm="1">
        <f t="array" ref="Y71">IFERROR(_xlfn.XLOOKUP('01_Input_Raw_Products'!F71,'10_Master_Gem_Types'!A:A,'10_Master_Gem_Types'!I:I),"")</f>
        <v>0</v>
      </c>
      <c r="Z71" s="9" cm="1">
        <f t="array" ref="Z71">IFERROR(_xlfn.XLOOKUP('01_Input_Raw_Products'!L71,'13_Certification_Stickers'!A:A,'13_Certification_Stickers'!C:C),"")</f>
        <v>0</v>
      </c>
      <c r="AA71" s="9" cm="1">
        <f t="array" ref="AA71">IFERROR(_xlfn.XLOOKUP('01_Input_Raw_Products'!S71,'14_Shipping_Rules'!A:A,'14_Shipping_Rules'!B:B),"")</f>
        <v>0</v>
      </c>
      <c r="AB71" s="9" cm="1">
        <f t="array" ref="AB71">IFERROR(_xlfn.XLOOKUP('01_Input_Raw_Products'!D71,'16_Astro_Flags'!A:A,'16_Astro_Flags'!B:B),"")</f>
        <v>0</v>
      </c>
      <c r="AC71" s="9">
        <f>IF(C71="","","Catalog, Search")</f>
        <v>0</v>
      </c>
      <c r="AD71" s="9">
        <f>IF(C71="","",IF(OR(F71="",J71="",M71="",S71="",Y71=""),"Manual Review","Ready"))</f>
        <v>0</v>
      </c>
      <c r="AE71" s="9">
        <f>IF(C71="","",TEXTJOIN("; ",TRUE,IF(F71="","Missing url_key",""),IF(J71="","Missing classification",""),IF(M71="","Missing j_colour",""),IF(S71="","Missing hsn_code",""),IF(Y71="","Missing tax_class_id","")))</f>
        <v>0</v>
      </c>
    </row>
    <row r="72" spans="1:31">
      <c r="A72" s="9">
        <f>IF('01_Input_Raw_Products'!B72&lt;&gt;"",20,"")</f>
        <v>0</v>
      </c>
      <c r="B72" s="9" cm="1">
        <f t="array" ref="B72">IF('01_Input_Raw_Products'!M72&lt;&gt;"",'01_Input_Raw_Products'!M72,IFERROR(_xlfn.XLOOKUP('01_Input_Raw_Products'!F72,'10_Master_Gem_Types'!A:A,'10_Master_Gem_Types'!K:K),""))</f>
        <v>0</v>
      </c>
      <c r="C72" s="9">
        <f>'01_Input_Raw_Products'!B72</f>
        <v>0</v>
      </c>
      <c r="D72" s="9">
        <f>IF(C72="","",TEXT(I72,"0.00")&amp;" Ct "&amp;IF('01_Input_Raw_Products'!F72&lt;&gt;"",'01_Input_Raw_Products'!F72,'01_Input_Raw_Products'!D72)&amp;" "&amp;'01_Input_Raw_Products'!I72)</f>
        <v>0</v>
      </c>
      <c r="E72" s="9">
        <f>IF(C72="","",D72&amp;" | GemPundit")</f>
        <v>0</v>
      </c>
      <c r="F72" s="9" cm="1">
        <f t="array" ref="F72">IF('01_Input_Raw_Products'!X72&lt;&gt;"",'01_Input_Raw_Products'!X72,IFERROR(_xlfn.XLOOKUP('01_Input_Raw_Products'!F72,'10_Master_Gem_Types'!A:A,'10_Master_Gem_Types'!O:O),LOWER(SUBSTITUTE(IF('01_Input_Raw_Products'!F72&lt;&gt;"",'01_Input_Raw_Products'!F72,'01_Input_Raw_Products'!D72)," ","-"))))</f>
        <v>0</v>
      </c>
      <c r="G72" s="9">
        <f>'01_Input_Raw_Products'!C72</f>
        <v>0</v>
      </c>
      <c r="H72" s="9" cm="1">
        <f t="array" ref="H72">IF('01_Input_Raw_Products'!H72&lt;&gt;"",'01_Input_Raw_Products'!H72,IFERROR(_xlfn.XLOOKUP('01_Input_Raw_Products'!F72,'10_Master_Gem_Types'!A:A,'10_Master_Gem_Types'!D:D),""))</f>
        <v>0</v>
      </c>
      <c r="I72" s="7">
        <f>IF('01_Input_Raw_Products'!N72&lt;&gt;"",'01_Input_Raw_Products'!N72,IF('01_Input_Raw_Products'!O72&lt;&gt;"",'01_Input_Raw_Products'!O72*0.91,""))</f>
        <v>0</v>
      </c>
      <c r="J72" s="9" cm="1">
        <f t="array" ref="J72">IFERROR(_xlfn.XLOOKUP('01_Input_Raw_Products'!F72,'10_Master_Gem_Types'!A:A,'10_Master_Gem_Types'!N:N),"")</f>
        <v>0</v>
      </c>
      <c r="K72" s="9" cm="1">
        <f t="array" ref="K72">IF('01_Input_Raw_Products'!J72&lt;&gt;"",'01_Input_Raw_Products'!J72,IFERROR(_xlfn.XLOOKUP('01_Input_Raw_Products'!F72,'10_Master_Gem_Types'!A:A,'10_Master_Gem_Types'!E:E),""))</f>
        <v>0</v>
      </c>
      <c r="L72" s="9">
        <f>'01_Input_Raw_Products'!P72</f>
        <v>0</v>
      </c>
      <c r="M72" s="9" cm="1">
        <f t="array" ref="M72">IFERROR(_xlfn.XLOOKUP('01_Input_Raw_Products'!K72,'12_Color_Mapping'!A:A,'12_Color_Mapping'!B:B),IFERROR(_xlfn.XLOOKUP('01_Input_Raw_Products'!F72,'10_Master_Gem_Types'!A:A,'10_Master_Gem_Types'!F:F),""))</f>
        <v>0</v>
      </c>
      <c r="N72" s="9">
        <f>IF(C72="","",IF('01_Input_Raw_Products'!F72&lt;&gt;"",'01_Input_Raw_Products'!F72,'01_Input_Raw_Products'!D72))</f>
        <v>0</v>
      </c>
      <c r="O72" s="9">
        <f>IF(C72="","","Catalog Automation")</f>
        <v>0</v>
      </c>
      <c r="P72" s="9">
        <f>'01_Input_Raw_Products'!U72</f>
        <v>0</v>
      </c>
      <c r="Q72" s="7">
        <f>IF('01_Input_Raw_Products'!O72&lt;&gt;"",'01_Input_Raw_Products'!O72,IF('01_Input_Raw_Products'!N72&lt;&gt;"",'01_Input_Raw_Products'!N72*1.1,""))</f>
        <v>0</v>
      </c>
      <c r="R72" s="9">
        <f>'01_Input_Raw_Products'!S72</f>
        <v>0</v>
      </c>
      <c r="S72" s="9" cm="1">
        <f t="array" ref="S72">IFERROR(_xlfn.XLOOKUP('01_Input_Raw_Products'!F72,'10_Master_Gem_Types'!A:A,'10_Master_Gem_Types'!H:H),"")</f>
        <v>0</v>
      </c>
      <c r="T72" s="8">
        <f>'01_Input_Raw_Products'!Q72</f>
        <v>0</v>
      </c>
      <c r="U72" s="8">
        <f>'01_Input_Raw_Products'!R72</f>
        <v>0</v>
      </c>
      <c r="V72" s="7">
        <f>I72</f>
        <v>0</v>
      </c>
      <c r="W72" s="9" cm="1">
        <f t="array" ref="W72">IF('01_Input_Raw_Products'!G72&lt;&gt;"",'01_Input_Raw_Products'!G72,IFERROR(_xlfn.XLOOKUP('01_Input_Raw_Products'!F72,'10_Master_Gem_Types'!A:A,'10_Master_Gem_Types'!L:L),""))</f>
        <v>0</v>
      </c>
      <c r="X72" s="9" cm="1">
        <f t="array" ref="X72">IFERROR(_xlfn.XLOOKUP('01_Input_Raw_Products'!F72,'10_Master_Gem_Types'!A:A,'10_Master_Gem_Types'!J:J),"")</f>
        <v>0</v>
      </c>
      <c r="Y72" s="9" cm="1">
        <f t="array" ref="Y72">IFERROR(_xlfn.XLOOKUP('01_Input_Raw_Products'!F72,'10_Master_Gem_Types'!A:A,'10_Master_Gem_Types'!I:I),"")</f>
        <v>0</v>
      </c>
      <c r="Z72" s="9" cm="1">
        <f t="array" ref="Z72">IFERROR(_xlfn.XLOOKUP('01_Input_Raw_Products'!L72,'13_Certification_Stickers'!A:A,'13_Certification_Stickers'!C:C),"")</f>
        <v>0</v>
      </c>
      <c r="AA72" s="9" cm="1">
        <f t="array" ref="AA72">IFERROR(_xlfn.XLOOKUP('01_Input_Raw_Products'!S72,'14_Shipping_Rules'!A:A,'14_Shipping_Rules'!B:B),"")</f>
        <v>0</v>
      </c>
      <c r="AB72" s="9" cm="1">
        <f t="array" ref="AB72">IFERROR(_xlfn.XLOOKUP('01_Input_Raw_Products'!D72,'16_Astro_Flags'!A:A,'16_Astro_Flags'!B:B),"")</f>
        <v>0</v>
      </c>
      <c r="AC72" s="9">
        <f>IF(C72="","","Catalog, Search")</f>
        <v>0</v>
      </c>
      <c r="AD72" s="9">
        <f>IF(C72="","",IF(OR(F72="",J72="",M72="",S72="",Y72=""),"Manual Review","Ready"))</f>
        <v>0</v>
      </c>
      <c r="AE72" s="9">
        <f>IF(C72="","",TEXTJOIN("; ",TRUE,IF(F72="","Missing url_key",""),IF(J72="","Missing classification",""),IF(M72="","Missing j_colour",""),IF(S72="","Missing hsn_code",""),IF(Y72="","Missing tax_class_id","")))</f>
        <v>0</v>
      </c>
    </row>
    <row r="73" spans="1:31">
      <c r="A73" s="9">
        <f>IF('01_Input_Raw_Products'!B73&lt;&gt;"",20,"")</f>
        <v>0</v>
      </c>
      <c r="B73" s="9" cm="1">
        <f t="array" ref="B73">IF('01_Input_Raw_Products'!M73&lt;&gt;"",'01_Input_Raw_Products'!M73,IFERROR(_xlfn.XLOOKUP('01_Input_Raw_Products'!F73,'10_Master_Gem_Types'!A:A,'10_Master_Gem_Types'!K:K),""))</f>
        <v>0</v>
      </c>
      <c r="C73" s="9">
        <f>'01_Input_Raw_Products'!B73</f>
        <v>0</v>
      </c>
      <c r="D73" s="9">
        <f>IF(C73="","",TEXT(I73,"0.00")&amp;" Ct "&amp;IF('01_Input_Raw_Products'!F73&lt;&gt;"",'01_Input_Raw_Products'!F73,'01_Input_Raw_Products'!D73)&amp;" "&amp;'01_Input_Raw_Products'!I73)</f>
        <v>0</v>
      </c>
      <c r="E73" s="9">
        <f>IF(C73="","",D73&amp;" | GemPundit")</f>
        <v>0</v>
      </c>
      <c r="F73" s="9" cm="1">
        <f t="array" ref="F73">IF('01_Input_Raw_Products'!X73&lt;&gt;"",'01_Input_Raw_Products'!X73,IFERROR(_xlfn.XLOOKUP('01_Input_Raw_Products'!F73,'10_Master_Gem_Types'!A:A,'10_Master_Gem_Types'!O:O),LOWER(SUBSTITUTE(IF('01_Input_Raw_Products'!F73&lt;&gt;"",'01_Input_Raw_Products'!F73,'01_Input_Raw_Products'!D73)," ","-"))))</f>
        <v>0</v>
      </c>
      <c r="G73" s="9">
        <f>'01_Input_Raw_Products'!C73</f>
        <v>0</v>
      </c>
      <c r="H73" s="9" cm="1">
        <f t="array" ref="H73">IF('01_Input_Raw_Products'!H73&lt;&gt;"",'01_Input_Raw_Products'!H73,IFERROR(_xlfn.XLOOKUP('01_Input_Raw_Products'!F73,'10_Master_Gem_Types'!A:A,'10_Master_Gem_Types'!D:D),""))</f>
        <v>0</v>
      </c>
      <c r="I73" s="7">
        <f>IF('01_Input_Raw_Products'!N73&lt;&gt;"",'01_Input_Raw_Products'!N73,IF('01_Input_Raw_Products'!O73&lt;&gt;"",'01_Input_Raw_Products'!O73*0.91,""))</f>
        <v>0</v>
      </c>
      <c r="J73" s="9" cm="1">
        <f t="array" ref="J73">IFERROR(_xlfn.XLOOKUP('01_Input_Raw_Products'!F73,'10_Master_Gem_Types'!A:A,'10_Master_Gem_Types'!N:N),"")</f>
        <v>0</v>
      </c>
      <c r="K73" s="9" cm="1">
        <f t="array" ref="K73">IF('01_Input_Raw_Products'!J73&lt;&gt;"",'01_Input_Raw_Products'!J73,IFERROR(_xlfn.XLOOKUP('01_Input_Raw_Products'!F73,'10_Master_Gem_Types'!A:A,'10_Master_Gem_Types'!E:E),""))</f>
        <v>0</v>
      </c>
      <c r="L73" s="9">
        <f>'01_Input_Raw_Products'!P73</f>
        <v>0</v>
      </c>
      <c r="M73" s="9" cm="1">
        <f t="array" ref="M73">IFERROR(_xlfn.XLOOKUP('01_Input_Raw_Products'!K73,'12_Color_Mapping'!A:A,'12_Color_Mapping'!B:B),IFERROR(_xlfn.XLOOKUP('01_Input_Raw_Products'!F73,'10_Master_Gem_Types'!A:A,'10_Master_Gem_Types'!F:F),""))</f>
        <v>0</v>
      </c>
      <c r="N73" s="9">
        <f>IF(C73="","",IF('01_Input_Raw_Products'!F73&lt;&gt;"",'01_Input_Raw_Products'!F73,'01_Input_Raw_Products'!D73))</f>
        <v>0</v>
      </c>
      <c r="O73" s="9">
        <f>IF(C73="","","Catalog Automation")</f>
        <v>0</v>
      </c>
      <c r="P73" s="9">
        <f>'01_Input_Raw_Products'!U73</f>
        <v>0</v>
      </c>
      <c r="Q73" s="7">
        <f>IF('01_Input_Raw_Products'!O73&lt;&gt;"",'01_Input_Raw_Products'!O73,IF('01_Input_Raw_Products'!N73&lt;&gt;"",'01_Input_Raw_Products'!N73*1.1,""))</f>
        <v>0</v>
      </c>
      <c r="R73" s="9">
        <f>'01_Input_Raw_Products'!S73</f>
        <v>0</v>
      </c>
      <c r="S73" s="9" cm="1">
        <f t="array" ref="S73">IFERROR(_xlfn.XLOOKUP('01_Input_Raw_Products'!F73,'10_Master_Gem_Types'!A:A,'10_Master_Gem_Types'!H:H),"")</f>
        <v>0</v>
      </c>
      <c r="T73" s="8">
        <f>'01_Input_Raw_Products'!Q73</f>
        <v>0</v>
      </c>
      <c r="U73" s="8">
        <f>'01_Input_Raw_Products'!R73</f>
        <v>0</v>
      </c>
      <c r="V73" s="7">
        <f>I73</f>
        <v>0</v>
      </c>
      <c r="W73" s="9" cm="1">
        <f t="array" ref="W73">IF('01_Input_Raw_Products'!G73&lt;&gt;"",'01_Input_Raw_Products'!G73,IFERROR(_xlfn.XLOOKUP('01_Input_Raw_Products'!F73,'10_Master_Gem_Types'!A:A,'10_Master_Gem_Types'!L:L),""))</f>
        <v>0</v>
      </c>
      <c r="X73" s="9" cm="1">
        <f t="array" ref="X73">IFERROR(_xlfn.XLOOKUP('01_Input_Raw_Products'!F73,'10_Master_Gem_Types'!A:A,'10_Master_Gem_Types'!J:J),"")</f>
        <v>0</v>
      </c>
      <c r="Y73" s="9" cm="1">
        <f t="array" ref="Y73">IFERROR(_xlfn.XLOOKUP('01_Input_Raw_Products'!F73,'10_Master_Gem_Types'!A:A,'10_Master_Gem_Types'!I:I),"")</f>
        <v>0</v>
      </c>
      <c r="Z73" s="9" cm="1">
        <f t="array" ref="Z73">IFERROR(_xlfn.XLOOKUP('01_Input_Raw_Products'!L73,'13_Certification_Stickers'!A:A,'13_Certification_Stickers'!C:C),"")</f>
        <v>0</v>
      </c>
      <c r="AA73" s="9" cm="1">
        <f t="array" ref="AA73">IFERROR(_xlfn.XLOOKUP('01_Input_Raw_Products'!S73,'14_Shipping_Rules'!A:A,'14_Shipping_Rules'!B:B),"")</f>
        <v>0</v>
      </c>
      <c r="AB73" s="9" cm="1">
        <f t="array" ref="AB73">IFERROR(_xlfn.XLOOKUP('01_Input_Raw_Products'!D73,'16_Astro_Flags'!A:A,'16_Astro_Flags'!B:B),"")</f>
        <v>0</v>
      </c>
      <c r="AC73" s="9">
        <f>IF(C73="","","Catalog, Search")</f>
        <v>0</v>
      </c>
      <c r="AD73" s="9">
        <f>IF(C73="","",IF(OR(F73="",J73="",M73="",S73="",Y73=""),"Manual Review","Ready"))</f>
        <v>0</v>
      </c>
      <c r="AE73" s="9">
        <f>IF(C73="","",TEXTJOIN("; ",TRUE,IF(F73="","Missing url_key",""),IF(J73="","Missing classification",""),IF(M73="","Missing j_colour",""),IF(S73="","Missing hsn_code",""),IF(Y73="","Missing tax_class_id","")))</f>
        <v>0</v>
      </c>
    </row>
    <row r="74" spans="1:31">
      <c r="A74" s="9">
        <f>IF('01_Input_Raw_Products'!B74&lt;&gt;"",20,"")</f>
        <v>0</v>
      </c>
      <c r="B74" s="9" cm="1">
        <f t="array" ref="B74">IF('01_Input_Raw_Products'!M74&lt;&gt;"",'01_Input_Raw_Products'!M74,IFERROR(_xlfn.XLOOKUP('01_Input_Raw_Products'!F74,'10_Master_Gem_Types'!A:A,'10_Master_Gem_Types'!K:K),""))</f>
        <v>0</v>
      </c>
      <c r="C74" s="9">
        <f>'01_Input_Raw_Products'!B74</f>
        <v>0</v>
      </c>
      <c r="D74" s="9">
        <f>IF(C74="","",TEXT(I74,"0.00")&amp;" Ct "&amp;IF('01_Input_Raw_Products'!F74&lt;&gt;"",'01_Input_Raw_Products'!F74,'01_Input_Raw_Products'!D74)&amp;" "&amp;'01_Input_Raw_Products'!I74)</f>
        <v>0</v>
      </c>
      <c r="E74" s="9">
        <f>IF(C74="","",D74&amp;" | GemPundit")</f>
        <v>0</v>
      </c>
      <c r="F74" s="9" cm="1">
        <f t="array" ref="F74">IF('01_Input_Raw_Products'!X74&lt;&gt;"",'01_Input_Raw_Products'!X74,IFERROR(_xlfn.XLOOKUP('01_Input_Raw_Products'!F74,'10_Master_Gem_Types'!A:A,'10_Master_Gem_Types'!O:O),LOWER(SUBSTITUTE(IF('01_Input_Raw_Products'!F74&lt;&gt;"",'01_Input_Raw_Products'!F74,'01_Input_Raw_Products'!D74)," ","-"))))</f>
        <v>0</v>
      </c>
      <c r="G74" s="9">
        <f>'01_Input_Raw_Products'!C74</f>
        <v>0</v>
      </c>
      <c r="H74" s="9" cm="1">
        <f t="array" ref="H74">IF('01_Input_Raw_Products'!H74&lt;&gt;"",'01_Input_Raw_Products'!H74,IFERROR(_xlfn.XLOOKUP('01_Input_Raw_Products'!F74,'10_Master_Gem_Types'!A:A,'10_Master_Gem_Types'!D:D),""))</f>
        <v>0</v>
      </c>
      <c r="I74" s="7">
        <f>IF('01_Input_Raw_Products'!N74&lt;&gt;"",'01_Input_Raw_Products'!N74,IF('01_Input_Raw_Products'!O74&lt;&gt;"",'01_Input_Raw_Products'!O74*0.91,""))</f>
        <v>0</v>
      </c>
      <c r="J74" s="9" cm="1">
        <f t="array" ref="J74">IFERROR(_xlfn.XLOOKUP('01_Input_Raw_Products'!F74,'10_Master_Gem_Types'!A:A,'10_Master_Gem_Types'!N:N),"")</f>
        <v>0</v>
      </c>
      <c r="K74" s="9" cm="1">
        <f t="array" ref="K74">IF('01_Input_Raw_Products'!J74&lt;&gt;"",'01_Input_Raw_Products'!J74,IFERROR(_xlfn.XLOOKUP('01_Input_Raw_Products'!F74,'10_Master_Gem_Types'!A:A,'10_Master_Gem_Types'!E:E),""))</f>
        <v>0</v>
      </c>
      <c r="L74" s="9">
        <f>'01_Input_Raw_Products'!P74</f>
        <v>0</v>
      </c>
      <c r="M74" s="9" cm="1">
        <f t="array" ref="M74">IFERROR(_xlfn.XLOOKUP('01_Input_Raw_Products'!K74,'12_Color_Mapping'!A:A,'12_Color_Mapping'!B:B),IFERROR(_xlfn.XLOOKUP('01_Input_Raw_Products'!F74,'10_Master_Gem_Types'!A:A,'10_Master_Gem_Types'!F:F),""))</f>
        <v>0</v>
      </c>
      <c r="N74" s="9">
        <f>IF(C74="","",IF('01_Input_Raw_Products'!F74&lt;&gt;"",'01_Input_Raw_Products'!F74,'01_Input_Raw_Products'!D74))</f>
        <v>0</v>
      </c>
      <c r="O74" s="9">
        <f>IF(C74="","","Catalog Automation")</f>
        <v>0</v>
      </c>
      <c r="P74" s="9">
        <f>'01_Input_Raw_Products'!U74</f>
        <v>0</v>
      </c>
      <c r="Q74" s="7">
        <f>IF('01_Input_Raw_Products'!O74&lt;&gt;"",'01_Input_Raw_Products'!O74,IF('01_Input_Raw_Products'!N74&lt;&gt;"",'01_Input_Raw_Products'!N74*1.1,""))</f>
        <v>0</v>
      </c>
      <c r="R74" s="9">
        <f>'01_Input_Raw_Products'!S74</f>
        <v>0</v>
      </c>
      <c r="S74" s="9" cm="1">
        <f t="array" ref="S74">IFERROR(_xlfn.XLOOKUP('01_Input_Raw_Products'!F74,'10_Master_Gem_Types'!A:A,'10_Master_Gem_Types'!H:H),"")</f>
        <v>0</v>
      </c>
      <c r="T74" s="8">
        <f>'01_Input_Raw_Products'!Q74</f>
        <v>0</v>
      </c>
      <c r="U74" s="8">
        <f>'01_Input_Raw_Products'!R74</f>
        <v>0</v>
      </c>
      <c r="V74" s="7">
        <f>I74</f>
        <v>0</v>
      </c>
      <c r="W74" s="9" cm="1">
        <f t="array" ref="W74">IF('01_Input_Raw_Products'!G74&lt;&gt;"",'01_Input_Raw_Products'!G74,IFERROR(_xlfn.XLOOKUP('01_Input_Raw_Products'!F74,'10_Master_Gem_Types'!A:A,'10_Master_Gem_Types'!L:L),""))</f>
        <v>0</v>
      </c>
      <c r="X74" s="9" cm="1">
        <f t="array" ref="X74">IFERROR(_xlfn.XLOOKUP('01_Input_Raw_Products'!F74,'10_Master_Gem_Types'!A:A,'10_Master_Gem_Types'!J:J),"")</f>
        <v>0</v>
      </c>
      <c r="Y74" s="9" cm="1">
        <f t="array" ref="Y74">IFERROR(_xlfn.XLOOKUP('01_Input_Raw_Products'!F74,'10_Master_Gem_Types'!A:A,'10_Master_Gem_Types'!I:I),"")</f>
        <v>0</v>
      </c>
      <c r="Z74" s="9" cm="1">
        <f t="array" ref="Z74">IFERROR(_xlfn.XLOOKUP('01_Input_Raw_Products'!L74,'13_Certification_Stickers'!A:A,'13_Certification_Stickers'!C:C),"")</f>
        <v>0</v>
      </c>
      <c r="AA74" s="9" cm="1">
        <f t="array" ref="AA74">IFERROR(_xlfn.XLOOKUP('01_Input_Raw_Products'!S74,'14_Shipping_Rules'!A:A,'14_Shipping_Rules'!B:B),"")</f>
        <v>0</v>
      </c>
      <c r="AB74" s="9" cm="1">
        <f t="array" ref="AB74">IFERROR(_xlfn.XLOOKUP('01_Input_Raw_Products'!D74,'16_Astro_Flags'!A:A,'16_Astro_Flags'!B:B),"")</f>
        <v>0</v>
      </c>
      <c r="AC74" s="9">
        <f>IF(C74="","","Catalog, Search")</f>
        <v>0</v>
      </c>
      <c r="AD74" s="9">
        <f>IF(C74="","",IF(OR(F74="",J74="",M74="",S74="",Y74=""),"Manual Review","Ready"))</f>
        <v>0</v>
      </c>
      <c r="AE74" s="9">
        <f>IF(C74="","",TEXTJOIN("; ",TRUE,IF(F74="","Missing url_key",""),IF(J74="","Missing classification",""),IF(M74="","Missing j_colour",""),IF(S74="","Missing hsn_code",""),IF(Y74="","Missing tax_class_id","")))</f>
        <v>0</v>
      </c>
    </row>
    <row r="75" spans="1:31">
      <c r="A75" s="9">
        <f>IF('01_Input_Raw_Products'!B75&lt;&gt;"",20,"")</f>
        <v>0</v>
      </c>
      <c r="B75" s="9" cm="1">
        <f t="array" ref="B75">IF('01_Input_Raw_Products'!M75&lt;&gt;"",'01_Input_Raw_Products'!M75,IFERROR(_xlfn.XLOOKUP('01_Input_Raw_Products'!F75,'10_Master_Gem_Types'!A:A,'10_Master_Gem_Types'!K:K),""))</f>
        <v>0</v>
      </c>
      <c r="C75" s="9">
        <f>'01_Input_Raw_Products'!B75</f>
        <v>0</v>
      </c>
      <c r="D75" s="9">
        <f>IF(C75="","",TEXT(I75,"0.00")&amp;" Ct "&amp;IF('01_Input_Raw_Products'!F75&lt;&gt;"",'01_Input_Raw_Products'!F75,'01_Input_Raw_Products'!D75)&amp;" "&amp;'01_Input_Raw_Products'!I75)</f>
        <v>0</v>
      </c>
      <c r="E75" s="9">
        <f>IF(C75="","",D75&amp;" | GemPundit")</f>
        <v>0</v>
      </c>
      <c r="F75" s="9" cm="1">
        <f t="array" ref="F75">IF('01_Input_Raw_Products'!X75&lt;&gt;"",'01_Input_Raw_Products'!X75,IFERROR(_xlfn.XLOOKUP('01_Input_Raw_Products'!F75,'10_Master_Gem_Types'!A:A,'10_Master_Gem_Types'!O:O),LOWER(SUBSTITUTE(IF('01_Input_Raw_Products'!F75&lt;&gt;"",'01_Input_Raw_Products'!F75,'01_Input_Raw_Products'!D75)," ","-"))))</f>
        <v>0</v>
      </c>
      <c r="G75" s="9">
        <f>'01_Input_Raw_Products'!C75</f>
        <v>0</v>
      </c>
      <c r="H75" s="9" cm="1">
        <f t="array" ref="H75">IF('01_Input_Raw_Products'!H75&lt;&gt;"",'01_Input_Raw_Products'!H75,IFERROR(_xlfn.XLOOKUP('01_Input_Raw_Products'!F75,'10_Master_Gem_Types'!A:A,'10_Master_Gem_Types'!D:D),""))</f>
        <v>0</v>
      </c>
      <c r="I75" s="7">
        <f>IF('01_Input_Raw_Products'!N75&lt;&gt;"",'01_Input_Raw_Products'!N75,IF('01_Input_Raw_Products'!O75&lt;&gt;"",'01_Input_Raw_Products'!O75*0.91,""))</f>
        <v>0</v>
      </c>
      <c r="J75" s="9" cm="1">
        <f t="array" ref="J75">IFERROR(_xlfn.XLOOKUP('01_Input_Raw_Products'!F75,'10_Master_Gem_Types'!A:A,'10_Master_Gem_Types'!N:N),"")</f>
        <v>0</v>
      </c>
      <c r="K75" s="9" cm="1">
        <f t="array" ref="K75">IF('01_Input_Raw_Products'!J75&lt;&gt;"",'01_Input_Raw_Products'!J75,IFERROR(_xlfn.XLOOKUP('01_Input_Raw_Products'!F75,'10_Master_Gem_Types'!A:A,'10_Master_Gem_Types'!E:E),""))</f>
        <v>0</v>
      </c>
      <c r="L75" s="9">
        <f>'01_Input_Raw_Products'!P75</f>
        <v>0</v>
      </c>
      <c r="M75" s="9" cm="1">
        <f t="array" ref="M75">IFERROR(_xlfn.XLOOKUP('01_Input_Raw_Products'!K75,'12_Color_Mapping'!A:A,'12_Color_Mapping'!B:B),IFERROR(_xlfn.XLOOKUP('01_Input_Raw_Products'!F75,'10_Master_Gem_Types'!A:A,'10_Master_Gem_Types'!F:F),""))</f>
        <v>0</v>
      </c>
      <c r="N75" s="9">
        <f>IF(C75="","",IF('01_Input_Raw_Products'!F75&lt;&gt;"",'01_Input_Raw_Products'!F75,'01_Input_Raw_Products'!D75))</f>
        <v>0</v>
      </c>
      <c r="O75" s="9">
        <f>IF(C75="","","Catalog Automation")</f>
        <v>0</v>
      </c>
      <c r="P75" s="9">
        <f>'01_Input_Raw_Products'!U75</f>
        <v>0</v>
      </c>
      <c r="Q75" s="7">
        <f>IF('01_Input_Raw_Products'!O75&lt;&gt;"",'01_Input_Raw_Products'!O75,IF('01_Input_Raw_Products'!N75&lt;&gt;"",'01_Input_Raw_Products'!N75*1.1,""))</f>
        <v>0</v>
      </c>
      <c r="R75" s="9">
        <f>'01_Input_Raw_Products'!S75</f>
        <v>0</v>
      </c>
      <c r="S75" s="9" cm="1">
        <f t="array" ref="S75">IFERROR(_xlfn.XLOOKUP('01_Input_Raw_Products'!F75,'10_Master_Gem_Types'!A:A,'10_Master_Gem_Types'!H:H),"")</f>
        <v>0</v>
      </c>
      <c r="T75" s="8">
        <f>'01_Input_Raw_Products'!Q75</f>
        <v>0</v>
      </c>
      <c r="U75" s="8">
        <f>'01_Input_Raw_Products'!R75</f>
        <v>0</v>
      </c>
      <c r="V75" s="7">
        <f>I75</f>
        <v>0</v>
      </c>
      <c r="W75" s="9" cm="1">
        <f t="array" ref="W75">IF('01_Input_Raw_Products'!G75&lt;&gt;"",'01_Input_Raw_Products'!G75,IFERROR(_xlfn.XLOOKUP('01_Input_Raw_Products'!F75,'10_Master_Gem_Types'!A:A,'10_Master_Gem_Types'!L:L),""))</f>
        <v>0</v>
      </c>
      <c r="X75" s="9" cm="1">
        <f t="array" ref="X75">IFERROR(_xlfn.XLOOKUP('01_Input_Raw_Products'!F75,'10_Master_Gem_Types'!A:A,'10_Master_Gem_Types'!J:J),"")</f>
        <v>0</v>
      </c>
      <c r="Y75" s="9" cm="1">
        <f t="array" ref="Y75">IFERROR(_xlfn.XLOOKUP('01_Input_Raw_Products'!F75,'10_Master_Gem_Types'!A:A,'10_Master_Gem_Types'!I:I),"")</f>
        <v>0</v>
      </c>
      <c r="Z75" s="9" cm="1">
        <f t="array" ref="Z75">IFERROR(_xlfn.XLOOKUP('01_Input_Raw_Products'!L75,'13_Certification_Stickers'!A:A,'13_Certification_Stickers'!C:C),"")</f>
        <v>0</v>
      </c>
      <c r="AA75" s="9" cm="1">
        <f t="array" ref="AA75">IFERROR(_xlfn.XLOOKUP('01_Input_Raw_Products'!S75,'14_Shipping_Rules'!A:A,'14_Shipping_Rules'!B:B),"")</f>
        <v>0</v>
      </c>
      <c r="AB75" s="9" cm="1">
        <f t="array" ref="AB75">IFERROR(_xlfn.XLOOKUP('01_Input_Raw_Products'!D75,'16_Astro_Flags'!A:A,'16_Astro_Flags'!B:B),"")</f>
        <v>0</v>
      </c>
      <c r="AC75" s="9">
        <f>IF(C75="","","Catalog, Search")</f>
        <v>0</v>
      </c>
      <c r="AD75" s="9">
        <f>IF(C75="","",IF(OR(F75="",J75="",M75="",S75="",Y75=""),"Manual Review","Ready"))</f>
        <v>0</v>
      </c>
      <c r="AE75" s="9">
        <f>IF(C75="","",TEXTJOIN("; ",TRUE,IF(F75="","Missing url_key",""),IF(J75="","Missing classification",""),IF(M75="","Missing j_colour",""),IF(S75="","Missing hsn_code",""),IF(Y75="","Missing tax_class_id","")))</f>
        <v>0</v>
      </c>
    </row>
    <row r="76" spans="1:31">
      <c r="A76" s="9">
        <f>IF('01_Input_Raw_Products'!B76&lt;&gt;"",20,"")</f>
        <v>0</v>
      </c>
      <c r="B76" s="9" cm="1">
        <f t="array" ref="B76">IF('01_Input_Raw_Products'!M76&lt;&gt;"",'01_Input_Raw_Products'!M76,IFERROR(_xlfn.XLOOKUP('01_Input_Raw_Products'!F76,'10_Master_Gem_Types'!A:A,'10_Master_Gem_Types'!K:K),""))</f>
        <v>0</v>
      </c>
      <c r="C76" s="9">
        <f>'01_Input_Raw_Products'!B76</f>
        <v>0</v>
      </c>
      <c r="D76" s="9">
        <f>IF(C76="","",TEXT(I76,"0.00")&amp;" Ct "&amp;IF('01_Input_Raw_Products'!F76&lt;&gt;"",'01_Input_Raw_Products'!F76,'01_Input_Raw_Products'!D76)&amp;" "&amp;'01_Input_Raw_Products'!I76)</f>
        <v>0</v>
      </c>
      <c r="E76" s="9">
        <f>IF(C76="","",D76&amp;" | GemPundit")</f>
        <v>0</v>
      </c>
      <c r="F76" s="9" cm="1">
        <f t="array" ref="F76">IF('01_Input_Raw_Products'!X76&lt;&gt;"",'01_Input_Raw_Products'!X76,IFERROR(_xlfn.XLOOKUP('01_Input_Raw_Products'!F76,'10_Master_Gem_Types'!A:A,'10_Master_Gem_Types'!O:O),LOWER(SUBSTITUTE(IF('01_Input_Raw_Products'!F76&lt;&gt;"",'01_Input_Raw_Products'!F76,'01_Input_Raw_Products'!D76)," ","-"))))</f>
        <v>0</v>
      </c>
      <c r="G76" s="9">
        <f>'01_Input_Raw_Products'!C76</f>
        <v>0</v>
      </c>
      <c r="H76" s="9" cm="1">
        <f t="array" ref="H76">IF('01_Input_Raw_Products'!H76&lt;&gt;"",'01_Input_Raw_Products'!H76,IFERROR(_xlfn.XLOOKUP('01_Input_Raw_Products'!F76,'10_Master_Gem_Types'!A:A,'10_Master_Gem_Types'!D:D),""))</f>
        <v>0</v>
      </c>
      <c r="I76" s="7">
        <f>IF('01_Input_Raw_Products'!N76&lt;&gt;"",'01_Input_Raw_Products'!N76,IF('01_Input_Raw_Products'!O76&lt;&gt;"",'01_Input_Raw_Products'!O76*0.91,""))</f>
        <v>0</v>
      </c>
      <c r="J76" s="9" cm="1">
        <f t="array" ref="J76">IFERROR(_xlfn.XLOOKUP('01_Input_Raw_Products'!F76,'10_Master_Gem_Types'!A:A,'10_Master_Gem_Types'!N:N),"")</f>
        <v>0</v>
      </c>
      <c r="K76" s="9" cm="1">
        <f t="array" ref="K76">IF('01_Input_Raw_Products'!J76&lt;&gt;"",'01_Input_Raw_Products'!J76,IFERROR(_xlfn.XLOOKUP('01_Input_Raw_Products'!F76,'10_Master_Gem_Types'!A:A,'10_Master_Gem_Types'!E:E),""))</f>
        <v>0</v>
      </c>
      <c r="L76" s="9">
        <f>'01_Input_Raw_Products'!P76</f>
        <v>0</v>
      </c>
      <c r="M76" s="9" cm="1">
        <f t="array" ref="M76">IFERROR(_xlfn.XLOOKUP('01_Input_Raw_Products'!K76,'12_Color_Mapping'!A:A,'12_Color_Mapping'!B:B),IFERROR(_xlfn.XLOOKUP('01_Input_Raw_Products'!F76,'10_Master_Gem_Types'!A:A,'10_Master_Gem_Types'!F:F),""))</f>
        <v>0</v>
      </c>
      <c r="N76" s="9">
        <f>IF(C76="","",IF('01_Input_Raw_Products'!F76&lt;&gt;"",'01_Input_Raw_Products'!F76,'01_Input_Raw_Products'!D76))</f>
        <v>0</v>
      </c>
      <c r="O76" s="9">
        <f>IF(C76="","","Catalog Automation")</f>
        <v>0</v>
      </c>
      <c r="P76" s="9">
        <f>'01_Input_Raw_Products'!U76</f>
        <v>0</v>
      </c>
      <c r="Q76" s="7">
        <f>IF('01_Input_Raw_Products'!O76&lt;&gt;"",'01_Input_Raw_Products'!O76,IF('01_Input_Raw_Products'!N76&lt;&gt;"",'01_Input_Raw_Products'!N76*1.1,""))</f>
        <v>0</v>
      </c>
      <c r="R76" s="9">
        <f>'01_Input_Raw_Products'!S76</f>
        <v>0</v>
      </c>
      <c r="S76" s="9" cm="1">
        <f t="array" ref="S76">IFERROR(_xlfn.XLOOKUP('01_Input_Raw_Products'!F76,'10_Master_Gem_Types'!A:A,'10_Master_Gem_Types'!H:H),"")</f>
        <v>0</v>
      </c>
      <c r="T76" s="8">
        <f>'01_Input_Raw_Products'!Q76</f>
        <v>0</v>
      </c>
      <c r="U76" s="8">
        <f>'01_Input_Raw_Products'!R76</f>
        <v>0</v>
      </c>
      <c r="V76" s="7">
        <f>I76</f>
        <v>0</v>
      </c>
      <c r="W76" s="9" cm="1">
        <f t="array" ref="W76">IF('01_Input_Raw_Products'!G76&lt;&gt;"",'01_Input_Raw_Products'!G76,IFERROR(_xlfn.XLOOKUP('01_Input_Raw_Products'!F76,'10_Master_Gem_Types'!A:A,'10_Master_Gem_Types'!L:L),""))</f>
        <v>0</v>
      </c>
      <c r="X76" s="9" cm="1">
        <f t="array" ref="X76">IFERROR(_xlfn.XLOOKUP('01_Input_Raw_Products'!F76,'10_Master_Gem_Types'!A:A,'10_Master_Gem_Types'!J:J),"")</f>
        <v>0</v>
      </c>
      <c r="Y76" s="9" cm="1">
        <f t="array" ref="Y76">IFERROR(_xlfn.XLOOKUP('01_Input_Raw_Products'!F76,'10_Master_Gem_Types'!A:A,'10_Master_Gem_Types'!I:I),"")</f>
        <v>0</v>
      </c>
      <c r="Z76" s="9" cm="1">
        <f t="array" ref="Z76">IFERROR(_xlfn.XLOOKUP('01_Input_Raw_Products'!L76,'13_Certification_Stickers'!A:A,'13_Certification_Stickers'!C:C),"")</f>
        <v>0</v>
      </c>
      <c r="AA76" s="9" cm="1">
        <f t="array" ref="AA76">IFERROR(_xlfn.XLOOKUP('01_Input_Raw_Products'!S76,'14_Shipping_Rules'!A:A,'14_Shipping_Rules'!B:B),"")</f>
        <v>0</v>
      </c>
      <c r="AB76" s="9" cm="1">
        <f t="array" ref="AB76">IFERROR(_xlfn.XLOOKUP('01_Input_Raw_Products'!D76,'16_Astro_Flags'!A:A,'16_Astro_Flags'!B:B),"")</f>
        <v>0</v>
      </c>
      <c r="AC76" s="9">
        <f>IF(C76="","","Catalog, Search")</f>
        <v>0</v>
      </c>
      <c r="AD76" s="9">
        <f>IF(C76="","",IF(OR(F76="",J76="",M76="",S76="",Y76=""),"Manual Review","Ready"))</f>
        <v>0</v>
      </c>
      <c r="AE76" s="9">
        <f>IF(C76="","",TEXTJOIN("; ",TRUE,IF(F76="","Missing url_key",""),IF(J76="","Missing classification",""),IF(M76="","Missing j_colour",""),IF(S76="","Missing hsn_code",""),IF(Y76="","Missing tax_class_id","")))</f>
        <v>0</v>
      </c>
    </row>
    <row r="77" spans="1:31">
      <c r="A77" s="9">
        <f>IF('01_Input_Raw_Products'!B77&lt;&gt;"",20,"")</f>
        <v>0</v>
      </c>
      <c r="B77" s="9" cm="1">
        <f t="array" ref="B77">IF('01_Input_Raw_Products'!M77&lt;&gt;"",'01_Input_Raw_Products'!M77,IFERROR(_xlfn.XLOOKUP('01_Input_Raw_Products'!F77,'10_Master_Gem_Types'!A:A,'10_Master_Gem_Types'!K:K),""))</f>
        <v>0</v>
      </c>
      <c r="C77" s="9">
        <f>'01_Input_Raw_Products'!B77</f>
        <v>0</v>
      </c>
      <c r="D77" s="9">
        <f>IF(C77="","",TEXT(I77,"0.00")&amp;" Ct "&amp;IF('01_Input_Raw_Products'!F77&lt;&gt;"",'01_Input_Raw_Products'!F77,'01_Input_Raw_Products'!D77)&amp;" "&amp;'01_Input_Raw_Products'!I77)</f>
        <v>0</v>
      </c>
      <c r="E77" s="9">
        <f>IF(C77="","",D77&amp;" | GemPundit")</f>
        <v>0</v>
      </c>
      <c r="F77" s="9" cm="1">
        <f t="array" ref="F77">IF('01_Input_Raw_Products'!X77&lt;&gt;"",'01_Input_Raw_Products'!X77,IFERROR(_xlfn.XLOOKUP('01_Input_Raw_Products'!F77,'10_Master_Gem_Types'!A:A,'10_Master_Gem_Types'!O:O),LOWER(SUBSTITUTE(IF('01_Input_Raw_Products'!F77&lt;&gt;"",'01_Input_Raw_Products'!F77,'01_Input_Raw_Products'!D77)," ","-"))))</f>
        <v>0</v>
      </c>
      <c r="G77" s="9">
        <f>'01_Input_Raw_Products'!C77</f>
        <v>0</v>
      </c>
      <c r="H77" s="9" cm="1">
        <f t="array" ref="H77">IF('01_Input_Raw_Products'!H77&lt;&gt;"",'01_Input_Raw_Products'!H77,IFERROR(_xlfn.XLOOKUP('01_Input_Raw_Products'!F77,'10_Master_Gem_Types'!A:A,'10_Master_Gem_Types'!D:D),""))</f>
        <v>0</v>
      </c>
      <c r="I77" s="7">
        <f>IF('01_Input_Raw_Products'!N77&lt;&gt;"",'01_Input_Raw_Products'!N77,IF('01_Input_Raw_Products'!O77&lt;&gt;"",'01_Input_Raw_Products'!O77*0.91,""))</f>
        <v>0</v>
      </c>
      <c r="J77" s="9" cm="1">
        <f t="array" ref="J77">IFERROR(_xlfn.XLOOKUP('01_Input_Raw_Products'!F77,'10_Master_Gem_Types'!A:A,'10_Master_Gem_Types'!N:N),"")</f>
        <v>0</v>
      </c>
      <c r="K77" s="9" cm="1">
        <f t="array" ref="K77">IF('01_Input_Raw_Products'!J77&lt;&gt;"",'01_Input_Raw_Products'!J77,IFERROR(_xlfn.XLOOKUP('01_Input_Raw_Products'!F77,'10_Master_Gem_Types'!A:A,'10_Master_Gem_Types'!E:E),""))</f>
        <v>0</v>
      </c>
      <c r="L77" s="9">
        <f>'01_Input_Raw_Products'!P77</f>
        <v>0</v>
      </c>
      <c r="M77" s="9" cm="1">
        <f t="array" ref="M77">IFERROR(_xlfn.XLOOKUP('01_Input_Raw_Products'!K77,'12_Color_Mapping'!A:A,'12_Color_Mapping'!B:B),IFERROR(_xlfn.XLOOKUP('01_Input_Raw_Products'!F77,'10_Master_Gem_Types'!A:A,'10_Master_Gem_Types'!F:F),""))</f>
        <v>0</v>
      </c>
      <c r="N77" s="9">
        <f>IF(C77="","",IF('01_Input_Raw_Products'!F77&lt;&gt;"",'01_Input_Raw_Products'!F77,'01_Input_Raw_Products'!D77))</f>
        <v>0</v>
      </c>
      <c r="O77" s="9">
        <f>IF(C77="","","Catalog Automation")</f>
        <v>0</v>
      </c>
      <c r="P77" s="9">
        <f>'01_Input_Raw_Products'!U77</f>
        <v>0</v>
      </c>
      <c r="Q77" s="7">
        <f>IF('01_Input_Raw_Products'!O77&lt;&gt;"",'01_Input_Raw_Products'!O77,IF('01_Input_Raw_Products'!N77&lt;&gt;"",'01_Input_Raw_Products'!N77*1.1,""))</f>
        <v>0</v>
      </c>
      <c r="R77" s="9">
        <f>'01_Input_Raw_Products'!S77</f>
        <v>0</v>
      </c>
      <c r="S77" s="9" cm="1">
        <f t="array" ref="S77">IFERROR(_xlfn.XLOOKUP('01_Input_Raw_Products'!F77,'10_Master_Gem_Types'!A:A,'10_Master_Gem_Types'!H:H),"")</f>
        <v>0</v>
      </c>
      <c r="T77" s="8">
        <f>'01_Input_Raw_Products'!Q77</f>
        <v>0</v>
      </c>
      <c r="U77" s="8">
        <f>'01_Input_Raw_Products'!R77</f>
        <v>0</v>
      </c>
      <c r="V77" s="7">
        <f>I77</f>
        <v>0</v>
      </c>
      <c r="W77" s="9" cm="1">
        <f t="array" ref="W77">IF('01_Input_Raw_Products'!G77&lt;&gt;"",'01_Input_Raw_Products'!G77,IFERROR(_xlfn.XLOOKUP('01_Input_Raw_Products'!F77,'10_Master_Gem_Types'!A:A,'10_Master_Gem_Types'!L:L),""))</f>
        <v>0</v>
      </c>
      <c r="X77" s="9" cm="1">
        <f t="array" ref="X77">IFERROR(_xlfn.XLOOKUP('01_Input_Raw_Products'!F77,'10_Master_Gem_Types'!A:A,'10_Master_Gem_Types'!J:J),"")</f>
        <v>0</v>
      </c>
      <c r="Y77" s="9" cm="1">
        <f t="array" ref="Y77">IFERROR(_xlfn.XLOOKUP('01_Input_Raw_Products'!F77,'10_Master_Gem_Types'!A:A,'10_Master_Gem_Types'!I:I),"")</f>
        <v>0</v>
      </c>
      <c r="Z77" s="9" cm="1">
        <f t="array" ref="Z77">IFERROR(_xlfn.XLOOKUP('01_Input_Raw_Products'!L77,'13_Certification_Stickers'!A:A,'13_Certification_Stickers'!C:C),"")</f>
        <v>0</v>
      </c>
      <c r="AA77" s="9" cm="1">
        <f t="array" ref="AA77">IFERROR(_xlfn.XLOOKUP('01_Input_Raw_Products'!S77,'14_Shipping_Rules'!A:A,'14_Shipping_Rules'!B:B),"")</f>
        <v>0</v>
      </c>
      <c r="AB77" s="9" cm="1">
        <f t="array" ref="AB77">IFERROR(_xlfn.XLOOKUP('01_Input_Raw_Products'!D77,'16_Astro_Flags'!A:A,'16_Astro_Flags'!B:B),"")</f>
        <v>0</v>
      </c>
      <c r="AC77" s="9">
        <f>IF(C77="","","Catalog, Search")</f>
        <v>0</v>
      </c>
      <c r="AD77" s="9">
        <f>IF(C77="","",IF(OR(F77="",J77="",M77="",S77="",Y77=""),"Manual Review","Ready"))</f>
        <v>0</v>
      </c>
      <c r="AE77" s="9">
        <f>IF(C77="","",TEXTJOIN("; ",TRUE,IF(F77="","Missing url_key",""),IF(J77="","Missing classification",""),IF(M77="","Missing j_colour",""),IF(S77="","Missing hsn_code",""),IF(Y77="","Missing tax_class_id","")))</f>
        <v>0</v>
      </c>
    </row>
    <row r="78" spans="1:31">
      <c r="A78" s="9">
        <f>IF('01_Input_Raw_Products'!B78&lt;&gt;"",20,"")</f>
        <v>0</v>
      </c>
      <c r="B78" s="9" cm="1">
        <f t="array" ref="B78">IF('01_Input_Raw_Products'!M78&lt;&gt;"",'01_Input_Raw_Products'!M78,IFERROR(_xlfn.XLOOKUP('01_Input_Raw_Products'!F78,'10_Master_Gem_Types'!A:A,'10_Master_Gem_Types'!K:K),""))</f>
        <v>0</v>
      </c>
      <c r="C78" s="9">
        <f>'01_Input_Raw_Products'!B78</f>
        <v>0</v>
      </c>
      <c r="D78" s="9">
        <f>IF(C78="","",TEXT(I78,"0.00")&amp;" Ct "&amp;IF('01_Input_Raw_Products'!F78&lt;&gt;"",'01_Input_Raw_Products'!F78,'01_Input_Raw_Products'!D78)&amp;" "&amp;'01_Input_Raw_Products'!I78)</f>
        <v>0</v>
      </c>
      <c r="E78" s="9">
        <f>IF(C78="","",D78&amp;" | GemPundit")</f>
        <v>0</v>
      </c>
      <c r="F78" s="9" cm="1">
        <f t="array" ref="F78">IF('01_Input_Raw_Products'!X78&lt;&gt;"",'01_Input_Raw_Products'!X78,IFERROR(_xlfn.XLOOKUP('01_Input_Raw_Products'!F78,'10_Master_Gem_Types'!A:A,'10_Master_Gem_Types'!O:O),LOWER(SUBSTITUTE(IF('01_Input_Raw_Products'!F78&lt;&gt;"",'01_Input_Raw_Products'!F78,'01_Input_Raw_Products'!D78)," ","-"))))</f>
        <v>0</v>
      </c>
      <c r="G78" s="9">
        <f>'01_Input_Raw_Products'!C78</f>
        <v>0</v>
      </c>
      <c r="H78" s="9" cm="1">
        <f t="array" ref="H78">IF('01_Input_Raw_Products'!H78&lt;&gt;"",'01_Input_Raw_Products'!H78,IFERROR(_xlfn.XLOOKUP('01_Input_Raw_Products'!F78,'10_Master_Gem_Types'!A:A,'10_Master_Gem_Types'!D:D),""))</f>
        <v>0</v>
      </c>
      <c r="I78" s="7">
        <f>IF('01_Input_Raw_Products'!N78&lt;&gt;"",'01_Input_Raw_Products'!N78,IF('01_Input_Raw_Products'!O78&lt;&gt;"",'01_Input_Raw_Products'!O78*0.91,""))</f>
        <v>0</v>
      </c>
      <c r="J78" s="9" cm="1">
        <f t="array" ref="J78">IFERROR(_xlfn.XLOOKUP('01_Input_Raw_Products'!F78,'10_Master_Gem_Types'!A:A,'10_Master_Gem_Types'!N:N),"")</f>
        <v>0</v>
      </c>
      <c r="K78" s="9" cm="1">
        <f t="array" ref="K78">IF('01_Input_Raw_Products'!J78&lt;&gt;"",'01_Input_Raw_Products'!J78,IFERROR(_xlfn.XLOOKUP('01_Input_Raw_Products'!F78,'10_Master_Gem_Types'!A:A,'10_Master_Gem_Types'!E:E),""))</f>
        <v>0</v>
      </c>
      <c r="L78" s="9">
        <f>'01_Input_Raw_Products'!P78</f>
        <v>0</v>
      </c>
      <c r="M78" s="9" cm="1">
        <f t="array" ref="M78">IFERROR(_xlfn.XLOOKUP('01_Input_Raw_Products'!K78,'12_Color_Mapping'!A:A,'12_Color_Mapping'!B:B),IFERROR(_xlfn.XLOOKUP('01_Input_Raw_Products'!F78,'10_Master_Gem_Types'!A:A,'10_Master_Gem_Types'!F:F),""))</f>
        <v>0</v>
      </c>
      <c r="N78" s="9">
        <f>IF(C78="","",IF('01_Input_Raw_Products'!F78&lt;&gt;"",'01_Input_Raw_Products'!F78,'01_Input_Raw_Products'!D78))</f>
        <v>0</v>
      </c>
      <c r="O78" s="9">
        <f>IF(C78="","","Catalog Automation")</f>
        <v>0</v>
      </c>
      <c r="P78" s="9">
        <f>'01_Input_Raw_Products'!U78</f>
        <v>0</v>
      </c>
      <c r="Q78" s="7">
        <f>IF('01_Input_Raw_Products'!O78&lt;&gt;"",'01_Input_Raw_Products'!O78,IF('01_Input_Raw_Products'!N78&lt;&gt;"",'01_Input_Raw_Products'!N78*1.1,""))</f>
        <v>0</v>
      </c>
      <c r="R78" s="9">
        <f>'01_Input_Raw_Products'!S78</f>
        <v>0</v>
      </c>
      <c r="S78" s="9" cm="1">
        <f t="array" ref="S78">IFERROR(_xlfn.XLOOKUP('01_Input_Raw_Products'!F78,'10_Master_Gem_Types'!A:A,'10_Master_Gem_Types'!H:H),"")</f>
        <v>0</v>
      </c>
      <c r="T78" s="8">
        <f>'01_Input_Raw_Products'!Q78</f>
        <v>0</v>
      </c>
      <c r="U78" s="8">
        <f>'01_Input_Raw_Products'!R78</f>
        <v>0</v>
      </c>
      <c r="V78" s="7">
        <f>I78</f>
        <v>0</v>
      </c>
      <c r="W78" s="9" cm="1">
        <f t="array" ref="W78">IF('01_Input_Raw_Products'!G78&lt;&gt;"",'01_Input_Raw_Products'!G78,IFERROR(_xlfn.XLOOKUP('01_Input_Raw_Products'!F78,'10_Master_Gem_Types'!A:A,'10_Master_Gem_Types'!L:L),""))</f>
        <v>0</v>
      </c>
      <c r="X78" s="9" cm="1">
        <f t="array" ref="X78">IFERROR(_xlfn.XLOOKUP('01_Input_Raw_Products'!F78,'10_Master_Gem_Types'!A:A,'10_Master_Gem_Types'!J:J),"")</f>
        <v>0</v>
      </c>
      <c r="Y78" s="9" cm="1">
        <f t="array" ref="Y78">IFERROR(_xlfn.XLOOKUP('01_Input_Raw_Products'!F78,'10_Master_Gem_Types'!A:A,'10_Master_Gem_Types'!I:I),"")</f>
        <v>0</v>
      </c>
      <c r="Z78" s="9" cm="1">
        <f t="array" ref="Z78">IFERROR(_xlfn.XLOOKUP('01_Input_Raw_Products'!L78,'13_Certification_Stickers'!A:A,'13_Certification_Stickers'!C:C),"")</f>
        <v>0</v>
      </c>
      <c r="AA78" s="9" cm="1">
        <f t="array" ref="AA78">IFERROR(_xlfn.XLOOKUP('01_Input_Raw_Products'!S78,'14_Shipping_Rules'!A:A,'14_Shipping_Rules'!B:B),"")</f>
        <v>0</v>
      </c>
      <c r="AB78" s="9" cm="1">
        <f t="array" ref="AB78">IFERROR(_xlfn.XLOOKUP('01_Input_Raw_Products'!D78,'16_Astro_Flags'!A:A,'16_Astro_Flags'!B:B),"")</f>
        <v>0</v>
      </c>
      <c r="AC78" s="9">
        <f>IF(C78="","","Catalog, Search")</f>
        <v>0</v>
      </c>
      <c r="AD78" s="9">
        <f>IF(C78="","",IF(OR(F78="",J78="",M78="",S78="",Y78=""),"Manual Review","Ready"))</f>
        <v>0</v>
      </c>
      <c r="AE78" s="9">
        <f>IF(C78="","",TEXTJOIN("; ",TRUE,IF(F78="","Missing url_key",""),IF(J78="","Missing classification",""),IF(M78="","Missing j_colour",""),IF(S78="","Missing hsn_code",""),IF(Y78="","Missing tax_class_id","")))</f>
        <v>0</v>
      </c>
    </row>
    <row r="79" spans="1:31">
      <c r="A79" s="9">
        <f>IF('01_Input_Raw_Products'!B79&lt;&gt;"",20,"")</f>
        <v>0</v>
      </c>
      <c r="B79" s="9" cm="1">
        <f t="array" ref="B79">IF('01_Input_Raw_Products'!M79&lt;&gt;"",'01_Input_Raw_Products'!M79,IFERROR(_xlfn.XLOOKUP('01_Input_Raw_Products'!F79,'10_Master_Gem_Types'!A:A,'10_Master_Gem_Types'!K:K),""))</f>
        <v>0</v>
      </c>
      <c r="C79" s="9">
        <f>'01_Input_Raw_Products'!B79</f>
        <v>0</v>
      </c>
      <c r="D79" s="9">
        <f>IF(C79="","",TEXT(I79,"0.00")&amp;" Ct "&amp;IF('01_Input_Raw_Products'!F79&lt;&gt;"",'01_Input_Raw_Products'!F79,'01_Input_Raw_Products'!D79)&amp;" "&amp;'01_Input_Raw_Products'!I79)</f>
        <v>0</v>
      </c>
      <c r="E79" s="9">
        <f>IF(C79="","",D79&amp;" | GemPundit")</f>
        <v>0</v>
      </c>
      <c r="F79" s="9" cm="1">
        <f t="array" ref="F79">IF('01_Input_Raw_Products'!X79&lt;&gt;"",'01_Input_Raw_Products'!X79,IFERROR(_xlfn.XLOOKUP('01_Input_Raw_Products'!F79,'10_Master_Gem_Types'!A:A,'10_Master_Gem_Types'!O:O),LOWER(SUBSTITUTE(IF('01_Input_Raw_Products'!F79&lt;&gt;"",'01_Input_Raw_Products'!F79,'01_Input_Raw_Products'!D79)," ","-"))))</f>
        <v>0</v>
      </c>
      <c r="G79" s="9">
        <f>'01_Input_Raw_Products'!C79</f>
        <v>0</v>
      </c>
      <c r="H79" s="9" cm="1">
        <f t="array" ref="H79">IF('01_Input_Raw_Products'!H79&lt;&gt;"",'01_Input_Raw_Products'!H79,IFERROR(_xlfn.XLOOKUP('01_Input_Raw_Products'!F79,'10_Master_Gem_Types'!A:A,'10_Master_Gem_Types'!D:D),""))</f>
        <v>0</v>
      </c>
      <c r="I79" s="7">
        <f>IF('01_Input_Raw_Products'!N79&lt;&gt;"",'01_Input_Raw_Products'!N79,IF('01_Input_Raw_Products'!O79&lt;&gt;"",'01_Input_Raw_Products'!O79*0.91,""))</f>
        <v>0</v>
      </c>
      <c r="J79" s="9" cm="1">
        <f t="array" ref="J79">IFERROR(_xlfn.XLOOKUP('01_Input_Raw_Products'!F79,'10_Master_Gem_Types'!A:A,'10_Master_Gem_Types'!N:N),"")</f>
        <v>0</v>
      </c>
      <c r="K79" s="9" cm="1">
        <f t="array" ref="K79">IF('01_Input_Raw_Products'!J79&lt;&gt;"",'01_Input_Raw_Products'!J79,IFERROR(_xlfn.XLOOKUP('01_Input_Raw_Products'!F79,'10_Master_Gem_Types'!A:A,'10_Master_Gem_Types'!E:E),""))</f>
        <v>0</v>
      </c>
      <c r="L79" s="9">
        <f>'01_Input_Raw_Products'!P79</f>
        <v>0</v>
      </c>
      <c r="M79" s="9" cm="1">
        <f t="array" ref="M79">IFERROR(_xlfn.XLOOKUP('01_Input_Raw_Products'!K79,'12_Color_Mapping'!A:A,'12_Color_Mapping'!B:B),IFERROR(_xlfn.XLOOKUP('01_Input_Raw_Products'!F79,'10_Master_Gem_Types'!A:A,'10_Master_Gem_Types'!F:F),""))</f>
        <v>0</v>
      </c>
      <c r="N79" s="9">
        <f>IF(C79="","",IF('01_Input_Raw_Products'!F79&lt;&gt;"",'01_Input_Raw_Products'!F79,'01_Input_Raw_Products'!D79))</f>
        <v>0</v>
      </c>
      <c r="O79" s="9">
        <f>IF(C79="","","Catalog Automation")</f>
        <v>0</v>
      </c>
      <c r="P79" s="9">
        <f>'01_Input_Raw_Products'!U79</f>
        <v>0</v>
      </c>
      <c r="Q79" s="7">
        <f>IF('01_Input_Raw_Products'!O79&lt;&gt;"",'01_Input_Raw_Products'!O79,IF('01_Input_Raw_Products'!N79&lt;&gt;"",'01_Input_Raw_Products'!N79*1.1,""))</f>
        <v>0</v>
      </c>
      <c r="R79" s="9">
        <f>'01_Input_Raw_Products'!S79</f>
        <v>0</v>
      </c>
      <c r="S79" s="9" cm="1">
        <f t="array" ref="S79">IFERROR(_xlfn.XLOOKUP('01_Input_Raw_Products'!F79,'10_Master_Gem_Types'!A:A,'10_Master_Gem_Types'!H:H),"")</f>
        <v>0</v>
      </c>
      <c r="T79" s="8">
        <f>'01_Input_Raw_Products'!Q79</f>
        <v>0</v>
      </c>
      <c r="U79" s="8">
        <f>'01_Input_Raw_Products'!R79</f>
        <v>0</v>
      </c>
      <c r="V79" s="7">
        <f>I79</f>
        <v>0</v>
      </c>
      <c r="W79" s="9" cm="1">
        <f t="array" ref="W79">IF('01_Input_Raw_Products'!G79&lt;&gt;"",'01_Input_Raw_Products'!G79,IFERROR(_xlfn.XLOOKUP('01_Input_Raw_Products'!F79,'10_Master_Gem_Types'!A:A,'10_Master_Gem_Types'!L:L),""))</f>
        <v>0</v>
      </c>
      <c r="X79" s="9" cm="1">
        <f t="array" ref="X79">IFERROR(_xlfn.XLOOKUP('01_Input_Raw_Products'!F79,'10_Master_Gem_Types'!A:A,'10_Master_Gem_Types'!J:J),"")</f>
        <v>0</v>
      </c>
      <c r="Y79" s="9" cm="1">
        <f t="array" ref="Y79">IFERROR(_xlfn.XLOOKUP('01_Input_Raw_Products'!F79,'10_Master_Gem_Types'!A:A,'10_Master_Gem_Types'!I:I),"")</f>
        <v>0</v>
      </c>
      <c r="Z79" s="9" cm="1">
        <f t="array" ref="Z79">IFERROR(_xlfn.XLOOKUP('01_Input_Raw_Products'!L79,'13_Certification_Stickers'!A:A,'13_Certification_Stickers'!C:C),"")</f>
        <v>0</v>
      </c>
      <c r="AA79" s="9" cm="1">
        <f t="array" ref="AA79">IFERROR(_xlfn.XLOOKUP('01_Input_Raw_Products'!S79,'14_Shipping_Rules'!A:A,'14_Shipping_Rules'!B:B),"")</f>
        <v>0</v>
      </c>
      <c r="AB79" s="9" cm="1">
        <f t="array" ref="AB79">IFERROR(_xlfn.XLOOKUP('01_Input_Raw_Products'!D79,'16_Astro_Flags'!A:A,'16_Astro_Flags'!B:B),"")</f>
        <v>0</v>
      </c>
      <c r="AC79" s="9">
        <f>IF(C79="","","Catalog, Search")</f>
        <v>0</v>
      </c>
      <c r="AD79" s="9">
        <f>IF(C79="","",IF(OR(F79="",J79="",M79="",S79="",Y79=""),"Manual Review","Ready"))</f>
        <v>0</v>
      </c>
      <c r="AE79" s="9">
        <f>IF(C79="","",TEXTJOIN("; ",TRUE,IF(F79="","Missing url_key",""),IF(J79="","Missing classification",""),IF(M79="","Missing j_colour",""),IF(S79="","Missing hsn_code",""),IF(Y79="","Missing tax_class_id","")))</f>
        <v>0</v>
      </c>
    </row>
    <row r="80" spans="1:31">
      <c r="A80" s="9">
        <f>IF('01_Input_Raw_Products'!B80&lt;&gt;"",20,"")</f>
        <v>0</v>
      </c>
      <c r="B80" s="9" cm="1">
        <f t="array" ref="B80">IF('01_Input_Raw_Products'!M80&lt;&gt;"",'01_Input_Raw_Products'!M80,IFERROR(_xlfn.XLOOKUP('01_Input_Raw_Products'!F80,'10_Master_Gem_Types'!A:A,'10_Master_Gem_Types'!K:K),""))</f>
        <v>0</v>
      </c>
      <c r="C80" s="9">
        <f>'01_Input_Raw_Products'!B80</f>
        <v>0</v>
      </c>
      <c r="D80" s="9">
        <f>IF(C80="","",TEXT(I80,"0.00")&amp;" Ct "&amp;IF('01_Input_Raw_Products'!F80&lt;&gt;"",'01_Input_Raw_Products'!F80,'01_Input_Raw_Products'!D80)&amp;" "&amp;'01_Input_Raw_Products'!I80)</f>
        <v>0</v>
      </c>
      <c r="E80" s="9">
        <f>IF(C80="","",D80&amp;" | GemPundit")</f>
        <v>0</v>
      </c>
      <c r="F80" s="9" cm="1">
        <f t="array" ref="F80">IF('01_Input_Raw_Products'!X80&lt;&gt;"",'01_Input_Raw_Products'!X80,IFERROR(_xlfn.XLOOKUP('01_Input_Raw_Products'!F80,'10_Master_Gem_Types'!A:A,'10_Master_Gem_Types'!O:O),LOWER(SUBSTITUTE(IF('01_Input_Raw_Products'!F80&lt;&gt;"",'01_Input_Raw_Products'!F80,'01_Input_Raw_Products'!D80)," ","-"))))</f>
        <v>0</v>
      </c>
      <c r="G80" s="9">
        <f>'01_Input_Raw_Products'!C80</f>
        <v>0</v>
      </c>
      <c r="H80" s="9" cm="1">
        <f t="array" ref="H80">IF('01_Input_Raw_Products'!H80&lt;&gt;"",'01_Input_Raw_Products'!H80,IFERROR(_xlfn.XLOOKUP('01_Input_Raw_Products'!F80,'10_Master_Gem_Types'!A:A,'10_Master_Gem_Types'!D:D),""))</f>
        <v>0</v>
      </c>
      <c r="I80" s="7">
        <f>IF('01_Input_Raw_Products'!N80&lt;&gt;"",'01_Input_Raw_Products'!N80,IF('01_Input_Raw_Products'!O80&lt;&gt;"",'01_Input_Raw_Products'!O80*0.91,""))</f>
        <v>0</v>
      </c>
      <c r="J80" s="9" cm="1">
        <f t="array" ref="J80">IFERROR(_xlfn.XLOOKUP('01_Input_Raw_Products'!F80,'10_Master_Gem_Types'!A:A,'10_Master_Gem_Types'!N:N),"")</f>
        <v>0</v>
      </c>
      <c r="K80" s="9" cm="1">
        <f t="array" ref="K80">IF('01_Input_Raw_Products'!J80&lt;&gt;"",'01_Input_Raw_Products'!J80,IFERROR(_xlfn.XLOOKUP('01_Input_Raw_Products'!F80,'10_Master_Gem_Types'!A:A,'10_Master_Gem_Types'!E:E),""))</f>
        <v>0</v>
      </c>
      <c r="L80" s="9">
        <f>'01_Input_Raw_Products'!P80</f>
        <v>0</v>
      </c>
      <c r="M80" s="9" cm="1">
        <f t="array" ref="M80">IFERROR(_xlfn.XLOOKUP('01_Input_Raw_Products'!K80,'12_Color_Mapping'!A:A,'12_Color_Mapping'!B:B),IFERROR(_xlfn.XLOOKUP('01_Input_Raw_Products'!F80,'10_Master_Gem_Types'!A:A,'10_Master_Gem_Types'!F:F),""))</f>
        <v>0</v>
      </c>
      <c r="N80" s="9">
        <f>IF(C80="","",IF('01_Input_Raw_Products'!F80&lt;&gt;"",'01_Input_Raw_Products'!F80,'01_Input_Raw_Products'!D80))</f>
        <v>0</v>
      </c>
      <c r="O80" s="9">
        <f>IF(C80="","","Catalog Automation")</f>
        <v>0</v>
      </c>
      <c r="P80" s="9">
        <f>'01_Input_Raw_Products'!U80</f>
        <v>0</v>
      </c>
      <c r="Q80" s="7">
        <f>IF('01_Input_Raw_Products'!O80&lt;&gt;"",'01_Input_Raw_Products'!O80,IF('01_Input_Raw_Products'!N80&lt;&gt;"",'01_Input_Raw_Products'!N80*1.1,""))</f>
        <v>0</v>
      </c>
      <c r="R80" s="9">
        <f>'01_Input_Raw_Products'!S80</f>
        <v>0</v>
      </c>
      <c r="S80" s="9" cm="1">
        <f t="array" ref="S80">IFERROR(_xlfn.XLOOKUP('01_Input_Raw_Products'!F80,'10_Master_Gem_Types'!A:A,'10_Master_Gem_Types'!H:H),"")</f>
        <v>0</v>
      </c>
      <c r="T80" s="8">
        <f>'01_Input_Raw_Products'!Q80</f>
        <v>0</v>
      </c>
      <c r="U80" s="8">
        <f>'01_Input_Raw_Products'!R80</f>
        <v>0</v>
      </c>
      <c r="V80" s="7">
        <f>I80</f>
        <v>0</v>
      </c>
      <c r="W80" s="9" cm="1">
        <f t="array" ref="W80">IF('01_Input_Raw_Products'!G80&lt;&gt;"",'01_Input_Raw_Products'!G80,IFERROR(_xlfn.XLOOKUP('01_Input_Raw_Products'!F80,'10_Master_Gem_Types'!A:A,'10_Master_Gem_Types'!L:L),""))</f>
        <v>0</v>
      </c>
      <c r="X80" s="9" cm="1">
        <f t="array" ref="X80">IFERROR(_xlfn.XLOOKUP('01_Input_Raw_Products'!F80,'10_Master_Gem_Types'!A:A,'10_Master_Gem_Types'!J:J),"")</f>
        <v>0</v>
      </c>
      <c r="Y80" s="9" cm="1">
        <f t="array" ref="Y80">IFERROR(_xlfn.XLOOKUP('01_Input_Raw_Products'!F80,'10_Master_Gem_Types'!A:A,'10_Master_Gem_Types'!I:I),"")</f>
        <v>0</v>
      </c>
      <c r="Z80" s="9" cm="1">
        <f t="array" ref="Z80">IFERROR(_xlfn.XLOOKUP('01_Input_Raw_Products'!L80,'13_Certification_Stickers'!A:A,'13_Certification_Stickers'!C:C),"")</f>
        <v>0</v>
      </c>
      <c r="AA80" s="9" cm="1">
        <f t="array" ref="AA80">IFERROR(_xlfn.XLOOKUP('01_Input_Raw_Products'!S80,'14_Shipping_Rules'!A:A,'14_Shipping_Rules'!B:B),"")</f>
        <v>0</v>
      </c>
      <c r="AB80" s="9" cm="1">
        <f t="array" ref="AB80">IFERROR(_xlfn.XLOOKUP('01_Input_Raw_Products'!D80,'16_Astro_Flags'!A:A,'16_Astro_Flags'!B:B),"")</f>
        <v>0</v>
      </c>
      <c r="AC80" s="9">
        <f>IF(C80="","","Catalog, Search")</f>
        <v>0</v>
      </c>
      <c r="AD80" s="9">
        <f>IF(C80="","",IF(OR(F80="",J80="",M80="",S80="",Y80=""),"Manual Review","Ready"))</f>
        <v>0</v>
      </c>
      <c r="AE80" s="9">
        <f>IF(C80="","",TEXTJOIN("; ",TRUE,IF(F80="","Missing url_key",""),IF(J80="","Missing classification",""),IF(M80="","Missing j_colour",""),IF(S80="","Missing hsn_code",""),IF(Y80="","Missing tax_class_id","")))</f>
        <v>0</v>
      </c>
    </row>
    <row r="81" spans="1:31">
      <c r="A81" s="9">
        <f>IF('01_Input_Raw_Products'!B81&lt;&gt;"",20,"")</f>
        <v>0</v>
      </c>
      <c r="B81" s="9" cm="1">
        <f t="array" ref="B81">IF('01_Input_Raw_Products'!M81&lt;&gt;"",'01_Input_Raw_Products'!M81,IFERROR(_xlfn.XLOOKUP('01_Input_Raw_Products'!F81,'10_Master_Gem_Types'!A:A,'10_Master_Gem_Types'!K:K),""))</f>
        <v>0</v>
      </c>
      <c r="C81" s="9">
        <f>'01_Input_Raw_Products'!B81</f>
        <v>0</v>
      </c>
      <c r="D81" s="9">
        <f>IF(C81="","",TEXT(I81,"0.00")&amp;" Ct "&amp;IF('01_Input_Raw_Products'!F81&lt;&gt;"",'01_Input_Raw_Products'!F81,'01_Input_Raw_Products'!D81)&amp;" "&amp;'01_Input_Raw_Products'!I81)</f>
        <v>0</v>
      </c>
      <c r="E81" s="9">
        <f>IF(C81="","",D81&amp;" | GemPundit")</f>
        <v>0</v>
      </c>
      <c r="F81" s="9" cm="1">
        <f t="array" ref="F81">IF('01_Input_Raw_Products'!X81&lt;&gt;"",'01_Input_Raw_Products'!X81,IFERROR(_xlfn.XLOOKUP('01_Input_Raw_Products'!F81,'10_Master_Gem_Types'!A:A,'10_Master_Gem_Types'!O:O),LOWER(SUBSTITUTE(IF('01_Input_Raw_Products'!F81&lt;&gt;"",'01_Input_Raw_Products'!F81,'01_Input_Raw_Products'!D81)," ","-"))))</f>
        <v>0</v>
      </c>
      <c r="G81" s="9">
        <f>'01_Input_Raw_Products'!C81</f>
        <v>0</v>
      </c>
      <c r="H81" s="9" cm="1">
        <f t="array" ref="H81">IF('01_Input_Raw_Products'!H81&lt;&gt;"",'01_Input_Raw_Products'!H81,IFERROR(_xlfn.XLOOKUP('01_Input_Raw_Products'!F81,'10_Master_Gem_Types'!A:A,'10_Master_Gem_Types'!D:D),""))</f>
        <v>0</v>
      </c>
      <c r="I81" s="7">
        <f>IF('01_Input_Raw_Products'!N81&lt;&gt;"",'01_Input_Raw_Products'!N81,IF('01_Input_Raw_Products'!O81&lt;&gt;"",'01_Input_Raw_Products'!O81*0.91,""))</f>
        <v>0</v>
      </c>
      <c r="J81" s="9" cm="1">
        <f t="array" ref="J81">IFERROR(_xlfn.XLOOKUP('01_Input_Raw_Products'!F81,'10_Master_Gem_Types'!A:A,'10_Master_Gem_Types'!N:N),"")</f>
        <v>0</v>
      </c>
      <c r="K81" s="9" cm="1">
        <f t="array" ref="K81">IF('01_Input_Raw_Products'!J81&lt;&gt;"",'01_Input_Raw_Products'!J81,IFERROR(_xlfn.XLOOKUP('01_Input_Raw_Products'!F81,'10_Master_Gem_Types'!A:A,'10_Master_Gem_Types'!E:E),""))</f>
        <v>0</v>
      </c>
      <c r="L81" s="9">
        <f>'01_Input_Raw_Products'!P81</f>
        <v>0</v>
      </c>
      <c r="M81" s="9" cm="1">
        <f t="array" ref="M81">IFERROR(_xlfn.XLOOKUP('01_Input_Raw_Products'!K81,'12_Color_Mapping'!A:A,'12_Color_Mapping'!B:B),IFERROR(_xlfn.XLOOKUP('01_Input_Raw_Products'!F81,'10_Master_Gem_Types'!A:A,'10_Master_Gem_Types'!F:F),""))</f>
        <v>0</v>
      </c>
      <c r="N81" s="9">
        <f>IF(C81="","",IF('01_Input_Raw_Products'!F81&lt;&gt;"",'01_Input_Raw_Products'!F81,'01_Input_Raw_Products'!D81))</f>
        <v>0</v>
      </c>
      <c r="O81" s="9">
        <f>IF(C81="","","Catalog Automation")</f>
        <v>0</v>
      </c>
      <c r="P81" s="9">
        <f>'01_Input_Raw_Products'!U81</f>
        <v>0</v>
      </c>
      <c r="Q81" s="7">
        <f>IF('01_Input_Raw_Products'!O81&lt;&gt;"",'01_Input_Raw_Products'!O81,IF('01_Input_Raw_Products'!N81&lt;&gt;"",'01_Input_Raw_Products'!N81*1.1,""))</f>
        <v>0</v>
      </c>
      <c r="R81" s="9">
        <f>'01_Input_Raw_Products'!S81</f>
        <v>0</v>
      </c>
      <c r="S81" s="9" cm="1">
        <f t="array" ref="S81">IFERROR(_xlfn.XLOOKUP('01_Input_Raw_Products'!F81,'10_Master_Gem_Types'!A:A,'10_Master_Gem_Types'!H:H),"")</f>
        <v>0</v>
      </c>
      <c r="T81" s="8">
        <f>'01_Input_Raw_Products'!Q81</f>
        <v>0</v>
      </c>
      <c r="U81" s="8">
        <f>'01_Input_Raw_Products'!R81</f>
        <v>0</v>
      </c>
      <c r="V81" s="7">
        <f>I81</f>
        <v>0</v>
      </c>
      <c r="W81" s="9" cm="1">
        <f t="array" ref="W81">IF('01_Input_Raw_Products'!G81&lt;&gt;"",'01_Input_Raw_Products'!G81,IFERROR(_xlfn.XLOOKUP('01_Input_Raw_Products'!F81,'10_Master_Gem_Types'!A:A,'10_Master_Gem_Types'!L:L),""))</f>
        <v>0</v>
      </c>
      <c r="X81" s="9" cm="1">
        <f t="array" ref="X81">IFERROR(_xlfn.XLOOKUP('01_Input_Raw_Products'!F81,'10_Master_Gem_Types'!A:A,'10_Master_Gem_Types'!J:J),"")</f>
        <v>0</v>
      </c>
      <c r="Y81" s="9" cm="1">
        <f t="array" ref="Y81">IFERROR(_xlfn.XLOOKUP('01_Input_Raw_Products'!F81,'10_Master_Gem_Types'!A:A,'10_Master_Gem_Types'!I:I),"")</f>
        <v>0</v>
      </c>
      <c r="Z81" s="9" cm="1">
        <f t="array" ref="Z81">IFERROR(_xlfn.XLOOKUP('01_Input_Raw_Products'!L81,'13_Certification_Stickers'!A:A,'13_Certification_Stickers'!C:C),"")</f>
        <v>0</v>
      </c>
      <c r="AA81" s="9" cm="1">
        <f t="array" ref="AA81">IFERROR(_xlfn.XLOOKUP('01_Input_Raw_Products'!S81,'14_Shipping_Rules'!A:A,'14_Shipping_Rules'!B:B),"")</f>
        <v>0</v>
      </c>
      <c r="AB81" s="9" cm="1">
        <f t="array" ref="AB81">IFERROR(_xlfn.XLOOKUP('01_Input_Raw_Products'!D81,'16_Astro_Flags'!A:A,'16_Astro_Flags'!B:B),"")</f>
        <v>0</v>
      </c>
      <c r="AC81" s="9">
        <f>IF(C81="","","Catalog, Search")</f>
        <v>0</v>
      </c>
      <c r="AD81" s="9">
        <f>IF(C81="","",IF(OR(F81="",J81="",M81="",S81="",Y81=""),"Manual Review","Ready"))</f>
        <v>0</v>
      </c>
      <c r="AE81" s="9">
        <f>IF(C81="","",TEXTJOIN("; ",TRUE,IF(F81="","Missing url_key",""),IF(J81="","Missing classification",""),IF(M81="","Missing j_colour",""),IF(S81="","Missing hsn_code",""),IF(Y81="","Missing tax_class_id","")))</f>
        <v>0</v>
      </c>
    </row>
    <row r="82" spans="1:31">
      <c r="A82" s="9">
        <f>IF('01_Input_Raw_Products'!B82&lt;&gt;"",20,"")</f>
        <v>0</v>
      </c>
      <c r="B82" s="9" cm="1">
        <f t="array" ref="B82">IF('01_Input_Raw_Products'!M82&lt;&gt;"",'01_Input_Raw_Products'!M82,IFERROR(_xlfn.XLOOKUP('01_Input_Raw_Products'!F82,'10_Master_Gem_Types'!A:A,'10_Master_Gem_Types'!K:K),""))</f>
        <v>0</v>
      </c>
      <c r="C82" s="9">
        <f>'01_Input_Raw_Products'!B82</f>
        <v>0</v>
      </c>
      <c r="D82" s="9">
        <f>IF(C82="","",TEXT(I82,"0.00")&amp;" Ct "&amp;IF('01_Input_Raw_Products'!F82&lt;&gt;"",'01_Input_Raw_Products'!F82,'01_Input_Raw_Products'!D82)&amp;" "&amp;'01_Input_Raw_Products'!I82)</f>
        <v>0</v>
      </c>
      <c r="E82" s="9">
        <f>IF(C82="","",D82&amp;" | GemPundit")</f>
        <v>0</v>
      </c>
      <c r="F82" s="9" cm="1">
        <f t="array" ref="F82">IF('01_Input_Raw_Products'!X82&lt;&gt;"",'01_Input_Raw_Products'!X82,IFERROR(_xlfn.XLOOKUP('01_Input_Raw_Products'!F82,'10_Master_Gem_Types'!A:A,'10_Master_Gem_Types'!O:O),LOWER(SUBSTITUTE(IF('01_Input_Raw_Products'!F82&lt;&gt;"",'01_Input_Raw_Products'!F82,'01_Input_Raw_Products'!D82)," ","-"))))</f>
        <v>0</v>
      </c>
      <c r="G82" s="9">
        <f>'01_Input_Raw_Products'!C82</f>
        <v>0</v>
      </c>
      <c r="H82" s="9" cm="1">
        <f t="array" ref="H82">IF('01_Input_Raw_Products'!H82&lt;&gt;"",'01_Input_Raw_Products'!H82,IFERROR(_xlfn.XLOOKUP('01_Input_Raw_Products'!F82,'10_Master_Gem_Types'!A:A,'10_Master_Gem_Types'!D:D),""))</f>
        <v>0</v>
      </c>
      <c r="I82" s="7">
        <f>IF('01_Input_Raw_Products'!N82&lt;&gt;"",'01_Input_Raw_Products'!N82,IF('01_Input_Raw_Products'!O82&lt;&gt;"",'01_Input_Raw_Products'!O82*0.91,""))</f>
        <v>0</v>
      </c>
      <c r="J82" s="9" cm="1">
        <f t="array" ref="J82">IFERROR(_xlfn.XLOOKUP('01_Input_Raw_Products'!F82,'10_Master_Gem_Types'!A:A,'10_Master_Gem_Types'!N:N),"")</f>
        <v>0</v>
      </c>
      <c r="K82" s="9" cm="1">
        <f t="array" ref="K82">IF('01_Input_Raw_Products'!J82&lt;&gt;"",'01_Input_Raw_Products'!J82,IFERROR(_xlfn.XLOOKUP('01_Input_Raw_Products'!F82,'10_Master_Gem_Types'!A:A,'10_Master_Gem_Types'!E:E),""))</f>
        <v>0</v>
      </c>
      <c r="L82" s="9">
        <f>'01_Input_Raw_Products'!P82</f>
        <v>0</v>
      </c>
      <c r="M82" s="9" cm="1">
        <f t="array" ref="M82">IFERROR(_xlfn.XLOOKUP('01_Input_Raw_Products'!K82,'12_Color_Mapping'!A:A,'12_Color_Mapping'!B:B),IFERROR(_xlfn.XLOOKUP('01_Input_Raw_Products'!F82,'10_Master_Gem_Types'!A:A,'10_Master_Gem_Types'!F:F),""))</f>
        <v>0</v>
      </c>
      <c r="N82" s="9">
        <f>IF(C82="","",IF('01_Input_Raw_Products'!F82&lt;&gt;"",'01_Input_Raw_Products'!F82,'01_Input_Raw_Products'!D82))</f>
        <v>0</v>
      </c>
      <c r="O82" s="9">
        <f>IF(C82="","","Catalog Automation")</f>
        <v>0</v>
      </c>
      <c r="P82" s="9">
        <f>'01_Input_Raw_Products'!U82</f>
        <v>0</v>
      </c>
      <c r="Q82" s="7">
        <f>IF('01_Input_Raw_Products'!O82&lt;&gt;"",'01_Input_Raw_Products'!O82,IF('01_Input_Raw_Products'!N82&lt;&gt;"",'01_Input_Raw_Products'!N82*1.1,""))</f>
        <v>0</v>
      </c>
      <c r="R82" s="9">
        <f>'01_Input_Raw_Products'!S82</f>
        <v>0</v>
      </c>
      <c r="S82" s="9" cm="1">
        <f t="array" ref="S82">IFERROR(_xlfn.XLOOKUP('01_Input_Raw_Products'!F82,'10_Master_Gem_Types'!A:A,'10_Master_Gem_Types'!H:H),"")</f>
        <v>0</v>
      </c>
      <c r="T82" s="8">
        <f>'01_Input_Raw_Products'!Q82</f>
        <v>0</v>
      </c>
      <c r="U82" s="8">
        <f>'01_Input_Raw_Products'!R82</f>
        <v>0</v>
      </c>
      <c r="V82" s="7">
        <f>I82</f>
        <v>0</v>
      </c>
      <c r="W82" s="9" cm="1">
        <f t="array" ref="W82">IF('01_Input_Raw_Products'!G82&lt;&gt;"",'01_Input_Raw_Products'!G82,IFERROR(_xlfn.XLOOKUP('01_Input_Raw_Products'!F82,'10_Master_Gem_Types'!A:A,'10_Master_Gem_Types'!L:L),""))</f>
        <v>0</v>
      </c>
      <c r="X82" s="9" cm="1">
        <f t="array" ref="X82">IFERROR(_xlfn.XLOOKUP('01_Input_Raw_Products'!F82,'10_Master_Gem_Types'!A:A,'10_Master_Gem_Types'!J:J),"")</f>
        <v>0</v>
      </c>
      <c r="Y82" s="9" cm="1">
        <f t="array" ref="Y82">IFERROR(_xlfn.XLOOKUP('01_Input_Raw_Products'!F82,'10_Master_Gem_Types'!A:A,'10_Master_Gem_Types'!I:I),"")</f>
        <v>0</v>
      </c>
      <c r="Z82" s="9" cm="1">
        <f t="array" ref="Z82">IFERROR(_xlfn.XLOOKUP('01_Input_Raw_Products'!L82,'13_Certification_Stickers'!A:A,'13_Certification_Stickers'!C:C),"")</f>
        <v>0</v>
      </c>
      <c r="AA82" s="9" cm="1">
        <f t="array" ref="AA82">IFERROR(_xlfn.XLOOKUP('01_Input_Raw_Products'!S82,'14_Shipping_Rules'!A:A,'14_Shipping_Rules'!B:B),"")</f>
        <v>0</v>
      </c>
      <c r="AB82" s="9" cm="1">
        <f t="array" ref="AB82">IFERROR(_xlfn.XLOOKUP('01_Input_Raw_Products'!D82,'16_Astro_Flags'!A:A,'16_Astro_Flags'!B:B),"")</f>
        <v>0</v>
      </c>
      <c r="AC82" s="9">
        <f>IF(C82="","","Catalog, Search")</f>
        <v>0</v>
      </c>
      <c r="AD82" s="9">
        <f>IF(C82="","",IF(OR(F82="",J82="",M82="",S82="",Y82=""),"Manual Review","Ready"))</f>
        <v>0</v>
      </c>
      <c r="AE82" s="9">
        <f>IF(C82="","",TEXTJOIN("; ",TRUE,IF(F82="","Missing url_key",""),IF(J82="","Missing classification",""),IF(M82="","Missing j_colour",""),IF(S82="","Missing hsn_code",""),IF(Y82="","Missing tax_class_id","")))</f>
        <v>0</v>
      </c>
    </row>
    <row r="83" spans="1:31">
      <c r="A83" s="9">
        <f>IF('01_Input_Raw_Products'!B83&lt;&gt;"",20,"")</f>
        <v>0</v>
      </c>
      <c r="B83" s="9" cm="1">
        <f t="array" ref="B83">IF('01_Input_Raw_Products'!M83&lt;&gt;"",'01_Input_Raw_Products'!M83,IFERROR(_xlfn.XLOOKUP('01_Input_Raw_Products'!F83,'10_Master_Gem_Types'!A:A,'10_Master_Gem_Types'!K:K),""))</f>
        <v>0</v>
      </c>
      <c r="C83" s="9">
        <f>'01_Input_Raw_Products'!B83</f>
        <v>0</v>
      </c>
      <c r="D83" s="9">
        <f>IF(C83="","",TEXT(I83,"0.00")&amp;" Ct "&amp;IF('01_Input_Raw_Products'!F83&lt;&gt;"",'01_Input_Raw_Products'!F83,'01_Input_Raw_Products'!D83)&amp;" "&amp;'01_Input_Raw_Products'!I83)</f>
        <v>0</v>
      </c>
      <c r="E83" s="9">
        <f>IF(C83="","",D83&amp;" | GemPundit")</f>
        <v>0</v>
      </c>
      <c r="F83" s="9" cm="1">
        <f t="array" ref="F83">IF('01_Input_Raw_Products'!X83&lt;&gt;"",'01_Input_Raw_Products'!X83,IFERROR(_xlfn.XLOOKUP('01_Input_Raw_Products'!F83,'10_Master_Gem_Types'!A:A,'10_Master_Gem_Types'!O:O),LOWER(SUBSTITUTE(IF('01_Input_Raw_Products'!F83&lt;&gt;"",'01_Input_Raw_Products'!F83,'01_Input_Raw_Products'!D83)," ","-"))))</f>
        <v>0</v>
      </c>
      <c r="G83" s="9">
        <f>'01_Input_Raw_Products'!C83</f>
        <v>0</v>
      </c>
      <c r="H83" s="9" cm="1">
        <f t="array" ref="H83">IF('01_Input_Raw_Products'!H83&lt;&gt;"",'01_Input_Raw_Products'!H83,IFERROR(_xlfn.XLOOKUP('01_Input_Raw_Products'!F83,'10_Master_Gem_Types'!A:A,'10_Master_Gem_Types'!D:D),""))</f>
        <v>0</v>
      </c>
      <c r="I83" s="7">
        <f>IF('01_Input_Raw_Products'!N83&lt;&gt;"",'01_Input_Raw_Products'!N83,IF('01_Input_Raw_Products'!O83&lt;&gt;"",'01_Input_Raw_Products'!O83*0.91,""))</f>
        <v>0</v>
      </c>
      <c r="J83" s="9" cm="1">
        <f t="array" ref="J83">IFERROR(_xlfn.XLOOKUP('01_Input_Raw_Products'!F83,'10_Master_Gem_Types'!A:A,'10_Master_Gem_Types'!N:N),"")</f>
        <v>0</v>
      </c>
      <c r="K83" s="9" cm="1">
        <f t="array" ref="K83">IF('01_Input_Raw_Products'!J83&lt;&gt;"",'01_Input_Raw_Products'!J83,IFERROR(_xlfn.XLOOKUP('01_Input_Raw_Products'!F83,'10_Master_Gem_Types'!A:A,'10_Master_Gem_Types'!E:E),""))</f>
        <v>0</v>
      </c>
      <c r="L83" s="9">
        <f>'01_Input_Raw_Products'!P83</f>
        <v>0</v>
      </c>
      <c r="M83" s="9" cm="1">
        <f t="array" ref="M83">IFERROR(_xlfn.XLOOKUP('01_Input_Raw_Products'!K83,'12_Color_Mapping'!A:A,'12_Color_Mapping'!B:B),IFERROR(_xlfn.XLOOKUP('01_Input_Raw_Products'!F83,'10_Master_Gem_Types'!A:A,'10_Master_Gem_Types'!F:F),""))</f>
        <v>0</v>
      </c>
      <c r="N83" s="9">
        <f>IF(C83="","",IF('01_Input_Raw_Products'!F83&lt;&gt;"",'01_Input_Raw_Products'!F83,'01_Input_Raw_Products'!D83))</f>
        <v>0</v>
      </c>
      <c r="O83" s="9">
        <f>IF(C83="","","Catalog Automation")</f>
        <v>0</v>
      </c>
      <c r="P83" s="9">
        <f>'01_Input_Raw_Products'!U83</f>
        <v>0</v>
      </c>
      <c r="Q83" s="7">
        <f>IF('01_Input_Raw_Products'!O83&lt;&gt;"",'01_Input_Raw_Products'!O83,IF('01_Input_Raw_Products'!N83&lt;&gt;"",'01_Input_Raw_Products'!N83*1.1,""))</f>
        <v>0</v>
      </c>
      <c r="R83" s="9">
        <f>'01_Input_Raw_Products'!S83</f>
        <v>0</v>
      </c>
      <c r="S83" s="9" cm="1">
        <f t="array" ref="S83">IFERROR(_xlfn.XLOOKUP('01_Input_Raw_Products'!F83,'10_Master_Gem_Types'!A:A,'10_Master_Gem_Types'!H:H),"")</f>
        <v>0</v>
      </c>
      <c r="T83" s="8">
        <f>'01_Input_Raw_Products'!Q83</f>
        <v>0</v>
      </c>
      <c r="U83" s="8">
        <f>'01_Input_Raw_Products'!R83</f>
        <v>0</v>
      </c>
      <c r="V83" s="7">
        <f>I83</f>
        <v>0</v>
      </c>
      <c r="W83" s="9" cm="1">
        <f t="array" ref="W83">IF('01_Input_Raw_Products'!G83&lt;&gt;"",'01_Input_Raw_Products'!G83,IFERROR(_xlfn.XLOOKUP('01_Input_Raw_Products'!F83,'10_Master_Gem_Types'!A:A,'10_Master_Gem_Types'!L:L),""))</f>
        <v>0</v>
      </c>
      <c r="X83" s="9" cm="1">
        <f t="array" ref="X83">IFERROR(_xlfn.XLOOKUP('01_Input_Raw_Products'!F83,'10_Master_Gem_Types'!A:A,'10_Master_Gem_Types'!J:J),"")</f>
        <v>0</v>
      </c>
      <c r="Y83" s="9" cm="1">
        <f t="array" ref="Y83">IFERROR(_xlfn.XLOOKUP('01_Input_Raw_Products'!F83,'10_Master_Gem_Types'!A:A,'10_Master_Gem_Types'!I:I),"")</f>
        <v>0</v>
      </c>
      <c r="Z83" s="9" cm="1">
        <f t="array" ref="Z83">IFERROR(_xlfn.XLOOKUP('01_Input_Raw_Products'!L83,'13_Certification_Stickers'!A:A,'13_Certification_Stickers'!C:C),"")</f>
        <v>0</v>
      </c>
      <c r="AA83" s="9" cm="1">
        <f t="array" ref="AA83">IFERROR(_xlfn.XLOOKUP('01_Input_Raw_Products'!S83,'14_Shipping_Rules'!A:A,'14_Shipping_Rules'!B:B),"")</f>
        <v>0</v>
      </c>
      <c r="AB83" s="9" cm="1">
        <f t="array" ref="AB83">IFERROR(_xlfn.XLOOKUP('01_Input_Raw_Products'!D83,'16_Astro_Flags'!A:A,'16_Astro_Flags'!B:B),"")</f>
        <v>0</v>
      </c>
      <c r="AC83" s="9">
        <f>IF(C83="","","Catalog, Search")</f>
        <v>0</v>
      </c>
      <c r="AD83" s="9">
        <f>IF(C83="","",IF(OR(F83="",J83="",M83="",S83="",Y83=""),"Manual Review","Ready"))</f>
        <v>0</v>
      </c>
      <c r="AE83" s="9">
        <f>IF(C83="","",TEXTJOIN("; ",TRUE,IF(F83="","Missing url_key",""),IF(J83="","Missing classification",""),IF(M83="","Missing j_colour",""),IF(S83="","Missing hsn_code",""),IF(Y83="","Missing tax_class_id","")))</f>
        <v>0</v>
      </c>
    </row>
    <row r="84" spans="1:31">
      <c r="A84" s="9">
        <f>IF('01_Input_Raw_Products'!B84&lt;&gt;"",20,"")</f>
        <v>0</v>
      </c>
      <c r="B84" s="9" cm="1">
        <f t="array" ref="B84">IF('01_Input_Raw_Products'!M84&lt;&gt;"",'01_Input_Raw_Products'!M84,IFERROR(_xlfn.XLOOKUP('01_Input_Raw_Products'!F84,'10_Master_Gem_Types'!A:A,'10_Master_Gem_Types'!K:K),""))</f>
        <v>0</v>
      </c>
      <c r="C84" s="9">
        <f>'01_Input_Raw_Products'!B84</f>
        <v>0</v>
      </c>
      <c r="D84" s="9">
        <f>IF(C84="","",TEXT(I84,"0.00")&amp;" Ct "&amp;IF('01_Input_Raw_Products'!F84&lt;&gt;"",'01_Input_Raw_Products'!F84,'01_Input_Raw_Products'!D84)&amp;" "&amp;'01_Input_Raw_Products'!I84)</f>
        <v>0</v>
      </c>
      <c r="E84" s="9">
        <f>IF(C84="","",D84&amp;" | GemPundit")</f>
        <v>0</v>
      </c>
      <c r="F84" s="9" cm="1">
        <f t="array" ref="F84">IF('01_Input_Raw_Products'!X84&lt;&gt;"",'01_Input_Raw_Products'!X84,IFERROR(_xlfn.XLOOKUP('01_Input_Raw_Products'!F84,'10_Master_Gem_Types'!A:A,'10_Master_Gem_Types'!O:O),LOWER(SUBSTITUTE(IF('01_Input_Raw_Products'!F84&lt;&gt;"",'01_Input_Raw_Products'!F84,'01_Input_Raw_Products'!D84)," ","-"))))</f>
        <v>0</v>
      </c>
      <c r="G84" s="9">
        <f>'01_Input_Raw_Products'!C84</f>
        <v>0</v>
      </c>
      <c r="H84" s="9" cm="1">
        <f t="array" ref="H84">IF('01_Input_Raw_Products'!H84&lt;&gt;"",'01_Input_Raw_Products'!H84,IFERROR(_xlfn.XLOOKUP('01_Input_Raw_Products'!F84,'10_Master_Gem_Types'!A:A,'10_Master_Gem_Types'!D:D),""))</f>
        <v>0</v>
      </c>
      <c r="I84" s="7">
        <f>IF('01_Input_Raw_Products'!N84&lt;&gt;"",'01_Input_Raw_Products'!N84,IF('01_Input_Raw_Products'!O84&lt;&gt;"",'01_Input_Raw_Products'!O84*0.91,""))</f>
        <v>0</v>
      </c>
      <c r="J84" s="9" cm="1">
        <f t="array" ref="J84">IFERROR(_xlfn.XLOOKUP('01_Input_Raw_Products'!F84,'10_Master_Gem_Types'!A:A,'10_Master_Gem_Types'!N:N),"")</f>
        <v>0</v>
      </c>
      <c r="K84" s="9" cm="1">
        <f t="array" ref="K84">IF('01_Input_Raw_Products'!J84&lt;&gt;"",'01_Input_Raw_Products'!J84,IFERROR(_xlfn.XLOOKUP('01_Input_Raw_Products'!F84,'10_Master_Gem_Types'!A:A,'10_Master_Gem_Types'!E:E),""))</f>
        <v>0</v>
      </c>
      <c r="L84" s="9">
        <f>'01_Input_Raw_Products'!P84</f>
        <v>0</v>
      </c>
      <c r="M84" s="9" cm="1">
        <f t="array" ref="M84">IFERROR(_xlfn.XLOOKUP('01_Input_Raw_Products'!K84,'12_Color_Mapping'!A:A,'12_Color_Mapping'!B:B),IFERROR(_xlfn.XLOOKUP('01_Input_Raw_Products'!F84,'10_Master_Gem_Types'!A:A,'10_Master_Gem_Types'!F:F),""))</f>
        <v>0</v>
      </c>
      <c r="N84" s="9">
        <f>IF(C84="","",IF('01_Input_Raw_Products'!F84&lt;&gt;"",'01_Input_Raw_Products'!F84,'01_Input_Raw_Products'!D84))</f>
        <v>0</v>
      </c>
      <c r="O84" s="9">
        <f>IF(C84="","","Catalog Automation")</f>
        <v>0</v>
      </c>
      <c r="P84" s="9">
        <f>'01_Input_Raw_Products'!U84</f>
        <v>0</v>
      </c>
      <c r="Q84" s="7">
        <f>IF('01_Input_Raw_Products'!O84&lt;&gt;"",'01_Input_Raw_Products'!O84,IF('01_Input_Raw_Products'!N84&lt;&gt;"",'01_Input_Raw_Products'!N84*1.1,""))</f>
        <v>0</v>
      </c>
      <c r="R84" s="9">
        <f>'01_Input_Raw_Products'!S84</f>
        <v>0</v>
      </c>
      <c r="S84" s="9" cm="1">
        <f t="array" ref="S84">IFERROR(_xlfn.XLOOKUP('01_Input_Raw_Products'!F84,'10_Master_Gem_Types'!A:A,'10_Master_Gem_Types'!H:H),"")</f>
        <v>0</v>
      </c>
      <c r="T84" s="8">
        <f>'01_Input_Raw_Products'!Q84</f>
        <v>0</v>
      </c>
      <c r="U84" s="8">
        <f>'01_Input_Raw_Products'!R84</f>
        <v>0</v>
      </c>
      <c r="V84" s="7">
        <f>I84</f>
        <v>0</v>
      </c>
      <c r="W84" s="9" cm="1">
        <f t="array" ref="W84">IF('01_Input_Raw_Products'!G84&lt;&gt;"",'01_Input_Raw_Products'!G84,IFERROR(_xlfn.XLOOKUP('01_Input_Raw_Products'!F84,'10_Master_Gem_Types'!A:A,'10_Master_Gem_Types'!L:L),""))</f>
        <v>0</v>
      </c>
      <c r="X84" s="9" cm="1">
        <f t="array" ref="X84">IFERROR(_xlfn.XLOOKUP('01_Input_Raw_Products'!F84,'10_Master_Gem_Types'!A:A,'10_Master_Gem_Types'!J:J),"")</f>
        <v>0</v>
      </c>
      <c r="Y84" s="9" cm="1">
        <f t="array" ref="Y84">IFERROR(_xlfn.XLOOKUP('01_Input_Raw_Products'!F84,'10_Master_Gem_Types'!A:A,'10_Master_Gem_Types'!I:I),"")</f>
        <v>0</v>
      </c>
      <c r="Z84" s="9" cm="1">
        <f t="array" ref="Z84">IFERROR(_xlfn.XLOOKUP('01_Input_Raw_Products'!L84,'13_Certification_Stickers'!A:A,'13_Certification_Stickers'!C:C),"")</f>
        <v>0</v>
      </c>
      <c r="AA84" s="9" cm="1">
        <f t="array" ref="AA84">IFERROR(_xlfn.XLOOKUP('01_Input_Raw_Products'!S84,'14_Shipping_Rules'!A:A,'14_Shipping_Rules'!B:B),"")</f>
        <v>0</v>
      </c>
      <c r="AB84" s="9" cm="1">
        <f t="array" ref="AB84">IFERROR(_xlfn.XLOOKUP('01_Input_Raw_Products'!D84,'16_Astro_Flags'!A:A,'16_Astro_Flags'!B:B),"")</f>
        <v>0</v>
      </c>
      <c r="AC84" s="9">
        <f>IF(C84="","","Catalog, Search")</f>
        <v>0</v>
      </c>
      <c r="AD84" s="9">
        <f>IF(C84="","",IF(OR(F84="",J84="",M84="",S84="",Y84=""),"Manual Review","Ready"))</f>
        <v>0</v>
      </c>
      <c r="AE84" s="9">
        <f>IF(C84="","",TEXTJOIN("; ",TRUE,IF(F84="","Missing url_key",""),IF(J84="","Missing classification",""),IF(M84="","Missing j_colour",""),IF(S84="","Missing hsn_code",""),IF(Y84="","Missing tax_class_id","")))</f>
        <v>0</v>
      </c>
    </row>
    <row r="85" spans="1:31">
      <c r="A85" s="9">
        <f>IF('01_Input_Raw_Products'!B85&lt;&gt;"",20,"")</f>
        <v>0</v>
      </c>
      <c r="B85" s="9" cm="1">
        <f t="array" ref="B85">IF('01_Input_Raw_Products'!M85&lt;&gt;"",'01_Input_Raw_Products'!M85,IFERROR(_xlfn.XLOOKUP('01_Input_Raw_Products'!F85,'10_Master_Gem_Types'!A:A,'10_Master_Gem_Types'!K:K),""))</f>
        <v>0</v>
      </c>
      <c r="C85" s="9">
        <f>'01_Input_Raw_Products'!B85</f>
        <v>0</v>
      </c>
      <c r="D85" s="9">
        <f>IF(C85="","",TEXT(I85,"0.00")&amp;" Ct "&amp;IF('01_Input_Raw_Products'!F85&lt;&gt;"",'01_Input_Raw_Products'!F85,'01_Input_Raw_Products'!D85)&amp;" "&amp;'01_Input_Raw_Products'!I85)</f>
        <v>0</v>
      </c>
      <c r="E85" s="9">
        <f>IF(C85="","",D85&amp;" | GemPundit")</f>
        <v>0</v>
      </c>
      <c r="F85" s="9" cm="1">
        <f t="array" ref="F85">IF('01_Input_Raw_Products'!X85&lt;&gt;"",'01_Input_Raw_Products'!X85,IFERROR(_xlfn.XLOOKUP('01_Input_Raw_Products'!F85,'10_Master_Gem_Types'!A:A,'10_Master_Gem_Types'!O:O),LOWER(SUBSTITUTE(IF('01_Input_Raw_Products'!F85&lt;&gt;"",'01_Input_Raw_Products'!F85,'01_Input_Raw_Products'!D85)," ","-"))))</f>
        <v>0</v>
      </c>
      <c r="G85" s="9">
        <f>'01_Input_Raw_Products'!C85</f>
        <v>0</v>
      </c>
      <c r="H85" s="9" cm="1">
        <f t="array" ref="H85">IF('01_Input_Raw_Products'!H85&lt;&gt;"",'01_Input_Raw_Products'!H85,IFERROR(_xlfn.XLOOKUP('01_Input_Raw_Products'!F85,'10_Master_Gem_Types'!A:A,'10_Master_Gem_Types'!D:D),""))</f>
        <v>0</v>
      </c>
      <c r="I85" s="7">
        <f>IF('01_Input_Raw_Products'!N85&lt;&gt;"",'01_Input_Raw_Products'!N85,IF('01_Input_Raw_Products'!O85&lt;&gt;"",'01_Input_Raw_Products'!O85*0.91,""))</f>
        <v>0</v>
      </c>
      <c r="J85" s="9" cm="1">
        <f t="array" ref="J85">IFERROR(_xlfn.XLOOKUP('01_Input_Raw_Products'!F85,'10_Master_Gem_Types'!A:A,'10_Master_Gem_Types'!N:N),"")</f>
        <v>0</v>
      </c>
      <c r="K85" s="9" cm="1">
        <f t="array" ref="K85">IF('01_Input_Raw_Products'!J85&lt;&gt;"",'01_Input_Raw_Products'!J85,IFERROR(_xlfn.XLOOKUP('01_Input_Raw_Products'!F85,'10_Master_Gem_Types'!A:A,'10_Master_Gem_Types'!E:E),""))</f>
        <v>0</v>
      </c>
      <c r="L85" s="9">
        <f>'01_Input_Raw_Products'!P85</f>
        <v>0</v>
      </c>
      <c r="M85" s="9" cm="1">
        <f t="array" ref="M85">IFERROR(_xlfn.XLOOKUP('01_Input_Raw_Products'!K85,'12_Color_Mapping'!A:A,'12_Color_Mapping'!B:B),IFERROR(_xlfn.XLOOKUP('01_Input_Raw_Products'!F85,'10_Master_Gem_Types'!A:A,'10_Master_Gem_Types'!F:F),""))</f>
        <v>0</v>
      </c>
      <c r="N85" s="9">
        <f>IF(C85="","",IF('01_Input_Raw_Products'!F85&lt;&gt;"",'01_Input_Raw_Products'!F85,'01_Input_Raw_Products'!D85))</f>
        <v>0</v>
      </c>
      <c r="O85" s="9">
        <f>IF(C85="","","Catalog Automation")</f>
        <v>0</v>
      </c>
      <c r="P85" s="9">
        <f>'01_Input_Raw_Products'!U85</f>
        <v>0</v>
      </c>
      <c r="Q85" s="7">
        <f>IF('01_Input_Raw_Products'!O85&lt;&gt;"",'01_Input_Raw_Products'!O85,IF('01_Input_Raw_Products'!N85&lt;&gt;"",'01_Input_Raw_Products'!N85*1.1,""))</f>
        <v>0</v>
      </c>
      <c r="R85" s="9">
        <f>'01_Input_Raw_Products'!S85</f>
        <v>0</v>
      </c>
      <c r="S85" s="9" cm="1">
        <f t="array" ref="S85">IFERROR(_xlfn.XLOOKUP('01_Input_Raw_Products'!F85,'10_Master_Gem_Types'!A:A,'10_Master_Gem_Types'!H:H),"")</f>
        <v>0</v>
      </c>
      <c r="T85" s="8">
        <f>'01_Input_Raw_Products'!Q85</f>
        <v>0</v>
      </c>
      <c r="U85" s="8">
        <f>'01_Input_Raw_Products'!R85</f>
        <v>0</v>
      </c>
      <c r="V85" s="7">
        <f>I85</f>
        <v>0</v>
      </c>
      <c r="W85" s="9" cm="1">
        <f t="array" ref="W85">IF('01_Input_Raw_Products'!G85&lt;&gt;"",'01_Input_Raw_Products'!G85,IFERROR(_xlfn.XLOOKUP('01_Input_Raw_Products'!F85,'10_Master_Gem_Types'!A:A,'10_Master_Gem_Types'!L:L),""))</f>
        <v>0</v>
      </c>
      <c r="X85" s="9" cm="1">
        <f t="array" ref="X85">IFERROR(_xlfn.XLOOKUP('01_Input_Raw_Products'!F85,'10_Master_Gem_Types'!A:A,'10_Master_Gem_Types'!J:J),"")</f>
        <v>0</v>
      </c>
      <c r="Y85" s="9" cm="1">
        <f t="array" ref="Y85">IFERROR(_xlfn.XLOOKUP('01_Input_Raw_Products'!F85,'10_Master_Gem_Types'!A:A,'10_Master_Gem_Types'!I:I),"")</f>
        <v>0</v>
      </c>
      <c r="Z85" s="9" cm="1">
        <f t="array" ref="Z85">IFERROR(_xlfn.XLOOKUP('01_Input_Raw_Products'!L85,'13_Certification_Stickers'!A:A,'13_Certification_Stickers'!C:C),"")</f>
        <v>0</v>
      </c>
      <c r="AA85" s="9" cm="1">
        <f t="array" ref="AA85">IFERROR(_xlfn.XLOOKUP('01_Input_Raw_Products'!S85,'14_Shipping_Rules'!A:A,'14_Shipping_Rules'!B:B),"")</f>
        <v>0</v>
      </c>
      <c r="AB85" s="9" cm="1">
        <f t="array" ref="AB85">IFERROR(_xlfn.XLOOKUP('01_Input_Raw_Products'!D85,'16_Astro_Flags'!A:A,'16_Astro_Flags'!B:B),"")</f>
        <v>0</v>
      </c>
      <c r="AC85" s="9">
        <f>IF(C85="","","Catalog, Search")</f>
        <v>0</v>
      </c>
      <c r="AD85" s="9">
        <f>IF(C85="","",IF(OR(F85="",J85="",M85="",S85="",Y85=""),"Manual Review","Ready"))</f>
        <v>0</v>
      </c>
      <c r="AE85" s="9">
        <f>IF(C85="","",TEXTJOIN("; ",TRUE,IF(F85="","Missing url_key",""),IF(J85="","Missing classification",""),IF(M85="","Missing j_colour",""),IF(S85="","Missing hsn_code",""),IF(Y85="","Missing tax_class_id","")))</f>
        <v>0</v>
      </c>
    </row>
    <row r="86" spans="1:31">
      <c r="A86" s="9">
        <f>IF('01_Input_Raw_Products'!B86&lt;&gt;"",20,"")</f>
        <v>0</v>
      </c>
      <c r="B86" s="9" cm="1">
        <f t="array" ref="B86">IF('01_Input_Raw_Products'!M86&lt;&gt;"",'01_Input_Raw_Products'!M86,IFERROR(_xlfn.XLOOKUP('01_Input_Raw_Products'!F86,'10_Master_Gem_Types'!A:A,'10_Master_Gem_Types'!K:K),""))</f>
        <v>0</v>
      </c>
      <c r="C86" s="9">
        <f>'01_Input_Raw_Products'!B86</f>
        <v>0</v>
      </c>
      <c r="D86" s="9">
        <f>IF(C86="","",TEXT(I86,"0.00")&amp;" Ct "&amp;IF('01_Input_Raw_Products'!F86&lt;&gt;"",'01_Input_Raw_Products'!F86,'01_Input_Raw_Products'!D86)&amp;" "&amp;'01_Input_Raw_Products'!I86)</f>
        <v>0</v>
      </c>
      <c r="E86" s="9">
        <f>IF(C86="","",D86&amp;" | GemPundit")</f>
        <v>0</v>
      </c>
      <c r="F86" s="9" cm="1">
        <f t="array" ref="F86">IF('01_Input_Raw_Products'!X86&lt;&gt;"",'01_Input_Raw_Products'!X86,IFERROR(_xlfn.XLOOKUP('01_Input_Raw_Products'!F86,'10_Master_Gem_Types'!A:A,'10_Master_Gem_Types'!O:O),LOWER(SUBSTITUTE(IF('01_Input_Raw_Products'!F86&lt;&gt;"",'01_Input_Raw_Products'!F86,'01_Input_Raw_Products'!D86)," ","-"))))</f>
        <v>0</v>
      </c>
      <c r="G86" s="9">
        <f>'01_Input_Raw_Products'!C86</f>
        <v>0</v>
      </c>
      <c r="H86" s="9" cm="1">
        <f t="array" ref="H86">IF('01_Input_Raw_Products'!H86&lt;&gt;"",'01_Input_Raw_Products'!H86,IFERROR(_xlfn.XLOOKUP('01_Input_Raw_Products'!F86,'10_Master_Gem_Types'!A:A,'10_Master_Gem_Types'!D:D),""))</f>
        <v>0</v>
      </c>
      <c r="I86" s="7">
        <f>IF('01_Input_Raw_Products'!N86&lt;&gt;"",'01_Input_Raw_Products'!N86,IF('01_Input_Raw_Products'!O86&lt;&gt;"",'01_Input_Raw_Products'!O86*0.91,""))</f>
        <v>0</v>
      </c>
      <c r="J86" s="9" cm="1">
        <f t="array" ref="J86">IFERROR(_xlfn.XLOOKUP('01_Input_Raw_Products'!F86,'10_Master_Gem_Types'!A:A,'10_Master_Gem_Types'!N:N),"")</f>
        <v>0</v>
      </c>
      <c r="K86" s="9" cm="1">
        <f t="array" ref="K86">IF('01_Input_Raw_Products'!J86&lt;&gt;"",'01_Input_Raw_Products'!J86,IFERROR(_xlfn.XLOOKUP('01_Input_Raw_Products'!F86,'10_Master_Gem_Types'!A:A,'10_Master_Gem_Types'!E:E),""))</f>
        <v>0</v>
      </c>
      <c r="L86" s="9">
        <f>'01_Input_Raw_Products'!P86</f>
        <v>0</v>
      </c>
      <c r="M86" s="9" cm="1">
        <f t="array" ref="M86">IFERROR(_xlfn.XLOOKUP('01_Input_Raw_Products'!K86,'12_Color_Mapping'!A:A,'12_Color_Mapping'!B:B),IFERROR(_xlfn.XLOOKUP('01_Input_Raw_Products'!F86,'10_Master_Gem_Types'!A:A,'10_Master_Gem_Types'!F:F),""))</f>
        <v>0</v>
      </c>
      <c r="N86" s="9">
        <f>IF(C86="","",IF('01_Input_Raw_Products'!F86&lt;&gt;"",'01_Input_Raw_Products'!F86,'01_Input_Raw_Products'!D86))</f>
        <v>0</v>
      </c>
      <c r="O86" s="9">
        <f>IF(C86="","","Catalog Automation")</f>
        <v>0</v>
      </c>
      <c r="P86" s="9">
        <f>'01_Input_Raw_Products'!U86</f>
        <v>0</v>
      </c>
      <c r="Q86" s="7">
        <f>IF('01_Input_Raw_Products'!O86&lt;&gt;"",'01_Input_Raw_Products'!O86,IF('01_Input_Raw_Products'!N86&lt;&gt;"",'01_Input_Raw_Products'!N86*1.1,""))</f>
        <v>0</v>
      </c>
      <c r="R86" s="9">
        <f>'01_Input_Raw_Products'!S86</f>
        <v>0</v>
      </c>
      <c r="S86" s="9" cm="1">
        <f t="array" ref="S86">IFERROR(_xlfn.XLOOKUP('01_Input_Raw_Products'!F86,'10_Master_Gem_Types'!A:A,'10_Master_Gem_Types'!H:H),"")</f>
        <v>0</v>
      </c>
      <c r="T86" s="8">
        <f>'01_Input_Raw_Products'!Q86</f>
        <v>0</v>
      </c>
      <c r="U86" s="8">
        <f>'01_Input_Raw_Products'!R86</f>
        <v>0</v>
      </c>
      <c r="V86" s="7">
        <f>I86</f>
        <v>0</v>
      </c>
      <c r="W86" s="9" cm="1">
        <f t="array" ref="W86">IF('01_Input_Raw_Products'!G86&lt;&gt;"",'01_Input_Raw_Products'!G86,IFERROR(_xlfn.XLOOKUP('01_Input_Raw_Products'!F86,'10_Master_Gem_Types'!A:A,'10_Master_Gem_Types'!L:L),""))</f>
        <v>0</v>
      </c>
      <c r="X86" s="9" cm="1">
        <f t="array" ref="X86">IFERROR(_xlfn.XLOOKUP('01_Input_Raw_Products'!F86,'10_Master_Gem_Types'!A:A,'10_Master_Gem_Types'!J:J),"")</f>
        <v>0</v>
      </c>
      <c r="Y86" s="9" cm="1">
        <f t="array" ref="Y86">IFERROR(_xlfn.XLOOKUP('01_Input_Raw_Products'!F86,'10_Master_Gem_Types'!A:A,'10_Master_Gem_Types'!I:I),"")</f>
        <v>0</v>
      </c>
      <c r="Z86" s="9" cm="1">
        <f t="array" ref="Z86">IFERROR(_xlfn.XLOOKUP('01_Input_Raw_Products'!L86,'13_Certification_Stickers'!A:A,'13_Certification_Stickers'!C:C),"")</f>
        <v>0</v>
      </c>
      <c r="AA86" s="9" cm="1">
        <f t="array" ref="AA86">IFERROR(_xlfn.XLOOKUP('01_Input_Raw_Products'!S86,'14_Shipping_Rules'!A:A,'14_Shipping_Rules'!B:B),"")</f>
        <v>0</v>
      </c>
      <c r="AB86" s="9" cm="1">
        <f t="array" ref="AB86">IFERROR(_xlfn.XLOOKUP('01_Input_Raw_Products'!D86,'16_Astro_Flags'!A:A,'16_Astro_Flags'!B:B),"")</f>
        <v>0</v>
      </c>
      <c r="AC86" s="9">
        <f>IF(C86="","","Catalog, Search")</f>
        <v>0</v>
      </c>
      <c r="AD86" s="9">
        <f>IF(C86="","",IF(OR(F86="",J86="",M86="",S86="",Y86=""),"Manual Review","Ready"))</f>
        <v>0</v>
      </c>
      <c r="AE86" s="9">
        <f>IF(C86="","",TEXTJOIN("; ",TRUE,IF(F86="","Missing url_key",""),IF(J86="","Missing classification",""),IF(M86="","Missing j_colour",""),IF(S86="","Missing hsn_code",""),IF(Y86="","Missing tax_class_id","")))</f>
        <v>0</v>
      </c>
    </row>
    <row r="87" spans="1:31">
      <c r="A87" s="9">
        <f>IF('01_Input_Raw_Products'!B87&lt;&gt;"",20,"")</f>
        <v>0</v>
      </c>
      <c r="B87" s="9" cm="1">
        <f t="array" ref="B87">IF('01_Input_Raw_Products'!M87&lt;&gt;"",'01_Input_Raw_Products'!M87,IFERROR(_xlfn.XLOOKUP('01_Input_Raw_Products'!F87,'10_Master_Gem_Types'!A:A,'10_Master_Gem_Types'!K:K),""))</f>
        <v>0</v>
      </c>
      <c r="C87" s="9">
        <f>'01_Input_Raw_Products'!B87</f>
        <v>0</v>
      </c>
      <c r="D87" s="9">
        <f>IF(C87="","",TEXT(I87,"0.00")&amp;" Ct "&amp;IF('01_Input_Raw_Products'!F87&lt;&gt;"",'01_Input_Raw_Products'!F87,'01_Input_Raw_Products'!D87)&amp;" "&amp;'01_Input_Raw_Products'!I87)</f>
        <v>0</v>
      </c>
      <c r="E87" s="9">
        <f>IF(C87="","",D87&amp;" | GemPundit")</f>
        <v>0</v>
      </c>
      <c r="F87" s="9" cm="1">
        <f t="array" ref="F87">IF('01_Input_Raw_Products'!X87&lt;&gt;"",'01_Input_Raw_Products'!X87,IFERROR(_xlfn.XLOOKUP('01_Input_Raw_Products'!F87,'10_Master_Gem_Types'!A:A,'10_Master_Gem_Types'!O:O),LOWER(SUBSTITUTE(IF('01_Input_Raw_Products'!F87&lt;&gt;"",'01_Input_Raw_Products'!F87,'01_Input_Raw_Products'!D87)," ","-"))))</f>
        <v>0</v>
      </c>
      <c r="G87" s="9">
        <f>'01_Input_Raw_Products'!C87</f>
        <v>0</v>
      </c>
      <c r="H87" s="9" cm="1">
        <f t="array" ref="H87">IF('01_Input_Raw_Products'!H87&lt;&gt;"",'01_Input_Raw_Products'!H87,IFERROR(_xlfn.XLOOKUP('01_Input_Raw_Products'!F87,'10_Master_Gem_Types'!A:A,'10_Master_Gem_Types'!D:D),""))</f>
        <v>0</v>
      </c>
      <c r="I87" s="7">
        <f>IF('01_Input_Raw_Products'!N87&lt;&gt;"",'01_Input_Raw_Products'!N87,IF('01_Input_Raw_Products'!O87&lt;&gt;"",'01_Input_Raw_Products'!O87*0.91,""))</f>
        <v>0</v>
      </c>
      <c r="J87" s="9" cm="1">
        <f t="array" ref="J87">IFERROR(_xlfn.XLOOKUP('01_Input_Raw_Products'!F87,'10_Master_Gem_Types'!A:A,'10_Master_Gem_Types'!N:N),"")</f>
        <v>0</v>
      </c>
      <c r="K87" s="9" cm="1">
        <f t="array" ref="K87">IF('01_Input_Raw_Products'!J87&lt;&gt;"",'01_Input_Raw_Products'!J87,IFERROR(_xlfn.XLOOKUP('01_Input_Raw_Products'!F87,'10_Master_Gem_Types'!A:A,'10_Master_Gem_Types'!E:E),""))</f>
        <v>0</v>
      </c>
      <c r="L87" s="9">
        <f>'01_Input_Raw_Products'!P87</f>
        <v>0</v>
      </c>
      <c r="M87" s="9" cm="1">
        <f t="array" ref="M87">IFERROR(_xlfn.XLOOKUP('01_Input_Raw_Products'!K87,'12_Color_Mapping'!A:A,'12_Color_Mapping'!B:B),IFERROR(_xlfn.XLOOKUP('01_Input_Raw_Products'!F87,'10_Master_Gem_Types'!A:A,'10_Master_Gem_Types'!F:F),""))</f>
        <v>0</v>
      </c>
      <c r="N87" s="9">
        <f>IF(C87="","",IF('01_Input_Raw_Products'!F87&lt;&gt;"",'01_Input_Raw_Products'!F87,'01_Input_Raw_Products'!D87))</f>
        <v>0</v>
      </c>
      <c r="O87" s="9">
        <f>IF(C87="","","Catalog Automation")</f>
        <v>0</v>
      </c>
      <c r="P87" s="9">
        <f>'01_Input_Raw_Products'!U87</f>
        <v>0</v>
      </c>
      <c r="Q87" s="7">
        <f>IF('01_Input_Raw_Products'!O87&lt;&gt;"",'01_Input_Raw_Products'!O87,IF('01_Input_Raw_Products'!N87&lt;&gt;"",'01_Input_Raw_Products'!N87*1.1,""))</f>
        <v>0</v>
      </c>
      <c r="R87" s="9">
        <f>'01_Input_Raw_Products'!S87</f>
        <v>0</v>
      </c>
      <c r="S87" s="9" cm="1">
        <f t="array" ref="S87">IFERROR(_xlfn.XLOOKUP('01_Input_Raw_Products'!F87,'10_Master_Gem_Types'!A:A,'10_Master_Gem_Types'!H:H),"")</f>
        <v>0</v>
      </c>
      <c r="T87" s="8">
        <f>'01_Input_Raw_Products'!Q87</f>
        <v>0</v>
      </c>
      <c r="U87" s="8">
        <f>'01_Input_Raw_Products'!R87</f>
        <v>0</v>
      </c>
      <c r="V87" s="7">
        <f>I87</f>
        <v>0</v>
      </c>
      <c r="W87" s="9" cm="1">
        <f t="array" ref="W87">IF('01_Input_Raw_Products'!G87&lt;&gt;"",'01_Input_Raw_Products'!G87,IFERROR(_xlfn.XLOOKUP('01_Input_Raw_Products'!F87,'10_Master_Gem_Types'!A:A,'10_Master_Gem_Types'!L:L),""))</f>
        <v>0</v>
      </c>
      <c r="X87" s="9" cm="1">
        <f t="array" ref="X87">IFERROR(_xlfn.XLOOKUP('01_Input_Raw_Products'!F87,'10_Master_Gem_Types'!A:A,'10_Master_Gem_Types'!J:J),"")</f>
        <v>0</v>
      </c>
      <c r="Y87" s="9" cm="1">
        <f t="array" ref="Y87">IFERROR(_xlfn.XLOOKUP('01_Input_Raw_Products'!F87,'10_Master_Gem_Types'!A:A,'10_Master_Gem_Types'!I:I),"")</f>
        <v>0</v>
      </c>
      <c r="Z87" s="9" cm="1">
        <f t="array" ref="Z87">IFERROR(_xlfn.XLOOKUP('01_Input_Raw_Products'!L87,'13_Certification_Stickers'!A:A,'13_Certification_Stickers'!C:C),"")</f>
        <v>0</v>
      </c>
      <c r="AA87" s="9" cm="1">
        <f t="array" ref="AA87">IFERROR(_xlfn.XLOOKUP('01_Input_Raw_Products'!S87,'14_Shipping_Rules'!A:A,'14_Shipping_Rules'!B:B),"")</f>
        <v>0</v>
      </c>
      <c r="AB87" s="9" cm="1">
        <f t="array" ref="AB87">IFERROR(_xlfn.XLOOKUP('01_Input_Raw_Products'!D87,'16_Astro_Flags'!A:A,'16_Astro_Flags'!B:B),"")</f>
        <v>0</v>
      </c>
      <c r="AC87" s="9">
        <f>IF(C87="","","Catalog, Search")</f>
        <v>0</v>
      </c>
      <c r="AD87" s="9">
        <f>IF(C87="","",IF(OR(F87="",J87="",M87="",S87="",Y87=""),"Manual Review","Ready"))</f>
        <v>0</v>
      </c>
      <c r="AE87" s="9">
        <f>IF(C87="","",TEXTJOIN("; ",TRUE,IF(F87="","Missing url_key",""),IF(J87="","Missing classification",""),IF(M87="","Missing j_colour",""),IF(S87="","Missing hsn_code",""),IF(Y87="","Missing tax_class_id","")))</f>
        <v>0</v>
      </c>
    </row>
    <row r="88" spans="1:31">
      <c r="A88" s="9">
        <f>IF('01_Input_Raw_Products'!B88&lt;&gt;"",20,"")</f>
        <v>0</v>
      </c>
      <c r="B88" s="9" cm="1">
        <f t="array" ref="B88">IF('01_Input_Raw_Products'!M88&lt;&gt;"",'01_Input_Raw_Products'!M88,IFERROR(_xlfn.XLOOKUP('01_Input_Raw_Products'!F88,'10_Master_Gem_Types'!A:A,'10_Master_Gem_Types'!K:K),""))</f>
        <v>0</v>
      </c>
      <c r="C88" s="9">
        <f>'01_Input_Raw_Products'!B88</f>
        <v>0</v>
      </c>
      <c r="D88" s="9">
        <f>IF(C88="","",TEXT(I88,"0.00")&amp;" Ct "&amp;IF('01_Input_Raw_Products'!F88&lt;&gt;"",'01_Input_Raw_Products'!F88,'01_Input_Raw_Products'!D88)&amp;" "&amp;'01_Input_Raw_Products'!I88)</f>
        <v>0</v>
      </c>
      <c r="E88" s="9">
        <f>IF(C88="","",D88&amp;" | GemPundit")</f>
        <v>0</v>
      </c>
      <c r="F88" s="9" cm="1">
        <f t="array" ref="F88">IF('01_Input_Raw_Products'!X88&lt;&gt;"",'01_Input_Raw_Products'!X88,IFERROR(_xlfn.XLOOKUP('01_Input_Raw_Products'!F88,'10_Master_Gem_Types'!A:A,'10_Master_Gem_Types'!O:O),LOWER(SUBSTITUTE(IF('01_Input_Raw_Products'!F88&lt;&gt;"",'01_Input_Raw_Products'!F88,'01_Input_Raw_Products'!D88)," ","-"))))</f>
        <v>0</v>
      </c>
      <c r="G88" s="9">
        <f>'01_Input_Raw_Products'!C88</f>
        <v>0</v>
      </c>
      <c r="H88" s="9" cm="1">
        <f t="array" ref="H88">IF('01_Input_Raw_Products'!H88&lt;&gt;"",'01_Input_Raw_Products'!H88,IFERROR(_xlfn.XLOOKUP('01_Input_Raw_Products'!F88,'10_Master_Gem_Types'!A:A,'10_Master_Gem_Types'!D:D),""))</f>
        <v>0</v>
      </c>
      <c r="I88" s="7">
        <f>IF('01_Input_Raw_Products'!N88&lt;&gt;"",'01_Input_Raw_Products'!N88,IF('01_Input_Raw_Products'!O88&lt;&gt;"",'01_Input_Raw_Products'!O88*0.91,""))</f>
        <v>0</v>
      </c>
      <c r="J88" s="9" cm="1">
        <f t="array" ref="J88">IFERROR(_xlfn.XLOOKUP('01_Input_Raw_Products'!F88,'10_Master_Gem_Types'!A:A,'10_Master_Gem_Types'!N:N),"")</f>
        <v>0</v>
      </c>
      <c r="K88" s="9" cm="1">
        <f t="array" ref="K88">IF('01_Input_Raw_Products'!J88&lt;&gt;"",'01_Input_Raw_Products'!J88,IFERROR(_xlfn.XLOOKUP('01_Input_Raw_Products'!F88,'10_Master_Gem_Types'!A:A,'10_Master_Gem_Types'!E:E),""))</f>
        <v>0</v>
      </c>
      <c r="L88" s="9">
        <f>'01_Input_Raw_Products'!P88</f>
        <v>0</v>
      </c>
      <c r="M88" s="9" cm="1">
        <f t="array" ref="M88">IFERROR(_xlfn.XLOOKUP('01_Input_Raw_Products'!K88,'12_Color_Mapping'!A:A,'12_Color_Mapping'!B:B),IFERROR(_xlfn.XLOOKUP('01_Input_Raw_Products'!F88,'10_Master_Gem_Types'!A:A,'10_Master_Gem_Types'!F:F),""))</f>
        <v>0</v>
      </c>
      <c r="N88" s="9">
        <f>IF(C88="","",IF('01_Input_Raw_Products'!F88&lt;&gt;"",'01_Input_Raw_Products'!F88,'01_Input_Raw_Products'!D88))</f>
        <v>0</v>
      </c>
      <c r="O88" s="9">
        <f>IF(C88="","","Catalog Automation")</f>
        <v>0</v>
      </c>
      <c r="P88" s="9">
        <f>'01_Input_Raw_Products'!U88</f>
        <v>0</v>
      </c>
      <c r="Q88" s="7">
        <f>IF('01_Input_Raw_Products'!O88&lt;&gt;"",'01_Input_Raw_Products'!O88,IF('01_Input_Raw_Products'!N88&lt;&gt;"",'01_Input_Raw_Products'!N88*1.1,""))</f>
        <v>0</v>
      </c>
      <c r="R88" s="9">
        <f>'01_Input_Raw_Products'!S88</f>
        <v>0</v>
      </c>
      <c r="S88" s="9" cm="1">
        <f t="array" ref="S88">IFERROR(_xlfn.XLOOKUP('01_Input_Raw_Products'!F88,'10_Master_Gem_Types'!A:A,'10_Master_Gem_Types'!H:H),"")</f>
        <v>0</v>
      </c>
      <c r="T88" s="8">
        <f>'01_Input_Raw_Products'!Q88</f>
        <v>0</v>
      </c>
      <c r="U88" s="8">
        <f>'01_Input_Raw_Products'!R88</f>
        <v>0</v>
      </c>
      <c r="V88" s="7">
        <f>I88</f>
        <v>0</v>
      </c>
      <c r="W88" s="9" cm="1">
        <f t="array" ref="W88">IF('01_Input_Raw_Products'!G88&lt;&gt;"",'01_Input_Raw_Products'!G88,IFERROR(_xlfn.XLOOKUP('01_Input_Raw_Products'!F88,'10_Master_Gem_Types'!A:A,'10_Master_Gem_Types'!L:L),""))</f>
        <v>0</v>
      </c>
      <c r="X88" s="9" cm="1">
        <f t="array" ref="X88">IFERROR(_xlfn.XLOOKUP('01_Input_Raw_Products'!F88,'10_Master_Gem_Types'!A:A,'10_Master_Gem_Types'!J:J),"")</f>
        <v>0</v>
      </c>
      <c r="Y88" s="9" cm="1">
        <f t="array" ref="Y88">IFERROR(_xlfn.XLOOKUP('01_Input_Raw_Products'!F88,'10_Master_Gem_Types'!A:A,'10_Master_Gem_Types'!I:I),"")</f>
        <v>0</v>
      </c>
      <c r="Z88" s="9" cm="1">
        <f t="array" ref="Z88">IFERROR(_xlfn.XLOOKUP('01_Input_Raw_Products'!L88,'13_Certification_Stickers'!A:A,'13_Certification_Stickers'!C:C),"")</f>
        <v>0</v>
      </c>
      <c r="AA88" s="9" cm="1">
        <f t="array" ref="AA88">IFERROR(_xlfn.XLOOKUP('01_Input_Raw_Products'!S88,'14_Shipping_Rules'!A:A,'14_Shipping_Rules'!B:B),"")</f>
        <v>0</v>
      </c>
      <c r="AB88" s="9" cm="1">
        <f t="array" ref="AB88">IFERROR(_xlfn.XLOOKUP('01_Input_Raw_Products'!D88,'16_Astro_Flags'!A:A,'16_Astro_Flags'!B:B),"")</f>
        <v>0</v>
      </c>
      <c r="AC88" s="9">
        <f>IF(C88="","","Catalog, Search")</f>
        <v>0</v>
      </c>
      <c r="AD88" s="9">
        <f>IF(C88="","",IF(OR(F88="",J88="",M88="",S88="",Y88=""),"Manual Review","Ready"))</f>
        <v>0</v>
      </c>
      <c r="AE88" s="9">
        <f>IF(C88="","",TEXTJOIN("; ",TRUE,IF(F88="","Missing url_key",""),IF(J88="","Missing classification",""),IF(M88="","Missing j_colour",""),IF(S88="","Missing hsn_code",""),IF(Y88="","Missing tax_class_id","")))</f>
        <v>0</v>
      </c>
    </row>
    <row r="89" spans="1:31">
      <c r="A89" s="9">
        <f>IF('01_Input_Raw_Products'!B89&lt;&gt;"",20,"")</f>
        <v>0</v>
      </c>
      <c r="B89" s="9" cm="1">
        <f t="array" ref="B89">IF('01_Input_Raw_Products'!M89&lt;&gt;"",'01_Input_Raw_Products'!M89,IFERROR(_xlfn.XLOOKUP('01_Input_Raw_Products'!F89,'10_Master_Gem_Types'!A:A,'10_Master_Gem_Types'!K:K),""))</f>
        <v>0</v>
      </c>
      <c r="C89" s="9">
        <f>'01_Input_Raw_Products'!B89</f>
        <v>0</v>
      </c>
      <c r="D89" s="9">
        <f>IF(C89="","",TEXT(I89,"0.00")&amp;" Ct "&amp;IF('01_Input_Raw_Products'!F89&lt;&gt;"",'01_Input_Raw_Products'!F89,'01_Input_Raw_Products'!D89)&amp;" "&amp;'01_Input_Raw_Products'!I89)</f>
        <v>0</v>
      </c>
      <c r="E89" s="9">
        <f>IF(C89="","",D89&amp;" | GemPundit")</f>
        <v>0</v>
      </c>
      <c r="F89" s="9" cm="1">
        <f t="array" ref="F89">IF('01_Input_Raw_Products'!X89&lt;&gt;"",'01_Input_Raw_Products'!X89,IFERROR(_xlfn.XLOOKUP('01_Input_Raw_Products'!F89,'10_Master_Gem_Types'!A:A,'10_Master_Gem_Types'!O:O),LOWER(SUBSTITUTE(IF('01_Input_Raw_Products'!F89&lt;&gt;"",'01_Input_Raw_Products'!F89,'01_Input_Raw_Products'!D89)," ","-"))))</f>
        <v>0</v>
      </c>
      <c r="G89" s="9">
        <f>'01_Input_Raw_Products'!C89</f>
        <v>0</v>
      </c>
      <c r="H89" s="9" cm="1">
        <f t="array" ref="H89">IF('01_Input_Raw_Products'!H89&lt;&gt;"",'01_Input_Raw_Products'!H89,IFERROR(_xlfn.XLOOKUP('01_Input_Raw_Products'!F89,'10_Master_Gem_Types'!A:A,'10_Master_Gem_Types'!D:D),""))</f>
        <v>0</v>
      </c>
      <c r="I89" s="7">
        <f>IF('01_Input_Raw_Products'!N89&lt;&gt;"",'01_Input_Raw_Products'!N89,IF('01_Input_Raw_Products'!O89&lt;&gt;"",'01_Input_Raw_Products'!O89*0.91,""))</f>
        <v>0</v>
      </c>
      <c r="J89" s="9" cm="1">
        <f t="array" ref="J89">IFERROR(_xlfn.XLOOKUP('01_Input_Raw_Products'!F89,'10_Master_Gem_Types'!A:A,'10_Master_Gem_Types'!N:N),"")</f>
        <v>0</v>
      </c>
      <c r="K89" s="9" cm="1">
        <f t="array" ref="K89">IF('01_Input_Raw_Products'!J89&lt;&gt;"",'01_Input_Raw_Products'!J89,IFERROR(_xlfn.XLOOKUP('01_Input_Raw_Products'!F89,'10_Master_Gem_Types'!A:A,'10_Master_Gem_Types'!E:E),""))</f>
        <v>0</v>
      </c>
      <c r="L89" s="9">
        <f>'01_Input_Raw_Products'!P89</f>
        <v>0</v>
      </c>
      <c r="M89" s="9" cm="1">
        <f t="array" ref="M89">IFERROR(_xlfn.XLOOKUP('01_Input_Raw_Products'!K89,'12_Color_Mapping'!A:A,'12_Color_Mapping'!B:B),IFERROR(_xlfn.XLOOKUP('01_Input_Raw_Products'!F89,'10_Master_Gem_Types'!A:A,'10_Master_Gem_Types'!F:F),""))</f>
        <v>0</v>
      </c>
      <c r="N89" s="9">
        <f>IF(C89="","",IF('01_Input_Raw_Products'!F89&lt;&gt;"",'01_Input_Raw_Products'!F89,'01_Input_Raw_Products'!D89))</f>
        <v>0</v>
      </c>
      <c r="O89" s="9">
        <f>IF(C89="","","Catalog Automation")</f>
        <v>0</v>
      </c>
      <c r="P89" s="9">
        <f>'01_Input_Raw_Products'!U89</f>
        <v>0</v>
      </c>
      <c r="Q89" s="7">
        <f>IF('01_Input_Raw_Products'!O89&lt;&gt;"",'01_Input_Raw_Products'!O89,IF('01_Input_Raw_Products'!N89&lt;&gt;"",'01_Input_Raw_Products'!N89*1.1,""))</f>
        <v>0</v>
      </c>
      <c r="R89" s="9">
        <f>'01_Input_Raw_Products'!S89</f>
        <v>0</v>
      </c>
      <c r="S89" s="9" cm="1">
        <f t="array" ref="S89">IFERROR(_xlfn.XLOOKUP('01_Input_Raw_Products'!F89,'10_Master_Gem_Types'!A:A,'10_Master_Gem_Types'!H:H),"")</f>
        <v>0</v>
      </c>
      <c r="T89" s="8">
        <f>'01_Input_Raw_Products'!Q89</f>
        <v>0</v>
      </c>
      <c r="U89" s="8">
        <f>'01_Input_Raw_Products'!R89</f>
        <v>0</v>
      </c>
      <c r="V89" s="7">
        <f>I89</f>
        <v>0</v>
      </c>
      <c r="W89" s="9" cm="1">
        <f t="array" ref="W89">IF('01_Input_Raw_Products'!G89&lt;&gt;"",'01_Input_Raw_Products'!G89,IFERROR(_xlfn.XLOOKUP('01_Input_Raw_Products'!F89,'10_Master_Gem_Types'!A:A,'10_Master_Gem_Types'!L:L),""))</f>
        <v>0</v>
      </c>
      <c r="X89" s="9" cm="1">
        <f t="array" ref="X89">IFERROR(_xlfn.XLOOKUP('01_Input_Raw_Products'!F89,'10_Master_Gem_Types'!A:A,'10_Master_Gem_Types'!J:J),"")</f>
        <v>0</v>
      </c>
      <c r="Y89" s="9" cm="1">
        <f t="array" ref="Y89">IFERROR(_xlfn.XLOOKUP('01_Input_Raw_Products'!F89,'10_Master_Gem_Types'!A:A,'10_Master_Gem_Types'!I:I),"")</f>
        <v>0</v>
      </c>
      <c r="Z89" s="9" cm="1">
        <f t="array" ref="Z89">IFERROR(_xlfn.XLOOKUP('01_Input_Raw_Products'!L89,'13_Certification_Stickers'!A:A,'13_Certification_Stickers'!C:C),"")</f>
        <v>0</v>
      </c>
      <c r="AA89" s="9" cm="1">
        <f t="array" ref="AA89">IFERROR(_xlfn.XLOOKUP('01_Input_Raw_Products'!S89,'14_Shipping_Rules'!A:A,'14_Shipping_Rules'!B:B),"")</f>
        <v>0</v>
      </c>
      <c r="AB89" s="9" cm="1">
        <f t="array" ref="AB89">IFERROR(_xlfn.XLOOKUP('01_Input_Raw_Products'!D89,'16_Astro_Flags'!A:A,'16_Astro_Flags'!B:B),"")</f>
        <v>0</v>
      </c>
      <c r="AC89" s="9">
        <f>IF(C89="","","Catalog, Search")</f>
        <v>0</v>
      </c>
      <c r="AD89" s="9">
        <f>IF(C89="","",IF(OR(F89="",J89="",M89="",S89="",Y89=""),"Manual Review","Ready"))</f>
        <v>0</v>
      </c>
      <c r="AE89" s="9">
        <f>IF(C89="","",TEXTJOIN("; ",TRUE,IF(F89="","Missing url_key",""),IF(J89="","Missing classification",""),IF(M89="","Missing j_colour",""),IF(S89="","Missing hsn_code",""),IF(Y89="","Missing tax_class_id","")))</f>
        <v>0</v>
      </c>
    </row>
    <row r="90" spans="1:31">
      <c r="A90" s="9">
        <f>IF('01_Input_Raw_Products'!B90&lt;&gt;"",20,"")</f>
        <v>0</v>
      </c>
      <c r="B90" s="9" cm="1">
        <f t="array" ref="B90">IF('01_Input_Raw_Products'!M90&lt;&gt;"",'01_Input_Raw_Products'!M90,IFERROR(_xlfn.XLOOKUP('01_Input_Raw_Products'!F90,'10_Master_Gem_Types'!A:A,'10_Master_Gem_Types'!K:K),""))</f>
        <v>0</v>
      </c>
      <c r="C90" s="9">
        <f>'01_Input_Raw_Products'!B90</f>
        <v>0</v>
      </c>
      <c r="D90" s="9">
        <f>IF(C90="","",TEXT(I90,"0.00")&amp;" Ct "&amp;IF('01_Input_Raw_Products'!F90&lt;&gt;"",'01_Input_Raw_Products'!F90,'01_Input_Raw_Products'!D90)&amp;" "&amp;'01_Input_Raw_Products'!I90)</f>
        <v>0</v>
      </c>
      <c r="E90" s="9">
        <f>IF(C90="","",D90&amp;" | GemPundit")</f>
        <v>0</v>
      </c>
      <c r="F90" s="9" cm="1">
        <f t="array" ref="F90">IF('01_Input_Raw_Products'!X90&lt;&gt;"",'01_Input_Raw_Products'!X90,IFERROR(_xlfn.XLOOKUP('01_Input_Raw_Products'!F90,'10_Master_Gem_Types'!A:A,'10_Master_Gem_Types'!O:O),LOWER(SUBSTITUTE(IF('01_Input_Raw_Products'!F90&lt;&gt;"",'01_Input_Raw_Products'!F90,'01_Input_Raw_Products'!D90)," ","-"))))</f>
        <v>0</v>
      </c>
      <c r="G90" s="9">
        <f>'01_Input_Raw_Products'!C90</f>
        <v>0</v>
      </c>
      <c r="H90" s="9" cm="1">
        <f t="array" ref="H90">IF('01_Input_Raw_Products'!H90&lt;&gt;"",'01_Input_Raw_Products'!H90,IFERROR(_xlfn.XLOOKUP('01_Input_Raw_Products'!F90,'10_Master_Gem_Types'!A:A,'10_Master_Gem_Types'!D:D),""))</f>
        <v>0</v>
      </c>
      <c r="I90" s="7">
        <f>IF('01_Input_Raw_Products'!N90&lt;&gt;"",'01_Input_Raw_Products'!N90,IF('01_Input_Raw_Products'!O90&lt;&gt;"",'01_Input_Raw_Products'!O90*0.91,""))</f>
        <v>0</v>
      </c>
      <c r="J90" s="9" cm="1">
        <f t="array" ref="J90">IFERROR(_xlfn.XLOOKUP('01_Input_Raw_Products'!F90,'10_Master_Gem_Types'!A:A,'10_Master_Gem_Types'!N:N),"")</f>
        <v>0</v>
      </c>
      <c r="K90" s="9" cm="1">
        <f t="array" ref="K90">IF('01_Input_Raw_Products'!J90&lt;&gt;"",'01_Input_Raw_Products'!J90,IFERROR(_xlfn.XLOOKUP('01_Input_Raw_Products'!F90,'10_Master_Gem_Types'!A:A,'10_Master_Gem_Types'!E:E),""))</f>
        <v>0</v>
      </c>
      <c r="L90" s="9">
        <f>'01_Input_Raw_Products'!P90</f>
        <v>0</v>
      </c>
      <c r="M90" s="9" cm="1">
        <f t="array" ref="M90">IFERROR(_xlfn.XLOOKUP('01_Input_Raw_Products'!K90,'12_Color_Mapping'!A:A,'12_Color_Mapping'!B:B),IFERROR(_xlfn.XLOOKUP('01_Input_Raw_Products'!F90,'10_Master_Gem_Types'!A:A,'10_Master_Gem_Types'!F:F),""))</f>
        <v>0</v>
      </c>
      <c r="N90" s="9">
        <f>IF(C90="","",IF('01_Input_Raw_Products'!F90&lt;&gt;"",'01_Input_Raw_Products'!F90,'01_Input_Raw_Products'!D90))</f>
        <v>0</v>
      </c>
      <c r="O90" s="9">
        <f>IF(C90="","","Catalog Automation")</f>
        <v>0</v>
      </c>
      <c r="P90" s="9">
        <f>'01_Input_Raw_Products'!U90</f>
        <v>0</v>
      </c>
      <c r="Q90" s="7">
        <f>IF('01_Input_Raw_Products'!O90&lt;&gt;"",'01_Input_Raw_Products'!O90,IF('01_Input_Raw_Products'!N90&lt;&gt;"",'01_Input_Raw_Products'!N90*1.1,""))</f>
        <v>0</v>
      </c>
      <c r="R90" s="9">
        <f>'01_Input_Raw_Products'!S90</f>
        <v>0</v>
      </c>
      <c r="S90" s="9" cm="1">
        <f t="array" ref="S90">IFERROR(_xlfn.XLOOKUP('01_Input_Raw_Products'!F90,'10_Master_Gem_Types'!A:A,'10_Master_Gem_Types'!H:H),"")</f>
        <v>0</v>
      </c>
      <c r="T90" s="8">
        <f>'01_Input_Raw_Products'!Q90</f>
        <v>0</v>
      </c>
      <c r="U90" s="8">
        <f>'01_Input_Raw_Products'!R90</f>
        <v>0</v>
      </c>
      <c r="V90" s="7">
        <f>I90</f>
        <v>0</v>
      </c>
      <c r="W90" s="9" cm="1">
        <f t="array" ref="W90">IF('01_Input_Raw_Products'!G90&lt;&gt;"",'01_Input_Raw_Products'!G90,IFERROR(_xlfn.XLOOKUP('01_Input_Raw_Products'!F90,'10_Master_Gem_Types'!A:A,'10_Master_Gem_Types'!L:L),""))</f>
        <v>0</v>
      </c>
      <c r="X90" s="9" cm="1">
        <f t="array" ref="X90">IFERROR(_xlfn.XLOOKUP('01_Input_Raw_Products'!F90,'10_Master_Gem_Types'!A:A,'10_Master_Gem_Types'!J:J),"")</f>
        <v>0</v>
      </c>
      <c r="Y90" s="9" cm="1">
        <f t="array" ref="Y90">IFERROR(_xlfn.XLOOKUP('01_Input_Raw_Products'!F90,'10_Master_Gem_Types'!A:A,'10_Master_Gem_Types'!I:I),"")</f>
        <v>0</v>
      </c>
      <c r="Z90" s="9" cm="1">
        <f t="array" ref="Z90">IFERROR(_xlfn.XLOOKUP('01_Input_Raw_Products'!L90,'13_Certification_Stickers'!A:A,'13_Certification_Stickers'!C:C),"")</f>
        <v>0</v>
      </c>
      <c r="AA90" s="9" cm="1">
        <f t="array" ref="AA90">IFERROR(_xlfn.XLOOKUP('01_Input_Raw_Products'!S90,'14_Shipping_Rules'!A:A,'14_Shipping_Rules'!B:B),"")</f>
        <v>0</v>
      </c>
      <c r="AB90" s="9" cm="1">
        <f t="array" ref="AB90">IFERROR(_xlfn.XLOOKUP('01_Input_Raw_Products'!D90,'16_Astro_Flags'!A:A,'16_Astro_Flags'!B:B),"")</f>
        <v>0</v>
      </c>
      <c r="AC90" s="9">
        <f>IF(C90="","","Catalog, Search")</f>
        <v>0</v>
      </c>
      <c r="AD90" s="9">
        <f>IF(C90="","",IF(OR(F90="",J90="",M90="",S90="",Y90=""),"Manual Review","Ready"))</f>
        <v>0</v>
      </c>
      <c r="AE90" s="9">
        <f>IF(C90="","",TEXTJOIN("; ",TRUE,IF(F90="","Missing url_key",""),IF(J90="","Missing classification",""),IF(M90="","Missing j_colour",""),IF(S90="","Missing hsn_code",""),IF(Y90="","Missing tax_class_id","")))</f>
        <v>0</v>
      </c>
    </row>
    <row r="91" spans="1:31">
      <c r="A91" s="9">
        <f>IF('01_Input_Raw_Products'!B91&lt;&gt;"",20,"")</f>
        <v>0</v>
      </c>
      <c r="B91" s="9" cm="1">
        <f t="array" ref="B91">IF('01_Input_Raw_Products'!M91&lt;&gt;"",'01_Input_Raw_Products'!M91,IFERROR(_xlfn.XLOOKUP('01_Input_Raw_Products'!F91,'10_Master_Gem_Types'!A:A,'10_Master_Gem_Types'!K:K),""))</f>
        <v>0</v>
      </c>
      <c r="C91" s="9">
        <f>'01_Input_Raw_Products'!B91</f>
        <v>0</v>
      </c>
      <c r="D91" s="9">
        <f>IF(C91="","",TEXT(I91,"0.00")&amp;" Ct "&amp;IF('01_Input_Raw_Products'!F91&lt;&gt;"",'01_Input_Raw_Products'!F91,'01_Input_Raw_Products'!D91)&amp;" "&amp;'01_Input_Raw_Products'!I91)</f>
        <v>0</v>
      </c>
      <c r="E91" s="9">
        <f>IF(C91="","",D91&amp;" | GemPundit")</f>
        <v>0</v>
      </c>
      <c r="F91" s="9" cm="1">
        <f t="array" ref="F91">IF('01_Input_Raw_Products'!X91&lt;&gt;"",'01_Input_Raw_Products'!X91,IFERROR(_xlfn.XLOOKUP('01_Input_Raw_Products'!F91,'10_Master_Gem_Types'!A:A,'10_Master_Gem_Types'!O:O),LOWER(SUBSTITUTE(IF('01_Input_Raw_Products'!F91&lt;&gt;"",'01_Input_Raw_Products'!F91,'01_Input_Raw_Products'!D91)," ","-"))))</f>
        <v>0</v>
      </c>
      <c r="G91" s="9">
        <f>'01_Input_Raw_Products'!C91</f>
        <v>0</v>
      </c>
      <c r="H91" s="9" cm="1">
        <f t="array" ref="H91">IF('01_Input_Raw_Products'!H91&lt;&gt;"",'01_Input_Raw_Products'!H91,IFERROR(_xlfn.XLOOKUP('01_Input_Raw_Products'!F91,'10_Master_Gem_Types'!A:A,'10_Master_Gem_Types'!D:D),""))</f>
        <v>0</v>
      </c>
      <c r="I91" s="7">
        <f>IF('01_Input_Raw_Products'!N91&lt;&gt;"",'01_Input_Raw_Products'!N91,IF('01_Input_Raw_Products'!O91&lt;&gt;"",'01_Input_Raw_Products'!O91*0.91,""))</f>
        <v>0</v>
      </c>
      <c r="J91" s="9" cm="1">
        <f t="array" ref="J91">IFERROR(_xlfn.XLOOKUP('01_Input_Raw_Products'!F91,'10_Master_Gem_Types'!A:A,'10_Master_Gem_Types'!N:N),"")</f>
        <v>0</v>
      </c>
      <c r="K91" s="9" cm="1">
        <f t="array" ref="K91">IF('01_Input_Raw_Products'!J91&lt;&gt;"",'01_Input_Raw_Products'!J91,IFERROR(_xlfn.XLOOKUP('01_Input_Raw_Products'!F91,'10_Master_Gem_Types'!A:A,'10_Master_Gem_Types'!E:E),""))</f>
        <v>0</v>
      </c>
      <c r="L91" s="9">
        <f>'01_Input_Raw_Products'!P91</f>
        <v>0</v>
      </c>
      <c r="M91" s="9" cm="1">
        <f t="array" ref="M91">IFERROR(_xlfn.XLOOKUP('01_Input_Raw_Products'!K91,'12_Color_Mapping'!A:A,'12_Color_Mapping'!B:B),IFERROR(_xlfn.XLOOKUP('01_Input_Raw_Products'!F91,'10_Master_Gem_Types'!A:A,'10_Master_Gem_Types'!F:F),""))</f>
        <v>0</v>
      </c>
      <c r="N91" s="9">
        <f>IF(C91="","",IF('01_Input_Raw_Products'!F91&lt;&gt;"",'01_Input_Raw_Products'!F91,'01_Input_Raw_Products'!D91))</f>
        <v>0</v>
      </c>
      <c r="O91" s="9">
        <f>IF(C91="","","Catalog Automation")</f>
        <v>0</v>
      </c>
      <c r="P91" s="9">
        <f>'01_Input_Raw_Products'!U91</f>
        <v>0</v>
      </c>
      <c r="Q91" s="7">
        <f>IF('01_Input_Raw_Products'!O91&lt;&gt;"",'01_Input_Raw_Products'!O91,IF('01_Input_Raw_Products'!N91&lt;&gt;"",'01_Input_Raw_Products'!N91*1.1,""))</f>
        <v>0</v>
      </c>
      <c r="R91" s="9">
        <f>'01_Input_Raw_Products'!S91</f>
        <v>0</v>
      </c>
      <c r="S91" s="9" cm="1">
        <f t="array" ref="S91">IFERROR(_xlfn.XLOOKUP('01_Input_Raw_Products'!F91,'10_Master_Gem_Types'!A:A,'10_Master_Gem_Types'!H:H),"")</f>
        <v>0</v>
      </c>
      <c r="T91" s="8">
        <f>'01_Input_Raw_Products'!Q91</f>
        <v>0</v>
      </c>
      <c r="U91" s="8">
        <f>'01_Input_Raw_Products'!R91</f>
        <v>0</v>
      </c>
      <c r="V91" s="7">
        <f>I91</f>
        <v>0</v>
      </c>
      <c r="W91" s="9" cm="1">
        <f t="array" ref="W91">IF('01_Input_Raw_Products'!G91&lt;&gt;"",'01_Input_Raw_Products'!G91,IFERROR(_xlfn.XLOOKUP('01_Input_Raw_Products'!F91,'10_Master_Gem_Types'!A:A,'10_Master_Gem_Types'!L:L),""))</f>
        <v>0</v>
      </c>
      <c r="X91" s="9" cm="1">
        <f t="array" ref="X91">IFERROR(_xlfn.XLOOKUP('01_Input_Raw_Products'!F91,'10_Master_Gem_Types'!A:A,'10_Master_Gem_Types'!J:J),"")</f>
        <v>0</v>
      </c>
      <c r="Y91" s="9" cm="1">
        <f t="array" ref="Y91">IFERROR(_xlfn.XLOOKUP('01_Input_Raw_Products'!F91,'10_Master_Gem_Types'!A:A,'10_Master_Gem_Types'!I:I),"")</f>
        <v>0</v>
      </c>
      <c r="Z91" s="9" cm="1">
        <f t="array" ref="Z91">IFERROR(_xlfn.XLOOKUP('01_Input_Raw_Products'!L91,'13_Certification_Stickers'!A:A,'13_Certification_Stickers'!C:C),"")</f>
        <v>0</v>
      </c>
      <c r="AA91" s="9" cm="1">
        <f t="array" ref="AA91">IFERROR(_xlfn.XLOOKUP('01_Input_Raw_Products'!S91,'14_Shipping_Rules'!A:A,'14_Shipping_Rules'!B:B),"")</f>
        <v>0</v>
      </c>
      <c r="AB91" s="9" cm="1">
        <f t="array" ref="AB91">IFERROR(_xlfn.XLOOKUP('01_Input_Raw_Products'!D91,'16_Astro_Flags'!A:A,'16_Astro_Flags'!B:B),"")</f>
        <v>0</v>
      </c>
      <c r="AC91" s="9">
        <f>IF(C91="","","Catalog, Search")</f>
        <v>0</v>
      </c>
      <c r="AD91" s="9">
        <f>IF(C91="","",IF(OR(F91="",J91="",M91="",S91="",Y91=""),"Manual Review","Ready"))</f>
        <v>0</v>
      </c>
      <c r="AE91" s="9">
        <f>IF(C91="","",TEXTJOIN("; ",TRUE,IF(F91="","Missing url_key",""),IF(J91="","Missing classification",""),IF(M91="","Missing j_colour",""),IF(S91="","Missing hsn_code",""),IF(Y91="","Missing tax_class_id","")))</f>
        <v>0</v>
      </c>
    </row>
    <row r="92" spans="1:31">
      <c r="A92" s="9">
        <f>IF('01_Input_Raw_Products'!B92&lt;&gt;"",20,"")</f>
        <v>0</v>
      </c>
      <c r="B92" s="9" cm="1">
        <f t="array" ref="B92">IF('01_Input_Raw_Products'!M92&lt;&gt;"",'01_Input_Raw_Products'!M92,IFERROR(_xlfn.XLOOKUP('01_Input_Raw_Products'!F92,'10_Master_Gem_Types'!A:A,'10_Master_Gem_Types'!K:K),""))</f>
        <v>0</v>
      </c>
      <c r="C92" s="9">
        <f>'01_Input_Raw_Products'!B92</f>
        <v>0</v>
      </c>
      <c r="D92" s="9">
        <f>IF(C92="","",TEXT(I92,"0.00")&amp;" Ct "&amp;IF('01_Input_Raw_Products'!F92&lt;&gt;"",'01_Input_Raw_Products'!F92,'01_Input_Raw_Products'!D92)&amp;" "&amp;'01_Input_Raw_Products'!I92)</f>
        <v>0</v>
      </c>
      <c r="E92" s="9">
        <f>IF(C92="","",D92&amp;" | GemPundit")</f>
        <v>0</v>
      </c>
      <c r="F92" s="9" cm="1">
        <f t="array" ref="F92">IF('01_Input_Raw_Products'!X92&lt;&gt;"",'01_Input_Raw_Products'!X92,IFERROR(_xlfn.XLOOKUP('01_Input_Raw_Products'!F92,'10_Master_Gem_Types'!A:A,'10_Master_Gem_Types'!O:O),LOWER(SUBSTITUTE(IF('01_Input_Raw_Products'!F92&lt;&gt;"",'01_Input_Raw_Products'!F92,'01_Input_Raw_Products'!D92)," ","-"))))</f>
        <v>0</v>
      </c>
      <c r="G92" s="9">
        <f>'01_Input_Raw_Products'!C92</f>
        <v>0</v>
      </c>
      <c r="H92" s="9" cm="1">
        <f t="array" ref="H92">IF('01_Input_Raw_Products'!H92&lt;&gt;"",'01_Input_Raw_Products'!H92,IFERROR(_xlfn.XLOOKUP('01_Input_Raw_Products'!F92,'10_Master_Gem_Types'!A:A,'10_Master_Gem_Types'!D:D),""))</f>
        <v>0</v>
      </c>
      <c r="I92" s="7">
        <f>IF('01_Input_Raw_Products'!N92&lt;&gt;"",'01_Input_Raw_Products'!N92,IF('01_Input_Raw_Products'!O92&lt;&gt;"",'01_Input_Raw_Products'!O92*0.91,""))</f>
        <v>0</v>
      </c>
      <c r="J92" s="9" cm="1">
        <f t="array" ref="J92">IFERROR(_xlfn.XLOOKUP('01_Input_Raw_Products'!F92,'10_Master_Gem_Types'!A:A,'10_Master_Gem_Types'!N:N),"")</f>
        <v>0</v>
      </c>
      <c r="K92" s="9" cm="1">
        <f t="array" ref="K92">IF('01_Input_Raw_Products'!J92&lt;&gt;"",'01_Input_Raw_Products'!J92,IFERROR(_xlfn.XLOOKUP('01_Input_Raw_Products'!F92,'10_Master_Gem_Types'!A:A,'10_Master_Gem_Types'!E:E),""))</f>
        <v>0</v>
      </c>
      <c r="L92" s="9">
        <f>'01_Input_Raw_Products'!P92</f>
        <v>0</v>
      </c>
      <c r="M92" s="9" cm="1">
        <f t="array" ref="M92">IFERROR(_xlfn.XLOOKUP('01_Input_Raw_Products'!K92,'12_Color_Mapping'!A:A,'12_Color_Mapping'!B:B),IFERROR(_xlfn.XLOOKUP('01_Input_Raw_Products'!F92,'10_Master_Gem_Types'!A:A,'10_Master_Gem_Types'!F:F),""))</f>
        <v>0</v>
      </c>
      <c r="N92" s="9">
        <f>IF(C92="","",IF('01_Input_Raw_Products'!F92&lt;&gt;"",'01_Input_Raw_Products'!F92,'01_Input_Raw_Products'!D92))</f>
        <v>0</v>
      </c>
      <c r="O92" s="9">
        <f>IF(C92="","","Catalog Automation")</f>
        <v>0</v>
      </c>
      <c r="P92" s="9">
        <f>'01_Input_Raw_Products'!U92</f>
        <v>0</v>
      </c>
      <c r="Q92" s="7">
        <f>IF('01_Input_Raw_Products'!O92&lt;&gt;"",'01_Input_Raw_Products'!O92,IF('01_Input_Raw_Products'!N92&lt;&gt;"",'01_Input_Raw_Products'!N92*1.1,""))</f>
        <v>0</v>
      </c>
      <c r="R92" s="9">
        <f>'01_Input_Raw_Products'!S92</f>
        <v>0</v>
      </c>
      <c r="S92" s="9" cm="1">
        <f t="array" ref="S92">IFERROR(_xlfn.XLOOKUP('01_Input_Raw_Products'!F92,'10_Master_Gem_Types'!A:A,'10_Master_Gem_Types'!H:H),"")</f>
        <v>0</v>
      </c>
      <c r="T92" s="8">
        <f>'01_Input_Raw_Products'!Q92</f>
        <v>0</v>
      </c>
      <c r="U92" s="8">
        <f>'01_Input_Raw_Products'!R92</f>
        <v>0</v>
      </c>
      <c r="V92" s="7">
        <f>I92</f>
        <v>0</v>
      </c>
      <c r="W92" s="9" cm="1">
        <f t="array" ref="W92">IF('01_Input_Raw_Products'!G92&lt;&gt;"",'01_Input_Raw_Products'!G92,IFERROR(_xlfn.XLOOKUP('01_Input_Raw_Products'!F92,'10_Master_Gem_Types'!A:A,'10_Master_Gem_Types'!L:L),""))</f>
        <v>0</v>
      </c>
      <c r="X92" s="9" cm="1">
        <f t="array" ref="X92">IFERROR(_xlfn.XLOOKUP('01_Input_Raw_Products'!F92,'10_Master_Gem_Types'!A:A,'10_Master_Gem_Types'!J:J),"")</f>
        <v>0</v>
      </c>
      <c r="Y92" s="9" cm="1">
        <f t="array" ref="Y92">IFERROR(_xlfn.XLOOKUP('01_Input_Raw_Products'!F92,'10_Master_Gem_Types'!A:A,'10_Master_Gem_Types'!I:I),"")</f>
        <v>0</v>
      </c>
      <c r="Z92" s="9" cm="1">
        <f t="array" ref="Z92">IFERROR(_xlfn.XLOOKUP('01_Input_Raw_Products'!L92,'13_Certification_Stickers'!A:A,'13_Certification_Stickers'!C:C),"")</f>
        <v>0</v>
      </c>
      <c r="AA92" s="9" cm="1">
        <f t="array" ref="AA92">IFERROR(_xlfn.XLOOKUP('01_Input_Raw_Products'!S92,'14_Shipping_Rules'!A:A,'14_Shipping_Rules'!B:B),"")</f>
        <v>0</v>
      </c>
      <c r="AB92" s="9" cm="1">
        <f t="array" ref="AB92">IFERROR(_xlfn.XLOOKUP('01_Input_Raw_Products'!D92,'16_Astro_Flags'!A:A,'16_Astro_Flags'!B:B),"")</f>
        <v>0</v>
      </c>
      <c r="AC92" s="9">
        <f>IF(C92="","","Catalog, Search")</f>
        <v>0</v>
      </c>
      <c r="AD92" s="9">
        <f>IF(C92="","",IF(OR(F92="",J92="",M92="",S92="",Y92=""),"Manual Review","Ready"))</f>
        <v>0</v>
      </c>
      <c r="AE92" s="9">
        <f>IF(C92="","",TEXTJOIN("; ",TRUE,IF(F92="","Missing url_key",""),IF(J92="","Missing classification",""),IF(M92="","Missing j_colour",""),IF(S92="","Missing hsn_code",""),IF(Y92="","Missing tax_class_id","")))</f>
        <v>0</v>
      </c>
    </row>
    <row r="93" spans="1:31">
      <c r="A93" s="9">
        <f>IF('01_Input_Raw_Products'!B93&lt;&gt;"",20,"")</f>
        <v>0</v>
      </c>
      <c r="B93" s="9" cm="1">
        <f t="array" ref="B93">IF('01_Input_Raw_Products'!M93&lt;&gt;"",'01_Input_Raw_Products'!M93,IFERROR(_xlfn.XLOOKUP('01_Input_Raw_Products'!F93,'10_Master_Gem_Types'!A:A,'10_Master_Gem_Types'!K:K),""))</f>
        <v>0</v>
      </c>
      <c r="C93" s="9">
        <f>'01_Input_Raw_Products'!B93</f>
        <v>0</v>
      </c>
      <c r="D93" s="9">
        <f>IF(C93="","",TEXT(I93,"0.00")&amp;" Ct "&amp;IF('01_Input_Raw_Products'!F93&lt;&gt;"",'01_Input_Raw_Products'!F93,'01_Input_Raw_Products'!D93)&amp;" "&amp;'01_Input_Raw_Products'!I93)</f>
        <v>0</v>
      </c>
      <c r="E93" s="9">
        <f>IF(C93="","",D93&amp;" | GemPundit")</f>
        <v>0</v>
      </c>
      <c r="F93" s="9" cm="1">
        <f t="array" ref="F93">IF('01_Input_Raw_Products'!X93&lt;&gt;"",'01_Input_Raw_Products'!X93,IFERROR(_xlfn.XLOOKUP('01_Input_Raw_Products'!F93,'10_Master_Gem_Types'!A:A,'10_Master_Gem_Types'!O:O),LOWER(SUBSTITUTE(IF('01_Input_Raw_Products'!F93&lt;&gt;"",'01_Input_Raw_Products'!F93,'01_Input_Raw_Products'!D93)," ","-"))))</f>
        <v>0</v>
      </c>
      <c r="G93" s="9">
        <f>'01_Input_Raw_Products'!C93</f>
        <v>0</v>
      </c>
      <c r="H93" s="9" cm="1">
        <f t="array" ref="H93">IF('01_Input_Raw_Products'!H93&lt;&gt;"",'01_Input_Raw_Products'!H93,IFERROR(_xlfn.XLOOKUP('01_Input_Raw_Products'!F93,'10_Master_Gem_Types'!A:A,'10_Master_Gem_Types'!D:D),""))</f>
        <v>0</v>
      </c>
      <c r="I93" s="7">
        <f>IF('01_Input_Raw_Products'!N93&lt;&gt;"",'01_Input_Raw_Products'!N93,IF('01_Input_Raw_Products'!O93&lt;&gt;"",'01_Input_Raw_Products'!O93*0.91,""))</f>
        <v>0</v>
      </c>
      <c r="J93" s="9" cm="1">
        <f t="array" ref="J93">IFERROR(_xlfn.XLOOKUP('01_Input_Raw_Products'!F93,'10_Master_Gem_Types'!A:A,'10_Master_Gem_Types'!N:N),"")</f>
        <v>0</v>
      </c>
      <c r="K93" s="9" cm="1">
        <f t="array" ref="K93">IF('01_Input_Raw_Products'!J93&lt;&gt;"",'01_Input_Raw_Products'!J93,IFERROR(_xlfn.XLOOKUP('01_Input_Raw_Products'!F93,'10_Master_Gem_Types'!A:A,'10_Master_Gem_Types'!E:E),""))</f>
        <v>0</v>
      </c>
      <c r="L93" s="9">
        <f>'01_Input_Raw_Products'!P93</f>
        <v>0</v>
      </c>
      <c r="M93" s="9" cm="1">
        <f t="array" ref="M93">IFERROR(_xlfn.XLOOKUP('01_Input_Raw_Products'!K93,'12_Color_Mapping'!A:A,'12_Color_Mapping'!B:B),IFERROR(_xlfn.XLOOKUP('01_Input_Raw_Products'!F93,'10_Master_Gem_Types'!A:A,'10_Master_Gem_Types'!F:F),""))</f>
        <v>0</v>
      </c>
      <c r="N93" s="9">
        <f>IF(C93="","",IF('01_Input_Raw_Products'!F93&lt;&gt;"",'01_Input_Raw_Products'!F93,'01_Input_Raw_Products'!D93))</f>
        <v>0</v>
      </c>
      <c r="O93" s="9">
        <f>IF(C93="","","Catalog Automation")</f>
        <v>0</v>
      </c>
      <c r="P93" s="9">
        <f>'01_Input_Raw_Products'!U93</f>
        <v>0</v>
      </c>
      <c r="Q93" s="7">
        <f>IF('01_Input_Raw_Products'!O93&lt;&gt;"",'01_Input_Raw_Products'!O93,IF('01_Input_Raw_Products'!N93&lt;&gt;"",'01_Input_Raw_Products'!N93*1.1,""))</f>
        <v>0</v>
      </c>
      <c r="R93" s="9">
        <f>'01_Input_Raw_Products'!S93</f>
        <v>0</v>
      </c>
      <c r="S93" s="9" cm="1">
        <f t="array" ref="S93">IFERROR(_xlfn.XLOOKUP('01_Input_Raw_Products'!F93,'10_Master_Gem_Types'!A:A,'10_Master_Gem_Types'!H:H),"")</f>
        <v>0</v>
      </c>
      <c r="T93" s="8">
        <f>'01_Input_Raw_Products'!Q93</f>
        <v>0</v>
      </c>
      <c r="U93" s="8">
        <f>'01_Input_Raw_Products'!R93</f>
        <v>0</v>
      </c>
      <c r="V93" s="7">
        <f>I93</f>
        <v>0</v>
      </c>
      <c r="W93" s="9" cm="1">
        <f t="array" ref="W93">IF('01_Input_Raw_Products'!G93&lt;&gt;"",'01_Input_Raw_Products'!G93,IFERROR(_xlfn.XLOOKUP('01_Input_Raw_Products'!F93,'10_Master_Gem_Types'!A:A,'10_Master_Gem_Types'!L:L),""))</f>
        <v>0</v>
      </c>
      <c r="X93" s="9" cm="1">
        <f t="array" ref="X93">IFERROR(_xlfn.XLOOKUP('01_Input_Raw_Products'!F93,'10_Master_Gem_Types'!A:A,'10_Master_Gem_Types'!J:J),"")</f>
        <v>0</v>
      </c>
      <c r="Y93" s="9" cm="1">
        <f t="array" ref="Y93">IFERROR(_xlfn.XLOOKUP('01_Input_Raw_Products'!F93,'10_Master_Gem_Types'!A:A,'10_Master_Gem_Types'!I:I),"")</f>
        <v>0</v>
      </c>
      <c r="Z93" s="9" cm="1">
        <f t="array" ref="Z93">IFERROR(_xlfn.XLOOKUP('01_Input_Raw_Products'!L93,'13_Certification_Stickers'!A:A,'13_Certification_Stickers'!C:C),"")</f>
        <v>0</v>
      </c>
      <c r="AA93" s="9" cm="1">
        <f t="array" ref="AA93">IFERROR(_xlfn.XLOOKUP('01_Input_Raw_Products'!S93,'14_Shipping_Rules'!A:A,'14_Shipping_Rules'!B:B),"")</f>
        <v>0</v>
      </c>
      <c r="AB93" s="9" cm="1">
        <f t="array" ref="AB93">IFERROR(_xlfn.XLOOKUP('01_Input_Raw_Products'!D93,'16_Astro_Flags'!A:A,'16_Astro_Flags'!B:B),"")</f>
        <v>0</v>
      </c>
      <c r="AC93" s="9">
        <f>IF(C93="","","Catalog, Search")</f>
        <v>0</v>
      </c>
      <c r="AD93" s="9">
        <f>IF(C93="","",IF(OR(F93="",J93="",M93="",S93="",Y93=""),"Manual Review","Ready"))</f>
        <v>0</v>
      </c>
      <c r="AE93" s="9">
        <f>IF(C93="","",TEXTJOIN("; ",TRUE,IF(F93="","Missing url_key",""),IF(J93="","Missing classification",""),IF(M93="","Missing j_colour",""),IF(S93="","Missing hsn_code",""),IF(Y93="","Missing tax_class_id","")))</f>
        <v>0</v>
      </c>
    </row>
    <row r="94" spans="1:31">
      <c r="A94" s="9">
        <f>IF('01_Input_Raw_Products'!B94&lt;&gt;"",20,"")</f>
        <v>0</v>
      </c>
      <c r="B94" s="9" cm="1">
        <f t="array" ref="B94">IF('01_Input_Raw_Products'!M94&lt;&gt;"",'01_Input_Raw_Products'!M94,IFERROR(_xlfn.XLOOKUP('01_Input_Raw_Products'!F94,'10_Master_Gem_Types'!A:A,'10_Master_Gem_Types'!K:K),""))</f>
        <v>0</v>
      </c>
      <c r="C94" s="9">
        <f>'01_Input_Raw_Products'!B94</f>
        <v>0</v>
      </c>
      <c r="D94" s="9">
        <f>IF(C94="","",TEXT(I94,"0.00")&amp;" Ct "&amp;IF('01_Input_Raw_Products'!F94&lt;&gt;"",'01_Input_Raw_Products'!F94,'01_Input_Raw_Products'!D94)&amp;" "&amp;'01_Input_Raw_Products'!I94)</f>
        <v>0</v>
      </c>
      <c r="E94" s="9">
        <f>IF(C94="","",D94&amp;" | GemPundit")</f>
        <v>0</v>
      </c>
      <c r="F94" s="9" cm="1">
        <f t="array" ref="F94">IF('01_Input_Raw_Products'!X94&lt;&gt;"",'01_Input_Raw_Products'!X94,IFERROR(_xlfn.XLOOKUP('01_Input_Raw_Products'!F94,'10_Master_Gem_Types'!A:A,'10_Master_Gem_Types'!O:O),LOWER(SUBSTITUTE(IF('01_Input_Raw_Products'!F94&lt;&gt;"",'01_Input_Raw_Products'!F94,'01_Input_Raw_Products'!D94)," ","-"))))</f>
        <v>0</v>
      </c>
      <c r="G94" s="9">
        <f>'01_Input_Raw_Products'!C94</f>
        <v>0</v>
      </c>
      <c r="H94" s="9" cm="1">
        <f t="array" ref="H94">IF('01_Input_Raw_Products'!H94&lt;&gt;"",'01_Input_Raw_Products'!H94,IFERROR(_xlfn.XLOOKUP('01_Input_Raw_Products'!F94,'10_Master_Gem_Types'!A:A,'10_Master_Gem_Types'!D:D),""))</f>
        <v>0</v>
      </c>
      <c r="I94" s="7">
        <f>IF('01_Input_Raw_Products'!N94&lt;&gt;"",'01_Input_Raw_Products'!N94,IF('01_Input_Raw_Products'!O94&lt;&gt;"",'01_Input_Raw_Products'!O94*0.91,""))</f>
        <v>0</v>
      </c>
      <c r="J94" s="9" cm="1">
        <f t="array" ref="J94">IFERROR(_xlfn.XLOOKUP('01_Input_Raw_Products'!F94,'10_Master_Gem_Types'!A:A,'10_Master_Gem_Types'!N:N),"")</f>
        <v>0</v>
      </c>
      <c r="K94" s="9" cm="1">
        <f t="array" ref="K94">IF('01_Input_Raw_Products'!J94&lt;&gt;"",'01_Input_Raw_Products'!J94,IFERROR(_xlfn.XLOOKUP('01_Input_Raw_Products'!F94,'10_Master_Gem_Types'!A:A,'10_Master_Gem_Types'!E:E),""))</f>
        <v>0</v>
      </c>
      <c r="L94" s="9">
        <f>'01_Input_Raw_Products'!P94</f>
        <v>0</v>
      </c>
      <c r="M94" s="9" cm="1">
        <f t="array" ref="M94">IFERROR(_xlfn.XLOOKUP('01_Input_Raw_Products'!K94,'12_Color_Mapping'!A:A,'12_Color_Mapping'!B:B),IFERROR(_xlfn.XLOOKUP('01_Input_Raw_Products'!F94,'10_Master_Gem_Types'!A:A,'10_Master_Gem_Types'!F:F),""))</f>
        <v>0</v>
      </c>
      <c r="N94" s="9">
        <f>IF(C94="","",IF('01_Input_Raw_Products'!F94&lt;&gt;"",'01_Input_Raw_Products'!F94,'01_Input_Raw_Products'!D94))</f>
        <v>0</v>
      </c>
      <c r="O94" s="9">
        <f>IF(C94="","","Catalog Automation")</f>
        <v>0</v>
      </c>
      <c r="P94" s="9">
        <f>'01_Input_Raw_Products'!U94</f>
        <v>0</v>
      </c>
      <c r="Q94" s="7">
        <f>IF('01_Input_Raw_Products'!O94&lt;&gt;"",'01_Input_Raw_Products'!O94,IF('01_Input_Raw_Products'!N94&lt;&gt;"",'01_Input_Raw_Products'!N94*1.1,""))</f>
        <v>0</v>
      </c>
      <c r="R94" s="9">
        <f>'01_Input_Raw_Products'!S94</f>
        <v>0</v>
      </c>
      <c r="S94" s="9" cm="1">
        <f t="array" ref="S94">IFERROR(_xlfn.XLOOKUP('01_Input_Raw_Products'!F94,'10_Master_Gem_Types'!A:A,'10_Master_Gem_Types'!H:H),"")</f>
        <v>0</v>
      </c>
      <c r="T94" s="8">
        <f>'01_Input_Raw_Products'!Q94</f>
        <v>0</v>
      </c>
      <c r="U94" s="8">
        <f>'01_Input_Raw_Products'!R94</f>
        <v>0</v>
      </c>
      <c r="V94" s="7">
        <f>I94</f>
        <v>0</v>
      </c>
      <c r="W94" s="9" cm="1">
        <f t="array" ref="W94">IF('01_Input_Raw_Products'!G94&lt;&gt;"",'01_Input_Raw_Products'!G94,IFERROR(_xlfn.XLOOKUP('01_Input_Raw_Products'!F94,'10_Master_Gem_Types'!A:A,'10_Master_Gem_Types'!L:L),""))</f>
        <v>0</v>
      </c>
      <c r="X94" s="9" cm="1">
        <f t="array" ref="X94">IFERROR(_xlfn.XLOOKUP('01_Input_Raw_Products'!F94,'10_Master_Gem_Types'!A:A,'10_Master_Gem_Types'!J:J),"")</f>
        <v>0</v>
      </c>
      <c r="Y94" s="9" cm="1">
        <f t="array" ref="Y94">IFERROR(_xlfn.XLOOKUP('01_Input_Raw_Products'!F94,'10_Master_Gem_Types'!A:A,'10_Master_Gem_Types'!I:I),"")</f>
        <v>0</v>
      </c>
      <c r="Z94" s="9" cm="1">
        <f t="array" ref="Z94">IFERROR(_xlfn.XLOOKUP('01_Input_Raw_Products'!L94,'13_Certification_Stickers'!A:A,'13_Certification_Stickers'!C:C),"")</f>
        <v>0</v>
      </c>
      <c r="AA94" s="9" cm="1">
        <f t="array" ref="AA94">IFERROR(_xlfn.XLOOKUP('01_Input_Raw_Products'!S94,'14_Shipping_Rules'!A:A,'14_Shipping_Rules'!B:B),"")</f>
        <v>0</v>
      </c>
      <c r="AB94" s="9" cm="1">
        <f t="array" ref="AB94">IFERROR(_xlfn.XLOOKUP('01_Input_Raw_Products'!D94,'16_Astro_Flags'!A:A,'16_Astro_Flags'!B:B),"")</f>
        <v>0</v>
      </c>
      <c r="AC94" s="9">
        <f>IF(C94="","","Catalog, Search")</f>
        <v>0</v>
      </c>
      <c r="AD94" s="9">
        <f>IF(C94="","",IF(OR(F94="",J94="",M94="",S94="",Y94=""),"Manual Review","Ready"))</f>
        <v>0</v>
      </c>
      <c r="AE94" s="9">
        <f>IF(C94="","",TEXTJOIN("; ",TRUE,IF(F94="","Missing url_key",""),IF(J94="","Missing classification",""),IF(M94="","Missing j_colour",""),IF(S94="","Missing hsn_code",""),IF(Y94="","Missing tax_class_id","")))</f>
        <v>0</v>
      </c>
    </row>
    <row r="95" spans="1:31">
      <c r="A95" s="9">
        <f>IF('01_Input_Raw_Products'!B95&lt;&gt;"",20,"")</f>
        <v>0</v>
      </c>
      <c r="B95" s="9" cm="1">
        <f t="array" ref="B95">IF('01_Input_Raw_Products'!M95&lt;&gt;"",'01_Input_Raw_Products'!M95,IFERROR(_xlfn.XLOOKUP('01_Input_Raw_Products'!F95,'10_Master_Gem_Types'!A:A,'10_Master_Gem_Types'!K:K),""))</f>
        <v>0</v>
      </c>
      <c r="C95" s="9">
        <f>'01_Input_Raw_Products'!B95</f>
        <v>0</v>
      </c>
      <c r="D95" s="9">
        <f>IF(C95="","",TEXT(I95,"0.00")&amp;" Ct "&amp;IF('01_Input_Raw_Products'!F95&lt;&gt;"",'01_Input_Raw_Products'!F95,'01_Input_Raw_Products'!D95)&amp;" "&amp;'01_Input_Raw_Products'!I95)</f>
        <v>0</v>
      </c>
      <c r="E95" s="9">
        <f>IF(C95="","",D95&amp;" | GemPundit")</f>
        <v>0</v>
      </c>
      <c r="F95" s="9" cm="1">
        <f t="array" ref="F95">IF('01_Input_Raw_Products'!X95&lt;&gt;"",'01_Input_Raw_Products'!X95,IFERROR(_xlfn.XLOOKUP('01_Input_Raw_Products'!F95,'10_Master_Gem_Types'!A:A,'10_Master_Gem_Types'!O:O),LOWER(SUBSTITUTE(IF('01_Input_Raw_Products'!F95&lt;&gt;"",'01_Input_Raw_Products'!F95,'01_Input_Raw_Products'!D95)," ","-"))))</f>
        <v>0</v>
      </c>
      <c r="G95" s="9">
        <f>'01_Input_Raw_Products'!C95</f>
        <v>0</v>
      </c>
      <c r="H95" s="9" cm="1">
        <f t="array" ref="H95">IF('01_Input_Raw_Products'!H95&lt;&gt;"",'01_Input_Raw_Products'!H95,IFERROR(_xlfn.XLOOKUP('01_Input_Raw_Products'!F95,'10_Master_Gem_Types'!A:A,'10_Master_Gem_Types'!D:D),""))</f>
        <v>0</v>
      </c>
      <c r="I95" s="7">
        <f>IF('01_Input_Raw_Products'!N95&lt;&gt;"",'01_Input_Raw_Products'!N95,IF('01_Input_Raw_Products'!O95&lt;&gt;"",'01_Input_Raw_Products'!O95*0.91,""))</f>
        <v>0</v>
      </c>
      <c r="J95" s="9" cm="1">
        <f t="array" ref="J95">IFERROR(_xlfn.XLOOKUP('01_Input_Raw_Products'!F95,'10_Master_Gem_Types'!A:A,'10_Master_Gem_Types'!N:N),"")</f>
        <v>0</v>
      </c>
      <c r="K95" s="9" cm="1">
        <f t="array" ref="K95">IF('01_Input_Raw_Products'!J95&lt;&gt;"",'01_Input_Raw_Products'!J95,IFERROR(_xlfn.XLOOKUP('01_Input_Raw_Products'!F95,'10_Master_Gem_Types'!A:A,'10_Master_Gem_Types'!E:E),""))</f>
        <v>0</v>
      </c>
      <c r="L95" s="9">
        <f>'01_Input_Raw_Products'!P95</f>
        <v>0</v>
      </c>
      <c r="M95" s="9" cm="1">
        <f t="array" ref="M95">IFERROR(_xlfn.XLOOKUP('01_Input_Raw_Products'!K95,'12_Color_Mapping'!A:A,'12_Color_Mapping'!B:B),IFERROR(_xlfn.XLOOKUP('01_Input_Raw_Products'!F95,'10_Master_Gem_Types'!A:A,'10_Master_Gem_Types'!F:F),""))</f>
        <v>0</v>
      </c>
      <c r="N95" s="9">
        <f>IF(C95="","",IF('01_Input_Raw_Products'!F95&lt;&gt;"",'01_Input_Raw_Products'!F95,'01_Input_Raw_Products'!D95))</f>
        <v>0</v>
      </c>
      <c r="O95" s="9">
        <f>IF(C95="","","Catalog Automation")</f>
        <v>0</v>
      </c>
      <c r="P95" s="9">
        <f>'01_Input_Raw_Products'!U95</f>
        <v>0</v>
      </c>
      <c r="Q95" s="7">
        <f>IF('01_Input_Raw_Products'!O95&lt;&gt;"",'01_Input_Raw_Products'!O95,IF('01_Input_Raw_Products'!N95&lt;&gt;"",'01_Input_Raw_Products'!N95*1.1,""))</f>
        <v>0</v>
      </c>
      <c r="R95" s="9">
        <f>'01_Input_Raw_Products'!S95</f>
        <v>0</v>
      </c>
      <c r="S95" s="9" cm="1">
        <f t="array" ref="S95">IFERROR(_xlfn.XLOOKUP('01_Input_Raw_Products'!F95,'10_Master_Gem_Types'!A:A,'10_Master_Gem_Types'!H:H),"")</f>
        <v>0</v>
      </c>
      <c r="T95" s="8">
        <f>'01_Input_Raw_Products'!Q95</f>
        <v>0</v>
      </c>
      <c r="U95" s="8">
        <f>'01_Input_Raw_Products'!R95</f>
        <v>0</v>
      </c>
      <c r="V95" s="7">
        <f>I95</f>
        <v>0</v>
      </c>
      <c r="W95" s="9" cm="1">
        <f t="array" ref="W95">IF('01_Input_Raw_Products'!G95&lt;&gt;"",'01_Input_Raw_Products'!G95,IFERROR(_xlfn.XLOOKUP('01_Input_Raw_Products'!F95,'10_Master_Gem_Types'!A:A,'10_Master_Gem_Types'!L:L),""))</f>
        <v>0</v>
      </c>
      <c r="X95" s="9" cm="1">
        <f t="array" ref="X95">IFERROR(_xlfn.XLOOKUP('01_Input_Raw_Products'!F95,'10_Master_Gem_Types'!A:A,'10_Master_Gem_Types'!J:J),"")</f>
        <v>0</v>
      </c>
      <c r="Y95" s="9" cm="1">
        <f t="array" ref="Y95">IFERROR(_xlfn.XLOOKUP('01_Input_Raw_Products'!F95,'10_Master_Gem_Types'!A:A,'10_Master_Gem_Types'!I:I),"")</f>
        <v>0</v>
      </c>
      <c r="Z95" s="9" cm="1">
        <f t="array" ref="Z95">IFERROR(_xlfn.XLOOKUP('01_Input_Raw_Products'!L95,'13_Certification_Stickers'!A:A,'13_Certification_Stickers'!C:C),"")</f>
        <v>0</v>
      </c>
      <c r="AA95" s="9" cm="1">
        <f t="array" ref="AA95">IFERROR(_xlfn.XLOOKUP('01_Input_Raw_Products'!S95,'14_Shipping_Rules'!A:A,'14_Shipping_Rules'!B:B),"")</f>
        <v>0</v>
      </c>
      <c r="AB95" s="9" cm="1">
        <f t="array" ref="AB95">IFERROR(_xlfn.XLOOKUP('01_Input_Raw_Products'!D95,'16_Astro_Flags'!A:A,'16_Astro_Flags'!B:B),"")</f>
        <v>0</v>
      </c>
      <c r="AC95" s="9">
        <f>IF(C95="","","Catalog, Search")</f>
        <v>0</v>
      </c>
      <c r="AD95" s="9">
        <f>IF(C95="","",IF(OR(F95="",J95="",M95="",S95="",Y95=""),"Manual Review","Ready"))</f>
        <v>0</v>
      </c>
      <c r="AE95" s="9">
        <f>IF(C95="","",TEXTJOIN("; ",TRUE,IF(F95="","Missing url_key",""),IF(J95="","Missing classification",""),IF(M95="","Missing j_colour",""),IF(S95="","Missing hsn_code",""),IF(Y95="","Missing tax_class_id","")))</f>
        <v>0</v>
      </c>
    </row>
    <row r="96" spans="1:31">
      <c r="A96" s="9">
        <f>IF('01_Input_Raw_Products'!B96&lt;&gt;"",20,"")</f>
        <v>0</v>
      </c>
      <c r="B96" s="9" cm="1">
        <f t="array" ref="B96">IF('01_Input_Raw_Products'!M96&lt;&gt;"",'01_Input_Raw_Products'!M96,IFERROR(_xlfn.XLOOKUP('01_Input_Raw_Products'!F96,'10_Master_Gem_Types'!A:A,'10_Master_Gem_Types'!K:K),""))</f>
        <v>0</v>
      </c>
      <c r="C96" s="9">
        <f>'01_Input_Raw_Products'!B96</f>
        <v>0</v>
      </c>
      <c r="D96" s="9">
        <f>IF(C96="","",TEXT(I96,"0.00")&amp;" Ct "&amp;IF('01_Input_Raw_Products'!F96&lt;&gt;"",'01_Input_Raw_Products'!F96,'01_Input_Raw_Products'!D96)&amp;" "&amp;'01_Input_Raw_Products'!I96)</f>
        <v>0</v>
      </c>
      <c r="E96" s="9">
        <f>IF(C96="","",D96&amp;" | GemPundit")</f>
        <v>0</v>
      </c>
      <c r="F96" s="9" cm="1">
        <f t="array" ref="F96">IF('01_Input_Raw_Products'!X96&lt;&gt;"",'01_Input_Raw_Products'!X96,IFERROR(_xlfn.XLOOKUP('01_Input_Raw_Products'!F96,'10_Master_Gem_Types'!A:A,'10_Master_Gem_Types'!O:O),LOWER(SUBSTITUTE(IF('01_Input_Raw_Products'!F96&lt;&gt;"",'01_Input_Raw_Products'!F96,'01_Input_Raw_Products'!D96)," ","-"))))</f>
        <v>0</v>
      </c>
      <c r="G96" s="9">
        <f>'01_Input_Raw_Products'!C96</f>
        <v>0</v>
      </c>
      <c r="H96" s="9" cm="1">
        <f t="array" ref="H96">IF('01_Input_Raw_Products'!H96&lt;&gt;"",'01_Input_Raw_Products'!H96,IFERROR(_xlfn.XLOOKUP('01_Input_Raw_Products'!F96,'10_Master_Gem_Types'!A:A,'10_Master_Gem_Types'!D:D),""))</f>
        <v>0</v>
      </c>
      <c r="I96" s="7">
        <f>IF('01_Input_Raw_Products'!N96&lt;&gt;"",'01_Input_Raw_Products'!N96,IF('01_Input_Raw_Products'!O96&lt;&gt;"",'01_Input_Raw_Products'!O96*0.91,""))</f>
        <v>0</v>
      </c>
      <c r="J96" s="9" cm="1">
        <f t="array" ref="J96">IFERROR(_xlfn.XLOOKUP('01_Input_Raw_Products'!F96,'10_Master_Gem_Types'!A:A,'10_Master_Gem_Types'!N:N),"")</f>
        <v>0</v>
      </c>
      <c r="K96" s="9" cm="1">
        <f t="array" ref="K96">IF('01_Input_Raw_Products'!J96&lt;&gt;"",'01_Input_Raw_Products'!J96,IFERROR(_xlfn.XLOOKUP('01_Input_Raw_Products'!F96,'10_Master_Gem_Types'!A:A,'10_Master_Gem_Types'!E:E),""))</f>
        <v>0</v>
      </c>
      <c r="L96" s="9">
        <f>'01_Input_Raw_Products'!P96</f>
        <v>0</v>
      </c>
      <c r="M96" s="9" cm="1">
        <f t="array" ref="M96">IFERROR(_xlfn.XLOOKUP('01_Input_Raw_Products'!K96,'12_Color_Mapping'!A:A,'12_Color_Mapping'!B:B),IFERROR(_xlfn.XLOOKUP('01_Input_Raw_Products'!F96,'10_Master_Gem_Types'!A:A,'10_Master_Gem_Types'!F:F),""))</f>
        <v>0</v>
      </c>
      <c r="N96" s="9">
        <f>IF(C96="","",IF('01_Input_Raw_Products'!F96&lt;&gt;"",'01_Input_Raw_Products'!F96,'01_Input_Raw_Products'!D96))</f>
        <v>0</v>
      </c>
      <c r="O96" s="9">
        <f>IF(C96="","","Catalog Automation")</f>
        <v>0</v>
      </c>
      <c r="P96" s="9">
        <f>'01_Input_Raw_Products'!U96</f>
        <v>0</v>
      </c>
      <c r="Q96" s="7">
        <f>IF('01_Input_Raw_Products'!O96&lt;&gt;"",'01_Input_Raw_Products'!O96,IF('01_Input_Raw_Products'!N96&lt;&gt;"",'01_Input_Raw_Products'!N96*1.1,""))</f>
        <v>0</v>
      </c>
      <c r="R96" s="9">
        <f>'01_Input_Raw_Products'!S96</f>
        <v>0</v>
      </c>
      <c r="S96" s="9" cm="1">
        <f t="array" ref="S96">IFERROR(_xlfn.XLOOKUP('01_Input_Raw_Products'!F96,'10_Master_Gem_Types'!A:A,'10_Master_Gem_Types'!H:H),"")</f>
        <v>0</v>
      </c>
      <c r="T96" s="8">
        <f>'01_Input_Raw_Products'!Q96</f>
        <v>0</v>
      </c>
      <c r="U96" s="8">
        <f>'01_Input_Raw_Products'!R96</f>
        <v>0</v>
      </c>
      <c r="V96" s="7">
        <f>I96</f>
        <v>0</v>
      </c>
      <c r="W96" s="9" cm="1">
        <f t="array" ref="W96">IF('01_Input_Raw_Products'!G96&lt;&gt;"",'01_Input_Raw_Products'!G96,IFERROR(_xlfn.XLOOKUP('01_Input_Raw_Products'!F96,'10_Master_Gem_Types'!A:A,'10_Master_Gem_Types'!L:L),""))</f>
        <v>0</v>
      </c>
      <c r="X96" s="9" cm="1">
        <f t="array" ref="X96">IFERROR(_xlfn.XLOOKUP('01_Input_Raw_Products'!F96,'10_Master_Gem_Types'!A:A,'10_Master_Gem_Types'!J:J),"")</f>
        <v>0</v>
      </c>
      <c r="Y96" s="9" cm="1">
        <f t="array" ref="Y96">IFERROR(_xlfn.XLOOKUP('01_Input_Raw_Products'!F96,'10_Master_Gem_Types'!A:A,'10_Master_Gem_Types'!I:I),"")</f>
        <v>0</v>
      </c>
      <c r="Z96" s="9" cm="1">
        <f t="array" ref="Z96">IFERROR(_xlfn.XLOOKUP('01_Input_Raw_Products'!L96,'13_Certification_Stickers'!A:A,'13_Certification_Stickers'!C:C),"")</f>
        <v>0</v>
      </c>
      <c r="AA96" s="9" cm="1">
        <f t="array" ref="AA96">IFERROR(_xlfn.XLOOKUP('01_Input_Raw_Products'!S96,'14_Shipping_Rules'!A:A,'14_Shipping_Rules'!B:B),"")</f>
        <v>0</v>
      </c>
      <c r="AB96" s="9" cm="1">
        <f t="array" ref="AB96">IFERROR(_xlfn.XLOOKUP('01_Input_Raw_Products'!D96,'16_Astro_Flags'!A:A,'16_Astro_Flags'!B:B),"")</f>
        <v>0</v>
      </c>
      <c r="AC96" s="9">
        <f>IF(C96="","","Catalog, Search")</f>
        <v>0</v>
      </c>
      <c r="AD96" s="9">
        <f>IF(C96="","",IF(OR(F96="",J96="",M96="",S96="",Y96=""),"Manual Review","Ready"))</f>
        <v>0</v>
      </c>
      <c r="AE96" s="9">
        <f>IF(C96="","",TEXTJOIN("; ",TRUE,IF(F96="","Missing url_key",""),IF(J96="","Missing classification",""),IF(M96="","Missing j_colour",""),IF(S96="","Missing hsn_code",""),IF(Y96="","Missing tax_class_id","")))</f>
        <v>0</v>
      </c>
    </row>
    <row r="97" spans="1:31">
      <c r="A97" s="9">
        <f>IF('01_Input_Raw_Products'!B97&lt;&gt;"",20,"")</f>
        <v>0</v>
      </c>
      <c r="B97" s="9" cm="1">
        <f t="array" ref="B97">IF('01_Input_Raw_Products'!M97&lt;&gt;"",'01_Input_Raw_Products'!M97,IFERROR(_xlfn.XLOOKUP('01_Input_Raw_Products'!F97,'10_Master_Gem_Types'!A:A,'10_Master_Gem_Types'!K:K),""))</f>
        <v>0</v>
      </c>
      <c r="C97" s="9">
        <f>'01_Input_Raw_Products'!B97</f>
        <v>0</v>
      </c>
      <c r="D97" s="9">
        <f>IF(C97="","",TEXT(I97,"0.00")&amp;" Ct "&amp;IF('01_Input_Raw_Products'!F97&lt;&gt;"",'01_Input_Raw_Products'!F97,'01_Input_Raw_Products'!D97)&amp;" "&amp;'01_Input_Raw_Products'!I97)</f>
        <v>0</v>
      </c>
      <c r="E97" s="9">
        <f>IF(C97="","",D97&amp;" | GemPundit")</f>
        <v>0</v>
      </c>
      <c r="F97" s="9" cm="1">
        <f t="array" ref="F97">IF('01_Input_Raw_Products'!X97&lt;&gt;"",'01_Input_Raw_Products'!X97,IFERROR(_xlfn.XLOOKUP('01_Input_Raw_Products'!F97,'10_Master_Gem_Types'!A:A,'10_Master_Gem_Types'!O:O),LOWER(SUBSTITUTE(IF('01_Input_Raw_Products'!F97&lt;&gt;"",'01_Input_Raw_Products'!F97,'01_Input_Raw_Products'!D97)," ","-"))))</f>
        <v>0</v>
      </c>
      <c r="G97" s="9">
        <f>'01_Input_Raw_Products'!C97</f>
        <v>0</v>
      </c>
      <c r="H97" s="9" cm="1">
        <f t="array" ref="H97">IF('01_Input_Raw_Products'!H97&lt;&gt;"",'01_Input_Raw_Products'!H97,IFERROR(_xlfn.XLOOKUP('01_Input_Raw_Products'!F97,'10_Master_Gem_Types'!A:A,'10_Master_Gem_Types'!D:D),""))</f>
        <v>0</v>
      </c>
      <c r="I97" s="7">
        <f>IF('01_Input_Raw_Products'!N97&lt;&gt;"",'01_Input_Raw_Products'!N97,IF('01_Input_Raw_Products'!O97&lt;&gt;"",'01_Input_Raw_Products'!O97*0.91,""))</f>
        <v>0</v>
      </c>
      <c r="J97" s="9" cm="1">
        <f t="array" ref="J97">IFERROR(_xlfn.XLOOKUP('01_Input_Raw_Products'!F97,'10_Master_Gem_Types'!A:A,'10_Master_Gem_Types'!N:N),"")</f>
        <v>0</v>
      </c>
      <c r="K97" s="9" cm="1">
        <f t="array" ref="K97">IF('01_Input_Raw_Products'!J97&lt;&gt;"",'01_Input_Raw_Products'!J97,IFERROR(_xlfn.XLOOKUP('01_Input_Raw_Products'!F97,'10_Master_Gem_Types'!A:A,'10_Master_Gem_Types'!E:E),""))</f>
        <v>0</v>
      </c>
      <c r="L97" s="9">
        <f>'01_Input_Raw_Products'!P97</f>
        <v>0</v>
      </c>
      <c r="M97" s="9" cm="1">
        <f t="array" ref="M97">IFERROR(_xlfn.XLOOKUP('01_Input_Raw_Products'!K97,'12_Color_Mapping'!A:A,'12_Color_Mapping'!B:B),IFERROR(_xlfn.XLOOKUP('01_Input_Raw_Products'!F97,'10_Master_Gem_Types'!A:A,'10_Master_Gem_Types'!F:F),""))</f>
        <v>0</v>
      </c>
      <c r="N97" s="9">
        <f>IF(C97="","",IF('01_Input_Raw_Products'!F97&lt;&gt;"",'01_Input_Raw_Products'!F97,'01_Input_Raw_Products'!D97))</f>
        <v>0</v>
      </c>
      <c r="O97" s="9">
        <f>IF(C97="","","Catalog Automation")</f>
        <v>0</v>
      </c>
      <c r="P97" s="9">
        <f>'01_Input_Raw_Products'!U97</f>
        <v>0</v>
      </c>
      <c r="Q97" s="7">
        <f>IF('01_Input_Raw_Products'!O97&lt;&gt;"",'01_Input_Raw_Products'!O97,IF('01_Input_Raw_Products'!N97&lt;&gt;"",'01_Input_Raw_Products'!N97*1.1,""))</f>
        <v>0</v>
      </c>
      <c r="R97" s="9">
        <f>'01_Input_Raw_Products'!S97</f>
        <v>0</v>
      </c>
      <c r="S97" s="9" cm="1">
        <f t="array" ref="S97">IFERROR(_xlfn.XLOOKUP('01_Input_Raw_Products'!F97,'10_Master_Gem_Types'!A:A,'10_Master_Gem_Types'!H:H),"")</f>
        <v>0</v>
      </c>
      <c r="T97" s="8">
        <f>'01_Input_Raw_Products'!Q97</f>
        <v>0</v>
      </c>
      <c r="U97" s="8">
        <f>'01_Input_Raw_Products'!R97</f>
        <v>0</v>
      </c>
      <c r="V97" s="7">
        <f>I97</f>
        <v>0</v>
      </c>
      <c r="W97" s="9" cm="1">
        <f t="array" ref="W97">IF('01_Input_Raw_Products'!G97&lt;&gt;"",'01_Input_Raw_Products'!G97,IFERROR(_xlfn.XLOOKUP('01_Input_Raw_Products'!F97,'10_Master_Gem_Types'!A:A,'10_Master_Gem_Types'!L:L),""))</f>
        <v>0</v>
      </c>
      <c r="X97" s="9" cm="1">
        <f t="array" ref="X97">IFERROR(_xlfn.XLOOKUP('01_Input_Raw_Products'!F97,'10_Master_Gem_Types'!A:A,'10_Master_Gem_Types'!J:J),"")</f>
        <v>0</v>
      </c>
      <c r="Y97" s="9" cm="1">
        <f t="array" ref="Y97">IFERROR(_xlfn.XLOOKUP('01_Input_Raw_Products'!F97,'10_Master_Gem_Types'!A:A,'10_Master_Gem_Types'!I:I),"")</f>
        <v>0</v>
      </c>
      <c r="Z97" s="9" cm="1">
        <f t="array" ref="Z97">IFERROR(_xlfn.XLOOKUP('01_Input_Raw_Products'!L97,'13_Certification_Stickers'!A:A,'13_Certification_Stickers'!C:C),"")</f>
        <v>0</v>
      </c>
      <c r="AA97" s="9" cm="1">
        <f t="array" ref="AA97">IFERROR(_xlfn.XLOOKUP('01_Input_Raw_Products'!S97,'14_Shipping_Rules'!A:A,'14_Shipping_Rules'!B:B),"")</f>
        <v>0</v>
      </c>
      <c r="AB97" s="9" cm="1">
        <f t="array" ref="AB97">IFERROR(_xlfn.XLOOKUP('01_Input_Raw_Products'!D97,'16_Astro_Flags'!A:A,'16_Astro_Flags'!B:B),"")</f>
        <v>0</v>
      </c>
      <c r="AC97" s="9">
        <f>IF(C97="","","Catalog, Search")</f>
        <v>0</v>
      </c>
      <c r="AD97" s="9">
        <f>IF(C97="","",IF(OR(F97="",J97="",M97="",S97="",Y97=""),"Manual Review","Ready"))</f>
        <v>0</v>
      </c>
      <c r="AE97" s="9">
        <f>IF(C97="","",TEXTJOIN("; ",TRUE,IF(F97="","Missing url_key",""),IF(J97="","Missing classification",""),IF(M97="","Missing j_colour",""),IF(S97="","Missing hsn_code",""),IF(Y97="","Missing tax_class_id","")))</f>
        <v>0</v>
      </c>
    </row>
    <row r="98" spans="1:31">
      <c r="A98" s="9">
        <f>IF('01_Input_Raw_Products'!B98&lt;&gt;"",20,"")</f>
        <v>0</v>
      </c>
      <c r="B98" s="9" cm="1">
        <f t="array" ref="B98">IF('01_Input_Raw_Products'!M98&lt;&gt;"",'01_Input_Raw_Products'!M98,IFERROR(_xlfn.XLOOKUP('01_Input_Raw_Products'!F98,'10_Master_Gem_Types'!A:A,'10_Master_Gem_Types'!K:K),""))</f>
        <v>0</v>
      </c>
      <c r="C98" s="9">
        <f>'01_Input_Raw_Products'!B98</f>
        <v>0</v>
      </c>
      <c r="D98" s="9">
        <f>IF(C98="","",TEXT(I98,"0.00")&amp;" Ct "&amp;IF('01_Input_Raw_Products'!F98&lt;&gt;"",'01_Input_Raw_Products'!F98,'01_Input_Raw_Products'!D98)&amp;" "&amp;'01_Input_Raw_Products'!I98)</f>
        <v>0</v>
      </c>
      <c r="E98" s="9">
        <f>IF(C98="","",D98&amp;" | GemPundit")</f>
        <v>0</v>
      </c>
      <c r="F98" s="9" cm="1">
        <f t="array" ref="F98">IF('01_Input_Raw_Products'!X98&lt;&gt;"",'01_Input_Raw_Products'!X98,IFERROR(_xlfn.XLOOKUP('01_Input_Raw_Products'!F98,'10_Master_Gem_Types'!A:A,'10_Master_Gem_Types'!O:O),LOWER(SUBSTITUTE(IF('01_Input_Raw_Products'!F98&lt;&gt;"",'01_Input_Raw_Products'!F98,'01_Input_Raw_Products'!D98)," ","-"))))</f>
        <v>0</v>
      </c>
      <c r="G98" s="9">
        <f>'01_Input_Raw_Products'!C98</f>
        <v>0</v>
      </c>
      <c r="H98" s="9" cm="1">
        <f t="array" ref="H98">IF('01_Input_Raw_Products'!H98&lt;&gt;"",'01_Input_Raw_Products'!H98,IFERROR(_xlfn.XLOOKUP('01_Input_Raw_Products'!F98,'10_Master_Gem_Types'!A:A,'10_Master_Gem_Types'!D:D),""))</f>
        <v>0</v>
      </c>
      <c r="I98" s="7">
        <f>IF('01_Input_Raw_Products'!N98&lt;&gt;"",'01_Input_Raw_Products'!N98,IF('01_Input_Raw_Products'!O98&lt;&gt;"",'01_Input_Raw_Products'!O98*0.91,""))</f>
        <v>0</v>
      </c>
      <c r="J98" s="9" cm="1">
        <f t="array" ref="J98">IFERROR(_xlfn.XLOOKUP('01_Input_Raw_Products'!F98,'10_Master_Gem_Types'!A:A,'10_Master_Gem_Types'!N:N),"")</f>
        <v>0</v>
      </c>
      <c r="K98" s="9" cm="1">
        <f t="array" ref="K98">IF('01_Input_Raw_Products'!J98&lt;&gt;"",'01_Input_Raw_Products'!J98,IFERROR(_xlfn.XLOOKUP('01_Input_Raw_Products'!F98,'10_Master_Gem_Types'!A:A,'10_Master_Gem_Types'!E:E),""))</f>
        <v>0</v>
      </c>
      <c r="L98" s="9">
        <f>'01_Input_Raw_Products'!P98</f>
        <v>0</v>
      </c>
      <c r="M98" s="9" cm="1">
        <f t="array" ref="M98">IFERROR(_xlfn.XLOOKUP('01_Input_Raw_Products'!K98,'12_Color_Mapping'!A:A,'12_Color_Mapping'!B:B),IFERROR(_xlfn.XLOOKUP('01_Input_Raw_Products'!F98,'10_Master_Gem_Types'!A:A,'10_Master_Gem_Types'!F:F),""))</f>
        <v>0</v>
      </c>
      <c r="N98" s="9">
        <f>IF(C98="","",IF('01_Input_Raw_Products'!F98&lt;&gt;"",'01_Input_Raw_Products'!F98,'01_Input_Raw_Products'!D98))</f>
        <v>0</v>
      </c>
      <c r="O98" s="9">
        <f>IF(C98="","","Catalog Automation")</f>
        <v>0</v>
      </c>
      <c r="P98" s="9">
        <f>'01_Input_Raw_Products'!U98</f>
        <v>0</v>
      </c>
      <c r="Q98" s="7">
        <f>IF('01_Input_Raw_Products'!O98&lt;&gt;"",'01_Input_Raw_Products'!O98,IF('01_Input_Raw_Products'!N98&lt;&gt;"",'01_Input_Raw_Products'!N98*1.1,""))</f>
        <v>0</v>
      </c>
      <c r="R98" s="9">
        <f>'01_Input_Raw_Products'!S98</f>
        <v>0</v>
      </c>
      <c r="S98" s="9" cm="1">
        <f t="array" ref="S98">IFERROR(_xlfn.XLOOKUP('01_Input_Raw_Products'!F98,'10_Master_Gem_Types'!A:A,'10_Master_Gem_Types'!H:H),"")</f>
        <v>0</v>
      </c>
      <c r="T98" s="8">
        <f>'01_Input_Raw_Products'!Q98</f>
        <v>0</v>
      </c>
      <c r="U98" s="8">
        <f>'01_Input_Raw_Products'!R98</f>
        <v>0</v>
      </c>
      <c r="V98" s="7">
        <f>I98</f>
        <v>0</v>
      </c>
      <c r="W98" s="9" cm="1">
        <f t="array" ref="W98">IF('01_Input_Raw_Products'!G98&lt;&gt;"",'01_Input_Raw_Products'!G98,IFERROR(_xlfn.XLOOKUP('01_Input_Raw_Products'!F98,'10_Master_Gem_Types'!A:A,'10_Master_Gem_Types'!L:L),""))</f>
        <v>0</v>
      </c>
      <c r="X98" s="9" cm="1">
        <f t="array" ref="X98">IFERROR(_xlfn.XLOOKUP('01_Input_Raw_Products'!F98,'10_Master_Gem_Types'!A:A,'10_Master_Gem_Types'!J:J),"")</f>
        <v>0</v>
      </c>
      <c r="Y98" s="9" cm="1">
        <f t="array" ref="Y98">IFERROR(_xlfn.XLOOKUP('01_Input_Raw_Products'!F98,'10_Master_Gem_Types'!A:A,'10_Master_Gem_Types'!I:I),"")</f>
        <v>0</v>
      </c>
      <c r="Z98" s="9" cm="1">
        <f t="array" ref="Z98">IFERROR(_xlfn.XLOOKUP('01_Input_Raw_Products'!L98,'13_Certification_Stickers'!A:A,'13_Certification_Stickers'!C:C),"")</f>
        <v>0</v>
      </c>
      <c r="AA98" s="9" cm="1">
        <f t="array" ref="AA98">IFERROR(_xlfn.XLOOKUP('01_Input_Raw_Products'!S98,'14_Shipping_Rules'!A:A,'14_Shipping_Rules'!B:B),"")</f>
        <v>0</v>
      </c>
      <c r="AB98" s="9" cm="1">
        <f t="array" ref="AB98">IFERROR(_xlfn.XLOOKUP('01_Input_Raw_Products'!D98,'16_Astro_Flags'!A:A,'16_Astro_Flags'!B:B),"")</f>
        <v>0</v>
      </c>
      <c r="AC98" s="9">
        <f>IF(C98="","","Catalog, Search")</f>
        <v>0</v>
      </c>
      <c r="AD98" s="9">
        <f>IF(C98="","",IF(OR(F98="",J98="",M98="",S98="",Y98=""),"Manual Review","Ready"))</f>
        <v>0</v>
      </c>
      <c r="AE98" s="9">
        <f>IF(C98="","",TEXTJOIN("; ",TRUE,IF(F98="","Missing url_key",""),IF(J98="","Missing classification",""),IF(M98="","Missing j_colour",""),IF(S98="","Missing hsn_code",""),IF(Y98="","Missing tax_class_id","")))</f>
        <v>0</v>
      </c>
    </row>
    <row r="99" spans="1:31">
      <c r="A99" s="9">
        <f>IF('01_Input_Raw_Products'!B99&lt;&gt;"",20,"")</f>
        <v>0</v>
      </c>
      <c r="B99" s="9" cm="1">
        <f t="array" ref="B99">IF('01_Input_Raw_Products'!M99&lt;&gt;"",'01_Input_Raw_Products'!M99,IFERROR(_xlfn.XLOOKUP('01_Input_Raw_Products'!F99,'10_Master_Gem_Types'!A:A,'10_Master_Gem_Types'!K:K),""))</f>
        <v>0</v>
      </c>
      <c r="C99" s="9">
        <f>'01_Input_Raw_Products'!B99</f>
        <v>0</v>
      </c>
      <c r="D99" s="9">
        <f>IF(C99="","",TEXT(I99,"0.00")&amp;" Ct "&amp;IF('01_Input_Raw_Products'!F99&lt;&gt;"",'01_Input_Raw_Products'!F99,'01_Input_Raw_Products'!D99)&amp;" "&amp;'01_Input_Raw_Products'!I99)</f>
        <v>0</v>
      </c>
      <c r="E99" s="9">
        <f>IF(C99="","",D99&amp;" | GemPundit")</f>
        <v>0</v>
      </c>
      <c r="F99" s="9" cm="1">
        <f t="array" ref="F99">IF('01_Input_Raw_Products'!X99&lt;&gt;"",'01_Input_Raw_Products'!X99,IFERROR(_xlfn.XLOOKUP('01_Input_Raw_Products'!F99,'10_Master_Gem_Types'!A:A,'10_Master_Gem_Types'!O:O),LOWER(SUBSTITUTE(IF('01_Input_Raw_Products'!F99&lt;&gt;"",'01_Input_Raw_Products'!F99,'01_Input_Raw_Products'!D99)," ","-"))))</f>
        <v>0</v>
      </c>
      <c r="G99" s="9">
        <f>'01_Input_Raw_Products'!C99</f>
        <v>0</v>
      </c>
      <c r="H99" s="9" cm="1">
        <f t="array" ref="H99">IF('01_Input_Raw_Products'!H99&lt;&gt;"",'01_Input_Raw_Products'!H99,IFERROR(_xlfn.XLOOKUP('01_Input_Raw_Products'!F99,'10_Master_Gem_Types'!A:A,'10_Master_Gem_Types'!D:D),""))</f>
        <v>0</v>
      </c>
      <c r="I99" s="7">
        <f>IF('01_Input_Raw_Products'!N99&lt;&gt;"",'01_Input_Raw_Products'!N99,IF('01_Input_Raw_Products'!O99&lt;&gt;"",'01_Input_Raw_Products'!O99*0.91,""))</f>
        <v>0</v>
      </c>
      <c r="J99" s="9" cm="1">
        <f t="array" ref="J99">IFERROR(_xlfn.XLOOKUP('01_Input_Raw_Products'!F99,'10_Master_Gem_Types'!A:A,'10_Master_Gem_Types'!N:N),"")</f>
        <v>0</v>
      </c>
      <c r="K99" s="9" cm="1">
        <f t="array" ref="K99">IF('01_Input_Raw_Products'!J99&lt;&gt;"",'01_Input_Raw_Products'!J99,IFERROR(_xlfn.XLOOKUP('01_Input_Raw_Products'!F99,'10_Master_Gem_Types'!A:A,'10_Master_Gem_Types'!E:E),""))</f>
        <v>0</v>
      </c>
      <c r="L99" s="9">
        <f>'01_Input_Raw_Products'!P99</f>
        <v>0</v>
      </c>
      <c r="M99" s="9" cm="1">
        <f t="array" ref="M99">IFERROR(_xlfn.XLOOKUP('01_Input_Raw_Products'!K99,'12_Color_Mapping'!A:A,'12_Color_Mapping'!B:B),IFERROR(_xlfn.XLOOKUP('01_Input_Raw_Products'!F99,'10_Master_Gem_Types'!A:A,'10_Master_Gem_Types'!F:F),""))</f>
        <v>0</v>
      </c>
      <c r="N99" s="9">
        <f>IF(C99="","",IF('01_Input_Raw_Products'!F99&lt;&gt;"",'01_Input_Raw_Products'!F99,'01_Input_Raw_Products'!D99))</f>
        <v>0</v>
      </c>
      <c r="O99" s="9">
        <f>IF(C99="","","Catalog Automation")</f>
        <v>0</v>
      </c>
      <c r="P99" s="9">
        <f>'01_Input_Raw_Products'!U99</f>
        <v>0</v>
      </c>
      <c r="Q99" s="7">
        <f>IF('01_Input_Raw_Products'!O99&lt;&gt;"",'01_Input_Raw_Products'!O99,IF('01_Input_Raw_Products'!N99&lt;&gt;"",'01_Input_Raw_Products'!N99*1.1,""))</f>
        <v>0</v>
      </c>
      <c r="R99" s="9">
        <f>'01_Input_Raw_Products'!S99</f>
        <v>0</v>
      </c>
      <c r="S99" s="9" cm="1">
        <f t="array" ref="S99">IFERROR(_xlfn.XLOOKUP('01_Input_Raw_Products'!F99,'10_Master_Gem_Types'!A:A,'10_Master_Gem_Types'!H:H),"")</f>
        <v>0</v>
      </c>
      <c r="T99" s="8">
        <f>'01_Input_Raw_Products'!Q99</f>
        <v>0</v>
      </c>
      <c r="U99" s="8">
        <f>'01_Input_Raw_Products'!R99</f>
        <v>0</v>
      </c>
      <c r="V99" s="7">
        <f>I99</f>
        <v>0</v>
      </c>
      <c r="W99" s="9" cm="1">
        <f t="array" ref="W99">IF('01_Input_Raw_Products'!G99&lt;&gt;"",'01_Input_Raw_Products'!G99,IFERROR(_xlfn.XLOOKUP('01_Input_Raw_Products'!F99,'10_Master_Gem_Types'!A:A,'10_Master_Gem_Types'!L:L),""))</f>
        <v>0</v>
      </c>
      <c r="X99" s="9" cm="1">
        <f t="array" ref="X99">IFERROR(_xlfn.XLOOKUP('01_Input_Raw_Products'!F99,'10_Master_Gem_Types'!A:A,'10_Master_Gem_Types'!J:J),"")</f>
        <v>0</v>
      </c>
      <c r="Y99" s="9" cm="1">
        <f t="array" ref="Y99">IFERROR(_xlfn.XLOOKUP('01_Input_Raw_Products'!F99,'10_Master_Gem_Types'!A:A,'10_Master_Gem_Types'!I:I),"")</f>
        <v>0</v>
      </c>
      <c r="Z99" s="9" cm="1">
        <f t="array" ref="Z99">IFERROR(_xlfn.XLOOKUP('01_Input_Raw_Products'!L99,'13_Certification_Stickers'!A:A,'13_Certification_Stickers'!C:C),"")</f>
        <v>0</v>
      </c>
      <c r="AA99" s="9" cm="1">
        <f t="array" ref="AA99">IFERROR(_xlfn.XLOOKUP('01_Input_Raw_Products'!S99,'14_Shipping_Rules'!A:A,'14_Shipping_Rules'!B:B),"")</f>
        <v>0</v>
      </c>
      <c r="AB99" s="9" cm="1">
        <f t="array" ref="AB99">IFERROR(_xlfn.XLOOKUP('01_Input_Raw_Products'!D99,'16_Astro_Flags'!A:A,'16_Astro_Flags'!B:B),"")</f>
        <v>0</v>
      </c>
      <c r="AC99" s="9">
        <f>IF(C99="","","Catalog, Search")</f>
        <v>0</v>
      </c>
      <c r="AD99" s="9">
        <f>IF(C99="","",IF(OR(F99="",J99="",M99="",S99="",Y99=""),"Manual Review","Ready"))</f>
        <v>0</v>
      </c>
      <c r="AE99" s="9">
        <f>IF(C99="","",TEXTJOIN("; ",TRUE,IF(F99="","Missing url_key",""),IF(J99="","Missing classification",""),IF(M99="","Missing j_colour",""),IF(S99="","Missing hsn_code",""),IF(Y99="","Missing tax_class_id","")))</f>
        <v>0</v>
      </c>
    </row>
    <row r="100" spans="1:31">
      <c r="A100" s="9">
        <f>IF('01_Input_Raw_Products'!B100&lt;&gt;"",20,"")</f>
        <v>0</v>
      </c>
      <c r="B100" s="9" cm="1">
        <f t="array" ref="B100">IF('01_Input_Raw_Products'!M100&lt;&gt;"",'01_Input_Raw_Products'!M100,IFERROR(_xlfn.XLOOKUP('01_Input_Raw_Products'!F100,'10_Master_Gem_Types'!A:A,'10_Master_Gem_Types'!K:K),""))</f>
        <v>0</v>
      </c>
      <c r="C100" s="9">
        <f>'01_Input_Raw_Products'!B100</f>
        <v>0</v>
      </c>
      <c r="D100" s="9">
        <f>IF(C100="","",TEXT(I100,"0.00")&amp;" Ct "&amp;IF('01_Input_Raw_Products'!F100&lt;&gt;"",'01_Input_Raw_Products'!F100,'01_Input_Raw_Products'!D100)&amp;" "&amp;'01_Input_Raw_Products'!I100)</f>
        <v>0</v>
      </c>
      <c r="E100" s="9">
        <f>IF(C100="","",D100&amp;" | GemPundit")</f>
        <v>0</v>
      </c>
      <c r="F100" s="9" cm="1">
        <f t="array" ref="F100">IF('01_Input_Raw_Products'!X100&lt;&gt;"",'01_Input_Raw_Products'!X100,IFERROR(_xlfn.XLOOKUP('01_Input_Raw_Products'!F100,'10_Master_Gem_Types'!A:A,'10_Master_Gem_Types'!O:O),LOWER(SUBSTITUTE(IF('01_Input_Raw_Products'!F100&lt;&gt;"",'01_Input_Raw_Products'!F100,'01_Input_Raw_Products'!D100)," ","-"))))</f>
        <v>0</v>
      </c>
      <c r="G100" s="9">
        <f>'01_Input_Raw_Products'!C100</f>
        <v>0</v>
      </c>
      <c r="H100" s="9" cm="1">
        <f t="array" ref="H100">IF('01_Input_Raw_Products'!H100&lt;&gt;"",'01_Input_Raw_Products'!H100,IFERROR(_xlfn.XLOOKUP('01_Input_Raw_Products'!F100,'10_Master_Gem_Types'!A:A,'10_Master_Gem_Types'!D:D),""))</f>
        <v>0</v>
      </c>
      <c r="I100" s="7">
        <f>IF('01_Input_Raw_Products'!N100&lt;&gt;"",'01_Input_Raw_Products'!N100,IF('01_Input_Raw_Products'!O100&lt;&gt;"",'01_Input_Raw_Products'!O100*0.91,""))</f>
        <v>0</v>
      </c>
      <c r="J100" s="9" cm="1">
        <f t="array" ref="J100">IFERROR(_xlfn.XLOOKUP('01_Input_Raw_Products'!F100,'10_Master_Gem_Types'!A:A,'10_Master_Gem_Types'!N:N),"")</f>
        <v>0</v>
      </c>
      <c r="K100" s="9" cm="1">
        <f t="array" ref="K100">IF('01_Input_Raw_Products'!J100&lt;&gt;"",'01_Input_Raw_Products'!J100,IFERROR(_xlfn.XLOOKUP('01_Input_Raw_Products'!F100,'10_Master_Gem_Types'!A:A,'10_Master_Gem_Types'!E:E),""))</f>
        <v>0</v>
      </c>
      <c r="L100" s="9">
        <f>'01_Input_Raw_Products'!P100</f>
        <v>0</v>
      </c>
      <c r="M100" s="9" cm="1">
        <f t="array" ref="M100">IFERROR(_xlfn.XLOOKUP('01_Input_Raw_Products'!K100,'12_Color_Mapping'!A:A,'12_Color_Mapping'!B:B),IFERROR(_xlfn.XLOOKUP('01_Input_Raw_Products'!F100,'10_Master_Gem_Types'!A:A,'10_Master_Gem_Types'!F:F),""))</f>
        <v>0</v>
      </c>
      <c r="N100" s="9">
        <f>IF(C100="","",IF('01_Input_Raw_Products'!F100&lt;&gt;"",'01_Input_Raw_Products'!F100,'01_Input_Raw_Products'!D100))</f>
        <v>0</v>
      </c>
      <c r="O100" s="9">
        <f>IF(C100="","","Catalog Automation")</f>
        <v>0</v>
      </c>
      <c r="P100" s="9">
        <f>'01_Input_Raw_Products'!U100</f>
        <v>0</v>
      </c>
      <c r="Q100" s="7">
        <f>IF('01_Input_Raw_Products'!O100&lt;&gt;"",'01_Input_Raw_Products'!O100,IF('01_Input_Raw_Products'!N100&lt;&gt;"",'01_Input_Raw_Products'!N100*1.1,""))</f>
        <v>0</v>
      </c>
      <c r="R100" s="9">
        <f>'01_Input_Raw_Products'!S100</f>
        <v>0</v>
      </c>
      <c r="S100" s="9" cm="1">
        <f t="array" ref="S100">IFERROR(_xlfn.XLOOKUP('01_Input_Raw_Products'!F100,'10_Master_Gem_Types'!A:A,'10_Master_Gem_Types'!H:H),"")</f>
        <v>0</v>
      </c>
      <c r="T100" s="8">
        <f>'01_Input_Raw_Products'!Q100</f>
        <v>0</v>
      </c>
      <c r="U100" s="8">
        <f>'01_Input_Raw_Products'!R100</f>
        <v>0</v>
      </c>
      <c r="V100" s="7">
        <f>I100</f>
        <v>0</v>
      </c>
      <c r="W100" s="9" cm="1">
        <f t="array" ref="W100">IF('01_Input_Raw_Products'!G100&lt;&gt;"",'01_Input_Raw_Products'!G100,IFERROR(_xlfn.XLOOKUP('01_Input_Raw_Products'!F100,'10_Master_Gem_Types'!A:A,'10_Master_Gem_Types'!L:L),""))</f>
        <v>0</v>
      </c>
      <c r="X100" s="9" cm="1">
        <f t="array" ref="X100">IFERROR(_xlfn.XLOOKUP('01_Input_Raw_Products'!F100,'10_Master_Gem_Types'!A:A,'10_Master_Gem_Types'!J:J),"")</f>
        <v>0</v>
      </c>
      <c r="Y100" s="9" cm="1">
        <f t="array" ref="Y100">IFERROR(_xlfn.XLOOKUP('01_Input_Raw_Products'!F100,'10_Master_Gem_Types'!A:A,'10_Master_Gem_Types'!I:I),"")</f>
        <v>0</v>
      </c>
      <c r="Z100" s="9" cm="1">
        <f t="array" ref="Z100">IFERROR(_xlfn.XLOOKUP('01_Input_Raw_Products'!L100,'13_Certification_Stickers'!A:A,'13_Certification_Stickers'!C:C),"")</f>
        <v>0</v>
      </c>
      <c r="AA100" s="9" cm="1">
        <f t="array" ref="AA100">IFERROR(_xlfn.XLOOKUP('01_Input_Raw_Products'!S100,'14_Shipping_Rules'!A:A,'14_Shipping_Rules'!B:B),"")</f>
        <v>0</v>
      </c>
      <c r="AB100" s="9" cm="1">
        <f t="array" ref="AB100">IFERROR(_xlfn.XLOOKUP('01_Input_Raw_Products'!D100,'16_Astro_Flags'!A:A,'16_Astro_Flags'!B:B),"")</f>
        <v>0</v>
      </c>
      <c r="AC100" s="9">
        <f>IF(C100="","","Catalog, Search")</f>
        <v>0</v>
      </c>
      <c r="AD100" s="9">
        <f>IF(C100="","",IF(OR(F100="",J100="",M100="",S100="",Y100=""),"Manual Review","Ready"))</f>
        <v>0</v>
      </c>
      <c r="AE100" s="9">
        <f>IF(C100="","",TEXTJOIN("; ",TRUE,IF(F100="","Missing url_key",""),IF(J100="","Missing classification",""),IF(M100="","Missing j_colour",""),IF(S100="","Missing hsn_code",""),IF(Y100="","Missing tax_class_id","")))</f>
        <v>0</v>
      </c>
    </row>
    <row r="101" spans="1:31">
      <c r="A101" s="9">
        <f>IF('01_Input_Raw_Products'!B101&lt;&gt;"",20,"")</f>
        <v>0</v>
      </c>
      <c r="B101" s="9" cm="1">
        <f t="array" ref="B101">IF('01_Input_Raw_Products'!M101&lt;&gt;"",'01_Input_Raw_Products'!M101,IFERROR(_xlfn.XLOOKUP('01_Input_Raw_Products'!F101,'10_Master_Gem_Types'!A:A,'10_Master_Gem_Types'!K:K),""))</f>
        <v>0</v>
      </c>
      <c r="C101" s="9">
        <f>'01_Input_Raw_Products'!B101</f>
        <v>0</v>
      </c>
      <c r="D101" s="9">
        <f>IF(C101="","",TEXT(I101,"0.00")&amp;" Ct "&amp;IF('01_Input_Raw_Products'!F101&lt;&gt;"",'01_Input_Raw_Products'!F101,'01_Input_Raw_Products'!D101)&amp;" "&amp;'01_Input_Raw_Products'!I101)</f>
        <v>0</v>
      </c>
      <c r="E101" s="9">
        <f>IF(C101="","",D101&amp;" | GemPundit")</f>
        <v>0</v>
      </c>
      <c r="F101" s="9" cm="1">
        <f t="array" ref="F101">IF('01_Input_Raw_Products'!X101&lt;&gt;"",'01_Input_Raw_Products'!X101,IFERROR(_xlfn.XLOOKUP('01_Input_Raw_Products'!F101,'10_Master_Gem_Types'!A:A,'10_Master_Gem_Types'!O:O),LOWER(SUBSTITUTE(IF('01_Input_Raw_Products'!F101&lt;&gt;"",'01_Input_Raw_Products'!F101,'01_Input_Raw_Products'!D101)," ","-"))))</f>
        <v>0</v>
      </c>
      <c r="G101" s="9">
        <f>'01_Input_Raw_Products'!C101</f>
        <v>0</v>
      </c>
      <c r="H101" s="9" cm="1">
        <f t="array" ref="H101">IF('01_Input_Raw_Products'!H101&lt;&gt;"",'01_Input_Raw_Products'!H101,IFERROR(_xlfn.XLOOKUP('01_Input_Raw_Products'!F101,'10_Master_Gem_Types'!A:A,'10_Master_Gem_Types'!D:D),""))</f>
        <v>0</v>
      </c>
      <c r="I101" s="7">
        <f>IF('01_Input_Raw_Products'!N101&lt;&gt;"",'01_Input_Raw_Products'!N101,IF('01_Input_Raw_Products'!O101&lt;&gt;"",'01_Input_Raw_Products'!O101*0.91,""))</f>
        <v>0</v>
      </c>
      <c r="J101" s="9" cm="1">
        <f t="array" ref="J101">IFERROR(_xlfn.XLOOKUP('01_Input_Raw_Products'!F101,'10_Master_Gem_Types'!A:A,'10_Master_Gem_Types'!N:N),"")</f>
        <v>0</v>
      </c>
      <c r="K101" s="9" cm="1">
        <f t="array" ref="K101">IF('01_Input_Raw_Products'!J101&lt;&gt;"",'01_Input_Raw_Products'!J101,IFERROR(_xlfn.XLOOKUP('01_Input_Raw_Products'!F101,'10_Master_Gem_Types'!A:A,'10_Master_Gem_Types'!E:E),""))</f>
        <v>0</v>
      </c>
      <c r="L101" s="9">
        <f>'01_Input_Raw_Products'!P101</f>
        <v>0</v>
      </c>
      <c r="M101" s="9" cm="1">
        <f t="array" ref="M101">IFERROR(_xlfn.XLOOKUP('01_Input_Raw_Products'!K101,'12_Color_Mapping'!A:A,'12_Color_Mapping'!B:B),IFERROR(_xlfn.XLOOKUP('01_Input_Raw_Products'!F101,'10_Master_Gem_Types'!A:A,'10_Master_Gem_Types'!F:F),""))</f>
        <v>0</v>
      </c>
      <c r="N101" s="9">
        <f>IF(C101="","",IF('01_Input_Raw_Products'!F101&lt;&gt;"",'01_Input_Raw_Products'!F101,'01_Input_Raw_Products'!D101))</f>
        <v>0</v>
      </c>
      <c r="O101" s="9">
        <f>IF(C101="","","Catalog Automation")</f>
        <v>0</v>
      </c>
      <c r="P101" s="9">
        <f>'01_Input_Raw_Products'!U101</f>
        <v>0</v>
      </c>
      <c r="Q101" s="7">
        <f>IF('01_Input_Raw_Products'!O101&lt;&gt;"",'01_Input_Raw_Products'!O101,IF('01_Input_Raw_Products'!N101&lt;&gt;"",'01_Input_Raw_Products'!N101*1.1,""))</f>
        <v>0</v>
      </c>
      <c r="R101" s="9">
        <f>'01_Input_Raw_Products'!S101</f>
        <v>0</v>
      </c>
      <c r="S101" s="9" cm="1">
        <f t="array" ref="S101">IFERROR(_xlfn.XLOOKUP('01_Input_Raw_Products'!F101,'10_Master_Gem_Types'!A:A,'10_Master_Gem_Types'!H:H),"")</f>
        <v>0</v>
      </c>
      <c r="T101" s="8">
        <f>'01_Input_Raw_Products'!Q101</f>
        <v>0</v>
      </c>
      <c r="U101" s="8">
        <f>'01_Input_Raw_Products'!R101</f>
        <v>0</v>
      </c>
      <c r="V101" s="7">
        <f>I101</f>
        <v>0</v>
      </c>
      <c r="W101" s="9" cm="1">
        <f t="array" ref="W101">IF('01_Input_Raw_Products'!G101&lt;&gt;"",'01_Input_Raw_Products'!G101,IFERROR(_xlfn.XLOOKUP('01_Input_Raw_Products'!F101,'10_Master_Gem_Types'!A:A,'10_Master_Gem_Types'!L:L),""))</f>
        <v>0</v>
      </c>
      <c r="X101" s="9" cm="1">
        <f t="array" ref="X101">IFERROR(_xlfn.XLOOKUP('01_Input_Raw_Products'!F101,'10_Master_Gem_Types'!A:A,'10_Master_Gem_Types'!J:J),"")</f>
        <v>0</v>
      </c>
      <c r="Y101" s="9" cm="1">
        <f t="array" ref="Y101">IFERROR(_xlfn.XLOOKUP('01_Input_Raw_Products'!F101,'10_Master_Gem_Types'!A:A,'10_Master_Gem_Types'!I:I),"")</f>
        <v>0</v>
      </c>
      <c r="Z101" s="9" cm="1">
        <f t="array" ref="Z101">IFERROR(_xlfn.XLOOKUP('01_Input_Raw_Products'!L101,'13_Certification_Stickers'!A:A,'13_Certification_Stickers'!C:C),"")</f>
        <v>0</v>
      </c>
      <c r="AA101" s="9" cm="1">
        <f t="array" ref="AA101">IFERROR(_xlfn.XLOOKUP('01_Input_Raw_Products'!S101,'14_Shipping_Rules'!A:A,'14_Shipping_Rules'!B:B),"")</f>
        <v>0</v>
      </c>
      <c r="AB101" s="9" cm="1">
        <f t="array" ref="AB101">IFERROR(_xlfn.XLOOKUP('01_Input_Raw_Products'!D101,'16_Astro_Flags'!A:A,'16_Astro_Flags'!B:B),"")</f>
        <v>0</v>
      </c>
      <c r="AC101" s="9">
        <f>IF(C101="","","Catalog, Search")</f>
        <v>0</v>
      </c>
      <c r="AD101" s="9">
        <f>IF(C101="","",IF(OR(F101="",J101="",M101="",S101="",Y101=""),"Manual Review","Ready"))</f>
        <v>0</v>
      </c>
      <c r="AE101" s="9">
        <f>IF(C101="","",TEXTJOIN("; ",TRUE,IF(F101="","Missing url_key",""),IF(J101="","Missing classification",""),IF(M101="","Missing j_colour",""),IF(S101="","Missing hsn_code",""),IF(Y101="","Missing tax_class_id","")))</f>
        <v>0</v>
      </c>
    </row>
    <row r="102" spans="1:31">
      <c r="A102" s="9">
        <f>IF('01_Input_Raw_Products'!B102&lt;&gt;"",20,"")</f>
        <v>0</v>
      </c>
      <c r="B102" s="9" cm="1">
        <f t="array" ref="B102">IF('01_Input_Raw_Products'!M102&lt;&gt;"",'01_Input_Raw_Products'!M102,IFERROR(_xlfn.XLOOKUP('01_Input_Raw_Products'!F102,'10_Master_Gem_Types'!A:A,'10_Master_Gem_Types'!K:K),""))</f>
        <v>0</v>
      </c>
      <c r="C102" s="9">
        <f>'01_Input_Raw_Products'!B102</f>
        <v>0</v>
      </c>
      <c r="D102" s="9">
        <f>IF(C102="","",TEXT(I102,"0.00")&amp;" Ct "&amp;IF('01_Input_Raw_Products'!F102&lt;&gt;"",'01_Input_Raw_Products'!F102,'01_Input_Raw_Products'!D102)&amp;" "&amp;'01_Input_Raw_Products'!I102)</f>
        <v>0</v>
      </c>
      <c r="E102" s="9">
        <f>IF(C102="","",D102&amp;" | GemPundit")</f>
        <v>0</v>
      </c>
      <c r="F102" s="9" cm="1">
        <f t="array" ref="F102">IF('01_Input_Raw_Products'!X102&lt;&gt;"",'01_Input_Raw_Products'!X102,IFERROR(_xlfn.XLOOKUP('01_Input_Raw_Products'!F102,'10_Master_Gem_Types'!A:A,'10_Master_Gem_Types'!O:O),LOWER(SUBSTITUTE(IF('01_Input_Raw_Products'!F102&lt;&gt;"",'01_Input_Raw_Products'!F102,'01_Input_Raw_Products'!D102)," ","-"))))</f>
        <v>0</v>
      </c>
      <c r="G102" s="9">
        <f>'01_Input_Raw_Products'!C102</f>
        <v>0</v>
      </c>
      <c r="H102" s="9" cm="1">
        <f t="array" ref="H102">IF('01_Input_Raw_Products'!H102&lt;&gt;"",'01_Input_Raw_Products'!H102,IFERROR(_xlfn.XLOOKUP('01_Input_Raw_Products'!F102,'10_Master_Gem_Types'!A:A,'10_Master_Gem_Types'!D:D),""))</f>
        <v>0</v>
      </c>
      <c r="I102" s="7">
        <f>IF('01_Input_Raw_Products'!N102&lt;&gt;"",'01_Input_Raw_Products'!N102,IF('01_Input_Raw_Products'!O102&lt;&gt;"",'01_Input_Raw_Products'!O102*0.91,""))</f>
        <v>0</v>
      </c>
      <c r="J102" s="9" cm="1">
        <f t="array" ref="J102">IFERROR(_xlfn.XLOOKUP('01_Input_Raw_Products'!F102,'10_Master_Gem_Types'!A:A,'10_Master_Gem_Types'!N:N),"")</f>
        <v>0</v>
      </c>
      <c r="K102" s="9" cm="1">
        <f t="array" ref="K102">IF('01_Input_Raw_Products'!J102&lt;&gt;"",'01_Input_Raw_Products'!J102,IFERROR(_xlfn.XLOOKUP('01_Input_Raw_Products'!F102,'10_Master_Gem_Types'!A:A,'10_Master_Gem_Types'!E:E),""))</f>
        <v>0</v>
      </c>
      <c r="L102" s="9">
        <f>'01_Input_Raw_Products'!P102</f>
        <v>0</v>
      </c>
      <c r="M102" s="9" cm="1">
        <f t="array" ref="M102">IFERROR(_xlfn.XLOOKUP('01_Input_Raw_Products'!K102,'12_Color_Mapping'!A:A,'12_Color_Mapping'!B:B),IFERROR(_xlfn.XLOOKUP('01_Input_Raw_Products'!F102,'10_Master_Gem_Types'!A:A,'10_Master_Gem_Types'!F:F),""))</f>
        <v>0</v>
      </c>
      <c r="N102" s="9">
        <f>IF(C102="","",IF('01_Input_Raw_Products'!F102&lt;&gt;"",'01_Input_Raw_Products'!F102,'01_Input_Raw_Products'!D102))</f>
        <v>0</v>
      </c>
      <c r="O102" s="9">
        <f>IF(C102="","","Catalog Automation")</f>
        <v>0</v>
      </c>
      <c r="P102" s="9">
        <f>'01_Input_Raw_Products'!U102</f>
        <v>0</v>
      </c>
      <c r="Q102" s="7">
        <f>IF('01_Input_Raw_Products'!O102&lt;&gt;"",'01_Input_Raw_Products'!O102,IF('01_Input_Raw_Products'!N102&lt;&gt;"",'01_Input_Raw_Products'!N102*1.1,""))</f>
        <v>0</v>
      </c>
      <c r="R102" s="9">
        <f>'01_Input_Raw_Products'!S102</f>
        <v>0</v>
      </c>
      <c r="S102" s="9" cm="1">
        <f t="array" ref="S102">IFERROR(_xlfn.XLOOKUP('01_Input_Raw_Products'!F102,'10_Master_Gem_Types'!A:A,'10_Master_Gem_Types'!H:H),"")</f>
        <v>0</v>
      </c>
      <c r="T102" s="8">
        <f>'01_Input_Raw_Products'!Q102</f>
        <v>0</v>
      </c>
      <c r="U102" s="8">
        <f>'01_Input_Raw_Products'!R102</f>
        <v>0</v>
      </c>
      <c r="V102" s="7">
        <f>I102</f>
        <v>0</v>
      </c>
      <c r="W102" s="9" cm="1">
        <f t="array" ref="W102">IF('01_Input_Raw_Products'!G102&lt;&gt;"",'01_Input_Raw_Products'!G102,IFERROR(_xlfn.XLOOKUP('01_Input_Raw_Products'!F102,'10_Master_Gem_Types'!A:A,'10_Master_Gem_Types'!L:L),""))</f>
        <v>0</v>
      </c>
      <c r="X102" s="9" cm="1">
        <f t="array" ref="X102">IFERROR(_xlfn.XLOOKUP('01_Input_Raw_Products'!F102,'10_Master_Gem_Types'!A:A,'10_Master_Gem_Types'!J:J),"")</f>
        <v>0</v>
      </c>
      <c r="Y102" s="9" cm="1">
        <f t="array" ref="Y102">IFERROR(_xlfn.XLOOKUP('01_Input_Raw_Products'!F102,'10_Master_Gem_Types'!A:A,'10_Master_Gem_Types'!I:I),"")</f>
        <v>0</v>
      </c>
      <c r="Z102" s="9" cm="1">
        <f t="array" ref="Z102">IFERROR(_xlfn.XLOOKUP('01_Input_Raw_Products'!L102,'13_Certification_Stickers'!A:A,'13_Certification_Stickers'!C:C),"")</f>
        <v>0</v>
      </c>
      <c r="AA102" s="9" cm="1">
        <f t="array" ref="AA102">IFERROR(_xlfn.XLOOKUP('01_Input_Raw_Products'!S102,'14_Shipping_Rules'!A:A,'14_Shipping_Rules'!B:B),"")</f>
        <v>0</v>
      </c>
      <c r="AB102" s="9" cm="1">
        <f t="array" ref="AB102">IFERROR(_xlfn.XLOOKUP('01_Input_Raw_Products'!D102,'16_Astro_Flags'!A:A,'16_Astro_Flags'!B:B),"")</f>
        <v>0</v>
      </c>
      <c r="AC102" s="9">
        <f>IF(C102="","","Catalog, Search")</f>
        <v>0</v>
      </c>
      <c r="AD102" s="9">
        <f>IF(C102="","",IF(OR(F102="",J102="",M102="",S102="",Y102=""),"Manual Review","Ready"))</f>
        <v>0</v>
      </c>
      <c r="AE102" s="9">
        <f>IF(C102="","",TEXTJOIN("; ",TRUE,IF(F102="","Missing url_key",""),IF(J102="","Missing classification",""),IF(M102="","Missing j_colour",""),IF(S102="","Missing hsn_code",""),IF(Y102="","Missing tax_class_id","")))</f>
        <v>0</v>
      </c>
    </row>
    <row r="103" spans="1:31">
      <c r="A103" s="9">
        <f>IF('01_Input_Raw_Products'!B103&lt;&gt;"",20,"")</f>
        <v>0</v>
      </c>
      <c r="B103" s="9" cm="1">
        <f t="array" ref="B103">IF('01_Input_Raw_Products'!M103&lt;&gt;"",'01_Input_Raw_Products'!M103,IFERROR(_xlfn.XLOOKUP('01_Input_Raw_Products'!F103,'10_Master_Gem_Types'!A:A,'10_Master_Gem_Types'!K:K),""))</f>
        <v>0</v>
      </c>
      <c r="C103" s="9">
        <f>'01_Input_Raw_Products'!B103</f>
        <v>0</v>
      </c>
      <c r="D103" s="9">
        <f>IF(C103="","",TEXT(I103,"0.00")&amp;" Ct "&amp;IF('01_Input_Raw_Products'!F103&lt;&gt;"",'01_Input_Raw_Products'!F103,'01_Input_Raw_Products'!D103)&amp;" "&amp;'01_Input_Raw_Products'!I103)</f>
        <v>0</v>
      </c>
      <c r="E103" s="9">
        <f>IF(C103="","",D103&amp;" | GemPundit")</f>
        <v>0</v>
      </c>
      <c r="F103" s="9" cm="1">
        <f t="array" ref="F103">IF('01_Input_Raw_Products'!X103&lt;&gt;"",'01_Input_Raw_Products'!X103,IFERROR(_xlfn.XLOOKUP('01_Input_Raw_Products'!F103,'10_Master_Gem_Types'!A:A,'10_Master_Gem_Types'!O:O),LOWER(SUBSTITUTE(IF('01_Input_Raw_Products'!F103&lt;&gt;"",'01_Input_Raw_Products'!F103,'01_Input_Raw_Products'!D103)," ","-"))))</f>
        <v>0</v>
      </c>
      <c r="G103" s="9">
        <f>'01_Input_Raw_Products'!C103</f>
        <v>0</v>
      </c>
      <c r="H103" s="9" cm="1">
        <f t="array" ref="H103">IF('01_Input_Raw_Products'!H103&lt;&gt;"",'01_Input_Raw_Products'!H103,IFERROR(_xlfn.XLOOKUP('01_Input_Raw_Products'!F103,'10_Master_Gem_Types'!A:A,'10_Master_Gem_Types'!D:D),""))</f>
        <v>0</v>
      </c>
      <c r="I103" s="7">
        <f>IF('01_Input_Raw_Products'!N103&lt;&gt;"",'01_Input_Raw_Products'!N103,IF('01_Input_Raw_Products'!O103&lt;&gt;"",'01_Input_Raw_Products'!O103*0.91,""))</f>
        <v>0</v>
      </c>
      <c r="J103" s="9" cm="1">
        <f t="array" ref="J103">IFERROR(_xlfn.XLOOKUP('01_Input_Raw_Products'!F103,'10_Master_Gem_Types'!A:A,'10_Master_Gem_Types'!N:N),"")</f>
        <v>0</v>
      </c>
      <c r="K103" s="9" cm="1">
        <f t="array" ref="K103">IF('01_Input_Raw_Products'!J103&lt;&gt;"",'01_Input_Raw_Products'!J103,IFERROR(_xlfn.XLOOKUP('01_Input_Raw_Products'!F103,'10_Master_Gem_Types'!A:A,'10_Master_Gem_Types'!E:E),""))</f>
        <v>0</v>
      </c>
      <c r="L103" s="9">
        <f>'01_Input_Raw_Products'!P103</f>
        <v>0</v>
      </c>
      <c r="M103" s="9" cm="1">
        <f t="array" ref="M103">IFERROR(_xlfn.XLOOKUP('01_Input_Raw_Products'!K103,'12_Color_Mapping'!A:A,'12_Color_Mapping'!B:B),IFERROR(_xlfn.XLOOKUP('01_Input_Raw_Products'!F103,'10_Master_Gem_Types'!A:A,'10_Master_Gem_Types'!F:F),""))</f>
        <v>0</v>
      </c>
      <c r="N103" s="9">
        <f>IF(C103="","",IF('01_Input_Raw_Products'!F103&lt;&gt;"",'01_Input_Raw_Products'!F103,'01_Input_Raw_Products'!D103))</f>
        <v>0</v>
      </c>
      <c r="O103" s="9">
        <f>IF(C103="","","Catalog Automation")</f>
        <v>0</v>
      </c>
      <c r="P103" s="9">
        <f>'01_Input_Raw_Products'!U103</f>
        <v>0</v>
      </c>
      <c r="Q103" s="7">
        <f>IF('01_Input_Raw_Products'!O103&lt;&gt;"",'01_Input_Raw_Products'!O103,IF('01_Input_Raw_Products'!N103&lt;&gt;"",'01_Input_Raw_Products'!N103*1.1,""))</f>
        <v>0</v>
      </c>
      <c r="R103" s="9">
        <f>'01_Input_Raw_Products'!S103</f>
        <v>0</v>
      </c>
      <c r="S103" s="9" cm="1">
        <f t="array" ref="S103">IFERROR(_xlfn.XLOOKUP('01_Input_Raw_Products'!F103,'10_Master_Gem_Types'!A:A,'10_Master_Gem_Types'!H:H),"")</f>
        <v>0</v>
      </c>
      <c r="T103" s="8">
        <f>'01_Input_Raw_Products'!Q103</f>
        <v>0</v>
      </c>
      <c r="U103" s="8">
        <f>'01_Input_Raw_Products'!R103</f>
        <v>0</v>
      </c>
      <c r="V103" s="7">
        <f>I103</f>
        <v>0</v>
      </c>
      <c r="W103" s="9" cm="1">
        <f t="array" ref="W103">IF('01_Input_Raw_Products'!G103&lt;&gt;"",'01_Input_Raw_Products'!G103,IFERROR(_xlfn.XLOOKUP('01_Input_Raw_Products'!F103,'10_Master_Gem_Types'!A:A,'10_Master_Gem_Types'!L:L),""))</f>
        <v>0</v>
      </c>
      <c r="X103" s="9" cm="1">
        <f t="array" ref="X103">IFERROR(_xlfn.XLOOKUP('01_Input_Raw_Products'!F103,'10_Master_Gem_Types'!A:A,'10_Master_Gem_Types'!J:J),"")</f>
        <v>0</v>
      </c>
      <c r="Y103" s="9" cm="1">
        <f t="array" ref="Y103">IFERROR(_xlfn.XLOOKUP('01_Input_Raw_Products'!F103,'10_Master_Gem_Types'!A:A,'10_Master_Gem_Types'!I:I),"")</f>
        <v>0</v>
      </c>
      <c r="Z103" s="9" cm="1">
        <f t="array" ref="Z103">IFERROR(_xlfn.XLOOKUP('01_Input_Raw_Products'!L103,'13_Certification_Stickers'!A:A,'13_Certification_Stickers'!C:C),"")</f>
        <v>0</v>
      </c>
      <c r="AA103" s="9" cm="1">
        <f t="array" ref="AA103">IFERROR(_xlfn.XLOOKUP('01_Input_Raw_Products'!S103,'14_Shipping_Rules'!A:A,'14_Shipping_Rules'!B:B),"")</f>
        <v>0</v>
      </c>
      <c r="AB103" s="9" cm="1">
        <f t="array" ref="AB103">IFERROR(_xlfn.XLOOKUP('01_Input_Raw_Products'!D103,'16_Astro_Flags'!A:A,'16_Astro_Flags'!B:B),"")</f>
        <v>0</v>
      </c>
      <c r="AC103" s="9">
        <f>IF(C103="","","Catalog, Search")</f>
        <v>0</v>
      </c>
      <c r="AD103" s="9">
        <f>IF(C103="","",IF(OR(F103="",J103="",M103="",S103="",Y103=""),"Manual Review","Ready"))</f>
        <v>0</v>
      </c>
      <c r="AE103" s="9">
        <f>IF(C103="","",TEXTJOIN("; ",TRUE,IF(F103="","Missing url_key",""),IF(J103="","Missing classification",""),IF(M103="","Missing j_colour",""),IF(S103="","Missing hsn_code",""),IF(Y103="","Missing tax_class_id","")))</f>
        <v>0</v>
      </c>
    </row>
    <row r="104" spans="1:31">
      <c r="A104" s="9">
        <f>IF('01_Input_Raw_Products'!B104&lt;&gt;"",20,"")</f>
        <v>0</v>
      </c>
      <c r="B104" s="9" cm="1">
        <f t="array" ref="B104">IF('01_Input_Raw_Products'!M104&lt;&gt;"",'01_Input_Raw_Products'!M104,IFERROR(_xlfn.XLOOKUP('01_Input_Raw_Products'!F104,'10_Master_Gem_Types'!A:A,'10_Master_Gem_Types'!K:K),""))</f>
        <v>0</v>
      </c>
      <c r="C104" s="9">
        <f>'01_Input_Raw_Products'!B104</f>
        <v>0</v>
      </c>
      <c r="D104" s="9">
        <f>IF(C104="","",TEXT(I104,"0.00")&amp;" Ct "&amp;IF('01_Input_Raw_Products'!F104&lt;&gt;"",'01_Input_Raw_Products'!F104,'01_Input_Raw_Products'!D104)&amp;" "&amp;'01_Input_Raw_Products'!I104)</f>
        <v>0</v>
      </c>
      <c r="E104" s="9">
        <f>IF(C104="","",D104&amp;" | GemPundit")</f>
        <v>0</v>
      </c>
      <c r="F104" s="9" cm="1">
        <f t="array" ref="F104">IF('01_Input_Raw_Products'!X104&lt;&gt;"",'01_Input_Raw_Products'!X104,IFERROR(_xlfn.XLOOKUP('01_Input_Raw_Products'!F104,'10_Master_Gem_Types'!A:A,'10_Master_Gem_Types'!O:O),LOWER(SUBSTITUTE(IF('01_Input_Raw_Products'!F104&lt;&gt;"",'01_Input_Raw_Products'!F104,'01_Input_Raw_Products'!D104)," ","-"))))</f>
        <v>0</v>
      </c>
      <c r="G104" s="9">
        <f>'01_Input_Raw_Products'!C104</f>
        <v>0</v>
      </c>
      <c r="H104" s="9" cm="1">
        <f t="array" ref="H104">IF('01_Input_Raw_Products'!H104&lt;&gt;"",'01_Input_Raw_Products'!H104,IFERROR(_xlfn.XLOOKUP('01_Input_Raw_Products'!F104,'10_Master_Gem_Types'!A:A,'10_Master_Gem_Types'!D:D),""))</f>
        <v>0</v>
      </c>
      <c r="I104" s="7">
        <f>IF('01_Input_Raw_Products'!N104&lt;&gt;"",'01_Input_Raw_Products'!N104,IF('01_Input_Raw_Products'!O104&lt;&gt;"",'01_Input_Raw_Products'!O104*0.91,""))</f>
        <v>0</v>
      </c>
      <c r="J104" s="9" cm="1">
        <f t="array" ref="J104">IFERROR(_xlfn.XLOOKUP('01_Input_Raw_Products'!F104,'10_Master_Gem_Types'!A:A,'10_Master_Gem_Types'!N:N),"")</f>
        <v>0</v>
      </c>
      <c r="K104" s="9" cm="1">
        <f t="array" ref="K104">IF('01_Input_Raw_Products'!J104&lt;&gt;"",'01_Input_Raw_Products'!J104,IFERROR(_xlfn.XLOOKUP('01_Input_Raw_Products'!F104,'10_Master_Gem_Types'!A:A,'10_Master_Gem_Types'!E:E),""))</f>
        <v>0</v>
      </c>
      <c r="L104" s="9">
        <f>'01_Input_Raw_Products'!P104</f>
        <v>0</v>
      </c>
      <c r="M104" s="9" cm="1">
        <f t="array" ref="M104">IFERROR(_xlfn.XLOOKUP('01_Input_Raw_Products'!K104,'12_Color_Mapping'!A:A,'12_Color_Mapping'!B:B),IFERROR(_xlfn.XLOOKUP('01_Input_Raw_Products'!F104,'10_Master_Gem_Types'!A:A,'10_Master_Gem_Types'!F:F),""))</f>
        <v>0</v>
      </c>
      <c r="N104" s="9">
        <f>IF(C104="","",IF('01_Input_Raw_Products'!F104&lt;&gt;"",'01_Input_Raw_Products'!F104,'01_Input_Raw_Products'!D104))</f>
        <v>0</v>
      </c>
      <c r="O104" s="9">
        <f>IF(C104="","","Catalog Automation")</f>
        <v>0</v>
      </c>
      <c r="P104" s="9">
        <f>'01_Input_Raw_Products'!U104</f>
        <v>0</v>
      </c>
      <c r="Q104" s="7">
        <f>IF('01_Input_Raw_Products'!O104&lt;&gt;"",'01_Input_Raw_Products'!O104,IF('01_Input_Raw_Products'!N104&lt;&gt;"",'01_Input_Raw_Products'!N104*1.1,""))</f>
        <v>0</v>
      </c>
      <c r="R104" s="9">
        <f>'01_Input_Raw_Products'!S104</f>
        <v>0</v>
      </c>
      <c r="S104" s="9" cm="1">
        <f t="array" ref="S104">IFERROR(_xlfn.XLOOKUP('01_Input_Raw_Products'!F104,'10_Master_Gem_Types'!A:A,'10_Master_Gem_Types'!H:H),"")</f>
        <v>0</v>
      </c>
      <c r="T104" s="8">
        <f>'01_Input_Raw_Products'!Q104</f>
        <v>0</v>
      </c>
      <c r="U104" s="8">
        <f>'01_Input_Raw_Products'!R104</f>
        <v>0</v>
      </c>
      <c r="V104" s="7">
        <f>I104</f>
        <v>0</v>
      </c>
      <c r="W104" s="9" cm="1">
        <f t="array" ref="W104">IF('01_Input_Raw_Products'!G104&lt;&gt;"",'01_Input_Raw_Products'!G104,IFERROR(_xlfn.XLOOKUP('01_Input_Raw_Products'!F104,'10_Master_Gem_Types'!A:A,'10_Master_Gem_Types'!L:L),""))</f>
        <v>0</v>
      </c>
      <c r="X104" s="9" cm="1">
        <f t="array" ref="X104">IFERROR(_xlfn.XLOOKUP('01_Input_Raw_Products'!F104,'10_Master_Gem_Types'!A:A,'10_Master_Gem_Types'!J:J),"")</f>
        <v>0</v>
      </c>
      <c r="Y104" s="9" cm="1">
        <f t="array" ref="Y104">IFERROR(_xlfn.XLOOKUP('01_Input_Raw_Products'!F104,'10_Master_Gem_Types'!A:A,'10_Master_Gem_Types'!I:I),"")</f>
        <v>0</v>
      </c>
      <c r="Z104" s="9" cm="1">
        <f t="array" ref="Z104">IFERROR(_xlfn.XLOOKUP('01_Input_Raw_Products'!L104,'13_Certification_Stickers'!A:A,'13_Certification_Stickers'!C:C),"")</f>
        <v>0</v>
      </c>
      <c r="AA104" s="9" cm="1">
        <f t="array" ref="AA104">IFERROR(_xlfn.XLOOKUP('01_Input_Raw_Products'!S104,'14_Shipping_Rules'!A:A,'14_Shipping_Rules'!B:B),"")</f>
        <v>0</v>
      </c>
      <c r="AB104" s="9" cm="1">
        <f t="array" ref="AB104">IFERROR(_xlfn.XLOOKUP('01_Input_Raw_Products'!D104,'16_Astro_Flags'!A:A,'16_Astro_Flags'!B:B),"")</f>
        <v>0</v>
      </c>
      <c r="AC104" s="9">
        <f>IF(C104="","","Catalog, Search")</f>
        <v>0</v>
      </c>
      <c r="AD104" s="9">
        <f>IF(C104="","",IF(OR(F104="",J104="",M104="",S104="",Y104=""),"Manual Review","Ready"))</f>
        <v>0</v>
      </c>
      <c r="AE104" s="9">
        <f>IF(C104="","",TEXTJOIN("; ",TRUE,IF(F104="","Missing url_key",""),IF(J104="","Missing classification",""),IF(M104="","Missing j_colour",""),IF(S104="","Missing hsn_code",""),IF(Y104="","Missing tax_class_id","")))</f>
        <v>0</v>
      </c>
    </row>
    <row r="105" spans="1:31">
      <c r="A105" s="9">
        <f>IF('01_Input_Raw_Products'!B105&lt;&gt;"",20,"")</f>
        <v>0</v>
      </c>
      <c r="B105" s="9" cm="1">
        <f t="array" ref="B105">IF('01_Input_Raw_Products'!M105&lt;&gt;"",'01_Input_Raw_Products'!M105,IFERROR(_xlfn.XLOOKUP('01_Input_Raw_Products'!F105,'10_Master_Gem_Types'!A:A,'10_Master_Gem_Types'!K:K),""))</f>
        <v>0</v>
      </c>
      <c r="C105" s="9">
        <f>'01_Input_Raw_Products'!B105</f>
        <v>0</v>
      </c>
      <c r="D105" s="9">
        <f>IF(C105="","",TEXT(I105,"0.00")&amp;" Ct "&amp;IF('01_Input_Raw_Products'!F105&lt;&gt;"",'01_Input_Raw_Products'!F105,'01_Input_Raw_Products'!D105)&amp;" "&amp;'01_Input_Raw_Products'!I105)</f>
        <v>0</v>
      </c>
      <c r="E105" s="9">
        <f>IF(C105="","",D105&amp;" | GemPundit")</f>
        <v>0</v>
      </c>
      <c r="F105" s="9" cm="1">
        <f t="array" ref="F105">IF('01_Input_Raw_Products'!X105&lt;&gt;"",'01_Input_Raw_Products'!X105,IFERROR(_xlfn.XLOOKUP('01_Input_Raw_Products'!F105,'10_Master_Gem_Types'!A:A,'10_Master_Gem_Types'!O:O),LOWER(SUBSTITUTE(IF('01_Input_Raw_Products'!F105&lt;&gt;"",'01_Input_Raw_Products'!F105,'01_Input_Raw_Products'!D105)," ","-"))))</f>
        <v>0</v>
      </c>
      <c r="G105" s="9">
        <f>'01_Input_Raw_Products'!C105</f>
        <v>0</v>
      </c>
      <c r="H105" s="9" cm="1">
        <f t="array" ref="H105">IF('01_Input_Raw_Products'!H105&lt;&gt;"",'01_Input_Raw_Products'!H105,IFERROR(_xlfn.XLOOKUP('01_Input_Raw_Products'!F105,'10_Master_Gem_Types'!A:A,'10_Master_Gem_Types'!D:D),""))</f>
        <v>0</v>
      </c>
      <c r="I105" s="7">
        <f>IF('01_Input_Raw_Products'!N105&lt;&gt;"",'01_Input_Raw_Products'!N105,IF('01_Input_Raw_Products'!O105&lt;&gt;"",'01_Input_Raw_Products'!O105*0.91,""))</f>
        <v>0</v>
      </c>
      <c r="J105" s="9" cm="1">
        <f t="array" ref="J105">IFERROR(_xlfn.XLOOKUP('01_Input_Raw_Products'!F105,'10_Master_Gem_Types'!A:A,'10_Master_Gem_Types'!N:N),"")</f>
        <v>0</v>
      </c>
      <c r="K105" s="9" cm="1">
        <f t="array" ref="K105">IF('01_Input_Raw_Products'!J105&lt;&gt;"",'01_Input_Raw_Products'!J105,IFERROR(_xlfn.XLOOKUP('01_Input_Raw_Products'!F105,'10_Master_Gem_Types'!A:A,'10_Master_Gem_Types'!E:E),""))</f>
        <v>0</v>
      </c>
      <c r="L105" s="9">
        <f>'01_Input_Raw_Products'!P105</f>
        <v>0</v>
      </c>
      <c r="M105" s="9" cm="1">
        <f t="array" ref="M105">IFERROR(_xlfn.XLOOKUP('01_Input_Raw_Products'!K105,'12_Color_Mapping'!A:A,'12_Color_Mapping'!B:B),IFERROR(_xlfn.XLOOKUP('01_Input_Raw_Products'!F105,'10_Master_Gem_Types'!A:A,'10_Master_Gem_Types'!F:F),""))</f>
        <v>0</v>
      </c>
      <c r="N105" s="9">
        <f>IF(C105="","",IF('01_Input_Raw_Products'!F105&lt;&gt;"",'01_Input_Raw_Products'!F105,'01_Input_Raw_Products'!D105))</f>
        <v>0</v>
      </c>
      <c r="O105" s="9">
        <f>IF(C105="","","Catalog Automation")</f>
        <v>0</v>
      </c>
      <c r="P105" s="9">
        <f>'01_Input_Raw_Products'!U105</f>
        <v>0</v>
      </c>
      <c r="Q105" s="7">
        <f>IF('01_Input_Raw_Products'!O105&lt;&gt;"",'01_Input_Raw_Products'!O105,IF('01_Input_Raw_Products'!N105&lt;&gt;"",'01_Input_Raw_Products'!N105*1.1,""))</f>
        <v>0</v>
      </c>
      <c r="R105" s="9">
        <f>'01_Input_Raw_Products'!S105</f>
        <v>0</v>
      </c>
      <c r="S105" s="9" cm="1">
        <f t="array" ref="S105">IFERROR(_xlfn.XLOOKUP('01_Input_Raw_Products'!F105,'10_Master_Gem_Types'!A:A,'10_Master_Gem_Types'!H:H),"")</f>
        <v>0</v>
      </c>
      <c r="T105" s="8">
        <f>'01_Input_Raw_Products'!Q105</f>
        <v>0</v>
      </c>
      <c r="U105" s="8">
        <f>'01_Input_Raw_Products'!R105</f>
        <v>0</v>
      </c>
      <c r="V105" s="7">
        <f>I105</f>
        <v>0</v>
      </c>
      <c r="W105" s="9" cm="1">
        <f t="array" ref="W105">IF('01_Input_Raw_Products'!G105&lt;&gt;"",'01_Input_Raw_Products'!G105,IFERROR(_xlfn.XLOOKUP('01_Input_Raw_Products'!F105,'10_Master_Gem_Types'!A:A,'10_Master_Gem_Types'!L:L),""))</f>
        <v>0</v>
      </c>
      <c r="X105" s="9" cm="1">
        <f t="array" ref="X105">IFERROR(_xlfn.XLOOKUP('01_Input_Raw_Products'!F105,'10_Master_Gem_Types'!A:A,'10_Master_Gem_Types'!J:J),"")</f>
        <v>0</v>
      </c>
      <c r="Y105" s="9" cm="1">
        <f t="array" ref="Y105">IFERROR(_xlfn.XLOOKUP('01_Input_Raw_Products'!F105,'10_Master_Gem_Types'!A:A,'10_Master_Gem_Types'!I:I),"")</f>
        <v>0</v>
      </c>
      <c r="Z105" s="9" cm="1">
        <f t="array" ref="Z105">IFERROR(_xlfn.XLOOKUP('01_Input_Raw_Products'!L105,'13_Certification_Stickers'!A:A,'13_Certification_Stickers'!C:C),"")</f>
        <v>0</v>
      </c>
      <c r="AA105" s="9" cm="1">
        <f t="array" ref="AA105">IFERROR(_xlfn.XLOOKUP('01_Input_Raw_Products'!S105,'14_Shipping_Rules'!A:A,'14_Shipping_Rules'!B:B),"")</f>
        <v>0</v>
      </c>
      <c r="AB105" s="9" cm="1">
        <f t="array" ref="AB105">IFERROR(_xlfn.XLOOKUP('01_Input_Raw_Products'!D105,'16_Astro_Flags'!A:A,'16_Astro_Flags'!B:B),"")</f>
        <v>0</v>
      </c>
      <c r="AC105" s="9">
        <f>IF(C105="","","Catalog, Search")</f>
        <v>0</v>
      </c>
      <c r="AD105" s="9">
        <f>IF(C105="","",IF(OR(F105="",J105="",M105="",S105="",Y105=""),"Manual Review","Ready"))</f>
        <v>0</v>
      </c>
      <c r="AE105" s="9">
        <f>IF(C105="","",TEXTJOIN("; ",TRUE,IF(F105="","Missing url_key",""),IF(J105="","Missing classification",""),IF(M105="","Missing j_colour",""),IF(S105="","Missing hsn_code",""),IF(Y105="","Missing tax_class_id","")))</f>
        <v>0</v>
      </c>
    </row>
    <row r="106" spans="1:31">
      <c r="A106" s="9">
        <f>IF('01_Input_Raw_Products'!B106&lt;&gt;"",20,"")</f>
        <v>0</v>
      </c>
      <c r="B106" s="9" cm="1">
        <f t="array" ref="B106">IF('01_Input_Raw_Products'!M106&lt;&gt;"",'01_Input_Raw_Products'!M106,IFERROR(_xlfn.XLOOKUP('01_Input_Raw_Products'!F106,'10_Master_Gem_Types'!A:A,'10_Master_Gem_Types'!K:K),""))</f>
        <v>0</v>
      </c>
      <c r="C106" s="9">
        <f>'01_Input_Raw_Products'!B106</f>
        <v>0</v>
      </c>
      <c r="D106" s="9">
        <f>IF(C106="","",TEXT(I106,"0.00")&amp;" Ct "&amp;IF('01_Input_Raw_Products'!F106&lt;&gt;"",'01_Input_Raw_Products'!F106,'01_Input_Raw_Products'!D106)&amp;" "&amp;'01_Input_Raw_Products'!I106)</f>
        <v>0</v>
      </c>
      <c r="E106" s="9">
        <f>IF(C106="","",D106&amp;" | GemPundit")</f>
        <v>0</v>
      </c>
      <c r="F106" s="9" cm="1">
        <f t="array" ref="F106">IF('01_Input_Raw_Products'!X106&lt;&gt;"",'01_Input_Raw_Products'!X106,IFERROR(_xlfn.XLOOKUP('01_Input_Raw_Products'!F106,'10_Master_Gem_Types'!A:A,'10_Master_Gem_Types'!O:O),LOWER(SUBSTITUTE(IF('01_Input_Raw_Products'!F106&lt;&gt;"",'01_Input_Raw_Products'!F106,'01_Input_Raw_Products'!D106)," ","-"))))</f>
        <v>0</v>
      </c>
      <c r="G106" s="9">
        <f>'01_Input_Raw_Products'!C106</f>
        <v>0</v>
      </c>
      <c r="H106" s="9" cm="1">
        <f t="array" ref="H106">IF('01_Input_Raw_Products'!H106&lt;&gt;"",'01_Input_Raw_Products'!H106,IFERROR(_xlfn.XLOOKUP('01_Input_Raw_Products'!F106,'10_Master_Gem_Types'!A:A,'10_Master_Gem_Types'!D:D),""))</f>
        <v>0</v>
      </c>
      <c r="I106" s="7">
        <f>IF('01_Input_Raw_Products'!N106&lt;&gt;"",'01_Input_Raw_Products'!N106,IF('01_Input_Raw_Products'!O106&lt;&gt;"",'01_Input_Raw_Products'!O106*0.91,""))</f>
        <v>0</v>
      </c>
      <c r="J106" s="9" cm="1">
        <f t="array" ref="J106">IFERROR(_xlfn.XLOOKUP('01_Input_Raw_Products'!F106,'10_Master_Gem_Types'!A:A,'10_Master_Gem_Types'!N:N),"")</f>
        <v>0</v>
      </c>
      <c r="K106" s="9" cm="1">
        <f t="array" ref="K106">IF('01_Input_Raw_Products'!J106&lt;&gt;"",'01_Input_Raw_Products'!J106,IFERROR(_xlfn.XLOOKUP('01_Input_Raw_Products'!F106,'10_Master_Gem_Types'!A:A,'10_Master_Gem_Types'!E:E),""))</f>
        <v>0</v>
      </c>
      <c r="L106" s="9">
        <f>'01_Input_Raw_Products'!P106</f>
        <v>0</v>
      </c>
      <c r="M106" s="9" cm="1">
        <f t="array" ref="M106">IFERROR(_xlfn.XLOOKUP('01_Input_Raw_Products'!K106,'12_Color_Mapping'!A:A,'12_Color_Mapping'!B:B),IFERROR(_xlfn.XLOOKUP('01_Input_Raw_Products'!F106,'10_Master_Gem_Types'!A:A,'10_Master_Gem_Types'!F:F),""))</f>
        <v>0</v>
      </c>
      <c r="N106" s="9">
        <f>IF(C106="","",IF('01_Input_Raw_Products'!F106&lt;&gt;"",'01_Input_Raw_Products'!F106,'01_Input_Raw_Products'!D106))</f>
        <v>0</v>
      </c>
      <c r="O106" s="9">
        <f>IF(C106="","","Catalog Automation")</f>
        <v>0</v>
      </c>
      <c r="P106" s="9">
        <f>'01_Input_Raw_Products'!U106</f>
        <v>0</v>
      </c>
      <c r="Q106" s="7">
        <f>IF('01_Input_Raw_Products'!O106&lt;&gt;"",'01_Input_Raw_Products'!O106,IF('01_Input_Raw_Products'!N106&lt;&gt;"",'01_Input_Raw_Products'!N106*1.1,""))</f>
        <v>0</v>
      </c>
      <c r="R106" s="9">
        <f>'01_Input_Raw_Products'!S106</f>
        <v>0</v>
      </c>
      <c r="S106" s="9" cm="1">
        <f t="array" ref="S106">IFERROR(_xlfn.XLOOKUP('01_Input_Raw_Products'!F106,'10_Master_Gem_Types'!A:A,'10_Master_Gem_Types'!H:H),"")</f>
        <v>0</v>
      </c>
      <c r="T106" s="8">
        <f>'01_Input_Raw_Products'!Q106</f>
        <v>0</v>
      </c>
      <c r="U106" s="8">
        <f>'01_Input_Raw_Products'!R106</f>
        <v>0</v>
      </c>
      <c r="V106" s="7">
        <f>I106</f>
        <v>0</v>
      </c>
      <c r="W106" s="9" cm="1">
        <f t="array" ref="W106">IF('01_Input_Raw_Products'!G106&lt;&gt;"",'01_Input_Raw_Products'!G106,IFERROR(_xlfn.XLOOKUP('01_Input_Raw_Products'!F106,'10_Master_Gem_Types'!A:A,'10_Master_Gem_Types'!L:L),""))</f>
        <v>0</v>
      </c>
      <c r="X106" s="9" cm="1">
        <f t="array" ref="X106">IFERROR(_xlfn.XLOOKUP('01_Input_Raw_Products'!F106,'10_Master_Gem_Types'!A:A,'10_Master_Gem_Types'!J:J),"")</f>
        <v>0</v>
      </c>
      <c r="Y106" s="9" cm="1">
        <f t="array" ref="Y106">IFERROR(_xlfn.XLOOKUP('01_Input_Raw_Products'!F106,'10_Master_Gem_Types'!A:A,'10_Master_Gem_Types'!I:I),"")</f>
        <v>0</v>
      </c>
      <c r="Z106" s="9" cm="1">
        <f t="array" ref="Z106">IFERROR(_xlfn.XLOOKUP('01_Input_Raw_Products'!L106,'13_Certification_Stickers'!A:A,'13_Certification_Stickers'!C:C),"")</f>
        <v>0</v>
      </c>
      <c r="AA106" s="9" cm="1">
        <f t="array" ref="AA106">IFERROR(_xlfn.XLOOKUP('01_Input_Raw_Products'!S106,'14_Shipping_Rules'!A:A,'14_Shipping_Rules'!B:B),"")</f>
        <v>0</v>
      </c>
      <c r="AB106" s="9" cm="1">
        <f t="array" ref="AB106">IFERROR(_xlfn.XLOOKUP('01_Input_Raw_Products'!D106,'16_Astro_Flags'!A:A,'16_Astro_Flags'!B:B),"")</f>
        <v>0</v>
      </c>
      <c r="AC106" s="9">
        <f>IF(C106="","","Catalog, Search")</f>
        <v>0</v>
      </c>
      <c r="AD106" s="9">
        <f>IF(C106="","",IF(OR(F106="",J106="",M106="",S106="",Y106=""),"Manual Review","Ready"))</f>
        <v>0</v>
      </c>
      <c r="AE106" s="9">
        <f>IF(C106="","",TEXTJOIN("; ",TRUE,IF(F106="","Missing url_key",""),IF(J106="","Missing classification",""),IF(M106="","Missing j_colour",""),IF(S106="","Missing hsn_code",""),IF(Y106="","Missing tax_class_id","")))</f>
        <v>0</v>
      </c>
    </row>
    <row r="107" spans="1:31">
      <c r="A107" s="9">
        <f>IF('01_Input_Raw_Products'!B107&lt;&gt;"",20,"")</f>
        <v>0</v>
      </c>
      <c r="B107" s="9" cm="1">
        <f t="array" ref="B107">IF('01_Input_Raw_Products'!M107&lt;&gt;"",'01_Input_Raw_Products'!M107,IFERROR(_xlfn.XLOOKUP('01_Input_Raw_Products'!F107,'10_Master_Gem_Types'!A:A,'10_Master_Gem_Types'!K:K),""))</f>
        <v>0</v>
      </c>
      <c r="C107" s="9">
        <f>'01_Input_Raw_Products'!B107</f>
        <v>0</v>
      </c>
      <c r="D107" s="9">
        <f>IF(C107="","",TEXT(I107,"0.00")&amp;" Ct "&amp;IF('01_Input_Raw_Products'!F107&lt;&gt;"",'01_Input_Raw_Products'!F107,'01_Input_Raw_Products'!D107)&amp;" "&amp;'01_Input_Raw_Products'!I107)</f>
        <v>0</v>
      </c>
      <c r="E107" s="9">
        <f>IF(C107="","",D107&amp;" | GemPundit")</f>
        <v>0</v>
      </c>
      <c r="F107" s="9" cm="1">
        <f t="array" ref="F107">IF('01_Input_Raw_Products'!X107&lt;&gt;"",'01_Input_Raw_Products'!X107,IFERROR(_xlfn.XLOOKUP('01_Input_Raw_Products'!F107,'10_Master_Gem_Types'!A:A,'10_Master_Gem_Types'!O:O),LOWER(SUBSTITUTE(IF('01_Input_Raw_Products'!F107&lt;&gt;"",'01_Input_Raw_Products'!F107,'01_Input_Raw_Products'!D107)," ","-"))))</f>
        <v>0</v>
      </c>
      <c r="G107" s="9">
        <f>'01_Input_Raw_Products'!C107</f>
        <v>0</v>
      </c>
      <c r="H107" s="9" cm="1">
        <f t="array" ref="H107">IF('01_Input_Raw_Products'!H107&lt;&gt;"",'01_Input_Raw_Products'!H107,IFERROR(_xlfn.XLOOKUP('01_Input_Raw_Products'!F107,'10_Master_Gem_Types'!A:A,'10_Master_Gem_Types'!D:D),""))</f>
        <v>0</v>
      </c>
      <c r="I107" s="7">
        <f>IF('01_Input_Raw_Products'!N107&lt;&gt;"",'01_Input_Raw_Products'!N107,IF('01_Input_Raw_Products'!O107&lt;&gt;"",'01_Input_Raw_Products'!O107*0.91,""))</f>
        <v>0</v>
      </c>
      <c r="J107" s="9" cm="1">
        <f t="array" ref="J107">IFERROR(_xlfn.XLOOKUP('01_Input_Raw_Products'!F107,'10_Master_Gem_Types'!A:A,'10_Master_Gem_Types'!N:N),"")</f>
        <v>0</v>
      </c>
      <c r="K107" s="9" cm="1">
        <f t="array" ref="K107">IF('01_Input_Raw_Products'!J107&lt;&gt;"",'01_Input_Raw_Products'!J107,IFERROR(_xlfn.XLOOKUP('01_Input_Raw_Products'!F107,'10_Master_Gem_Types'!A:A,'10_Master_Gem_Types'!E:E),""))</f>
        <v>0</v>
      </c>
      <c r="L107" s="9">
        <f>'01_Input_Raw_Products'!P107</f>
        <v>0</v>
      </c>
      <c r="M107" s="9" cm="1">
        <f t="array" ref="M107">IFERROR(_xlfn.XLOOKUP('01_Input_Raw_Products'!K107,'12_Color_Mapping'!A:A,'12_Color_Mapping'!B:B),IFERROR(_xlfn.XLOOKUP('01_Input_Raw_Products'!F107,'10_Master_Gem_Types'!A:A,'10_Master_Gem_Types'!F:F),""))</f>
        <v>0</v>
      </c>
      <c r="N107" s="9">
        <f>IF(C107="","",IF('01_Input_Raw_Products'!F107&lt;&gt;"",'01_Input_Raw_Products'!F107,'01_Input_Raw_Products'!D107))</f>
        <v>0</v>
      </c>
      <c r="O107" s="9">
        <f>IF(C107="","","Catalog Automation")</f>
        <v>0</v>
      </c>
      <c r="P107" s="9">
        <f>'01_Input_Raw_Products'!U107</f>
        <v>0</v>
      </c>
      <c r="Q107" s="7">
        <f>IF('01_Input_Raw_Products'!O107&lt;&gt;"",'01_Input_Raw_Products'!O107,IF('01_Input_Raw_Products'!N107&lt;&gt;"",'01_Input_Raw_Products'!N107*1.1,""))</f>
        <v>0</v>
      </c>
      <c r="R107" s="9">
        <f>'01_Input_Raw_Products'!S107</f>
        <v>0</v>
      </c>
      <c r="S107" s="9" cm="1">
        <f t="array" ref="S107">IFERROR(_xlfn.XLOOKUP('01_Input_Raw_Products'!F107,'10_Master_Gem_Types'!A:A,'10_Master_Gem_Types'!H:H),"")</f>
        <v>0</v>
      </c>
      <c r="T107" s="8">
        <f>'01_Input_Raw_Products'!Q107</f>
        <v>0</v>
      </c>
      <c r="U107" s="8">
        <f>'01_Input_Raw_Products'!R107</f>
        <v>0</v>
      </c>
      <c r="V107" s="7">
        <f>I107</f>
        <v>0</v>
      </c>
      <c r="W107" s="9" cm="1">
        <f t="array" ref="W107">IF('01_Input_Raw_Products'!G107&lt;&gt;"",'01_Input_Raw_Products'!G107,IFERROR(_xlfn.XLOOKUP('01_Input_Raw_Products'!F107,'10_Master_Gem_Types'!A:A,'10_Master_Gem_Types'!L:L),""))</f>
        <v>0</v>
      </c>
      <c r="X107" s="9" cm="1">
        <f t="array" ref="X107">IFERROR(_xlfn.XLOOKUP('01_Input_Raw_Products'!F107,'10_Master_Gem_Types'!A:A,'10_Master_Gem_Types'!J:J),"")</f>
        <v>0</v>
      </c>
      <c r="Y107" s="9" cm="1">
        <f t="array" ref="Y107">IFERROR(_xlfn.XLOOKUP('01_Input_Raw_Products'!F107,'10_Master_Gem_Types'!A:A,'10_Master_Gem_Types'!I:I),"")</f>
        <v>0</v>
      </c>
      <c r="Z107" s="9" cm="1">
        <f t="array" ref="Z107">IFERROR(_xlfn.XLOOKUP('01_Input_Raw_Products'!L107,'13_Certification_Stickers'!A:A,'13_Certification_Stickers'!C:C),"")</f>
        <v>0</v>
      </c>
      <c r="AA107" s="9" cm="1">
        <f t="array" ref="AA107">IFERROR(_xlfn.XLOOKUP('01_Input_Raw_Products'!S107,'14_Shipping_Rules'!A:A,'14_Shipping_Rules'!B:B),"")</f>
        <v>0</v>
      </c>
      <c r="AB107" s="9" cm="1">
        <f t="array" ref="AB107">IFERROR(_xlfn.XLOOKUP('01_Input_Raw_Products'!D107,'16_Astro_Flags'!A:A,'16_Astro_Flags'!B:B),"")</f>
        <v>0</v>
      </c>
      <c r="AC107" s="9">
        <f>IF(C107="","","Catalog, Search")</f>
        <v>0</v>
      </c>
      <c r="AD107" s="9">
        <f>IF(C107="","",IF(OR(F107="",J107="",M107="",S107="",Y107=""),"Manual Review","Ready"))</f>
        <v>0</v>
      </c>
      <c r="AE107" s="9">
        <f>IF(C107="","",TEXTJOIN("; ",TRUE,IF(F107="","Missing url_key",""),IF(J107="","Missing classification",""),IF(M107="","Missing j_colour",""),IF(S107="","Missing hsn_code",""),IF(Y107="","Missing tax_class_id","")))</f>
        <v>0</v>
      </c>
    </row>
    <row r="108" spans="1:31">
      <c r="A108" s="9">
        <f>IF('01_Input_Raw_Products'!B108&lt;&gt;"",20,"")</f>
        <v>0</v>
      </c>
      <c r="B108" s="9" cm="1">
        <f t="array" ref="B108">IF('01_Input_Raw_Products'!M108&lt;&gt;"",'01_Input_Raw_Products'!M108,IFERROR(_xlfn.XLOOKUP('01_Input_Raw_Products'!F108,'10_Master_Gem_Types'!A:A,'10_Master_Gem_Types'!K:K),""))</f>
        <v>0</v>
      </c>
      <c r="C108" s="9">
        <f>'01_Input_Raw_Products'!B108</f>
        <v>0</v>
      </c>
      <c r="D108" s="9">
        <f>IF(C108="","",TEXT(I108,"0.00")&amp;" Ct "&amp;IF('01_Input_Raw_Products'!F108&lt;&gt;"",'01_Input_Raw_Products'!F108,'01_Input_Raw_Products'!D108)&amp;" "&amp;'01_Input_Raw_Products'!I108)</f>
        <v>0</v>
      </c>
      <c r="E108" s="9">
        <f>IF(C108="","",D108&amp;" | GemPundit")</f>
        <v>0</v>
      </c>
      <c r="F108" s="9" cm="1">
        <f t="array" ref="F108">IF('01_Input_Raw_Products'!X108&lt;&gt;"",'01_Input_Raw_Products'!X108,IFERROR(_xlfn.XLOOKUP('01_Input_Raw_Products'!F108,'10_Master_Gem_Types'!A:A,'10_Master_Gem_Types'!O:O),LOWER(SUBSTITUTE(IF('01_Input_Raw_Products'!F108&lt;&gt;"",'01_Input_Raw_Products'!F108,'01_Input_Raw_Products'!D108)," ","-"))))</f>
        <v>0</v>
      </c>
      <c r="G108" s="9">
        <f>'01_Input_Raw_Products'!C108</f>
        <v>0</v>
      </c>
      <c r="H108" s="9" cm="1">
        <f t="array" ref="H108">IF('01_Input_Raw_Products'!H108&lt;&gt;"",'01_Input_Raw_Products'!H108,IFERROR(_xlfn.XLOOKUP('01_Input_Raw_Products'!F108,'10_Master_Gem_Types'!A:A,'10_Master_Gem_Types'!D:D),""))</f>
        <v>0</v>
      </c>
      <c r="I108" s="7">
        <f>IF('01_Input_Raw_Products'!N108&lt;&gt;"",'01_Input_Raw_Products'!N108,IF('01_Input_Raw_Products'!O108&lt;&gt;"",'01_Input_Raw_Products'!O108*0.91,""))</f>
        <v>0</v>
      </c>
      <c r="J108" s="9" cm="1">
        <f t="array" ref="J108">IFERROR(_xlfn.XLOOKUP('01_Input_Raw_Products'!F108,'10_Master_Gem_Types'!A:A,'10_Master_Gem_Types'!N:N),"")</f>
        <v>0</v>
      </c>
      <c r="K108" s="9" cm="1">
        <f t="array" ref="K108">IF('01_Input_Raw_Products'!J108&lt;&gt;"",'01_Input_Raw_Products'!J108,IFERROR(_xlfn.XLOOKUP('01_Input_Raw_Products'!F108,'10_Master_Gem_Types'!A:A,'10_Master_Gem_Types'!E:E),""))</f>
        <v>0</v>
      </c>
      <c r="L108" s="9">
        <f>'01_Input_Raw_Products'!P108</f>
        <v>0</v>
      </c>
      <c r="M108" s="9" cm="1">
        <f t="array" ref="M108">IFERROR(_xlfn.XLOOKUP('01_Input_Raw_Products'!K108,'12_Color_Mapping'!A:A,'12_Color_Mapping'!B:B),IFERROR(_xlfn.XLOOKUP('01_Input_Raw_Products'!F108,'10_Master_Gem_Types'!A:A,'10_Master_Gem_Types'!F:F),""))</f>
        <v>0</v>
      </c>
      <c r="N108" s="9">
        <f>IF(C108="","",IF('01_Input_Raw_Products'!F108&lt;&gt;"",'01_Input_Raw_Products'!F108,'01_Input_Raw_Products'!D108))</f>
        <v>0</v>
      </c>
      <c r="O108" s="9">
        <f>IF(C108="","","Catalog Automation")</f>
        <v>0</v>
      </c>
      <c r="P108" s="9">
        <f>'01_Input_Raw_Products'!U108</f>
        <v>0</v>
      </c>
      <c r="Q108" s="7">
        <f>IF('01_Input_Raw_Products'!O108&lt;&gt;"",'01_Input_Raw_Products'!O108,IF('01_Input_Raw_Products'!N108&lt;&gt;"",'01_Input_Raw_Products'!N108*1.1,""))</f>
        <v>0</v>
      </c>
      <c r="R108" s="9">
        <f>'01_Input_Raw_Products'!S108</f>
        <v>0</v>
      </c>
      <c r="S108" s="9" cm="1">
        <f t="array" ref="S108">IFERROR(_xlfn.XLOOKUP('01_Input_Raw_Products'!F108,'10_Master_Gem_Types'!A:A,'10_Master_Gem_Types'!H:H),"")</f>
        <v>0</v>
      </c>
      <c r="T108" s="8">
        <f>'01_Input_Raw_Products'!Q108</f>
        <v>0</v>
      </c>
      <c r="U108" s="8">
        <f>'01_Input_Raw_Products'!R108</f>
        <v>0</v>
      </c>
      <c r="V108" s="7">
        <f>I108</f>
        <v>0</v>
      </c>
      <c r="W108" s="9" cm="1">
        <f t="array" ref="W108">IF('01_Input_Raw_Products'!G108&lt;&gt;"",'01_Input_Raw_Products'!G108,IFERROR(_xlfn.XLOOKUP('01_Input_Raw_Products'!F108,'10_Master_Gem_Types'!A:A,'10_Master_Gem_Types'!L:L),""))</f>
        <v>0</v>
      </c>
      <c r="X108" s="9" cm="1">
        <f t="array" ref="X108">IFERROR(_xlfn.XLOOKUP('01_Input_Raw_Products'!F108,'10_Master_Gem_Types'!A:A,'10_Master_Gem_Types'!J:J),"")</f>
        <v>0</v>
      </c>
      <c r="Y108" s="9" cm="1">
        <f t="array" ref="Y108">IFERROR(_xlfn.XLOOKUP('01_Input_Raw_Products'!F108,'10_Master_Gem_Types'!A:A,'10_Master_Gem_Types'!I:I),"")</f>
        <v>0</v>
      </c>
      <c r="Z108" s="9" cm="1">
        <f t="array" ref="Z108">IFERROR(_xlfn.XLOOKUP('01_Input_Raw_Products'!L108,'13_Certification_Stickers'!A:A,'13_Certification_Stickers'!C:C),"")</f>
        <v>0</v>
      </c>
      <c r="AA108" s="9" cm="1">
        <f t="array" ref="AA108">IFERROR(_xlfn.XLOOKUP('01_Input_Raw_Products'!S108,'14_Shipping_Rules'!A:A,'14_Shipping_Rules'!B:B),"")</f>
        <v>0</v>
      </c>
      <c r="AB108" s="9" cm="1">
        <f t="array" ref="AB108">IFERROR(_xlfn.XLOOKUP('01_Input_Raw_Products'!D108,'16_Astro_Flags'!A:A,'16_Astro_Flags'!B:B),"")</f>
        <v>0</v>
      </c>
      <c r="AC108" s="9">
        <f>IF(C108="","","Catalog, Search")</f>
        <v>0</v>
      </c>
      <c r="AD108" s="9">
        <f>IF(C108="","",IF(OR(F108="",J108="",M108="",S108="",Y108=""),"Manual Review","Ready"))</f>
        <v>0</v>
      </c>
      <c r="AE108" s="9">
        <f>IF(C108="","",TEXTJOIN("; ",TRUE,IF(F108="","Missing url_key",""),IF(J108="","Missing classification",""),IF(M108="","Missing j_colour",""),IF(S108="","Missing hsn_code",""),IF(Y108="","Missing tax_class_id","")))</f>
        <v>0</v>
      </c>
    </row>
    <row r="109" spans="1:31">
      <c r="A109" s="9">
        <f>IF('01_Input_Raw_Products'!B109&lt;&gt;"",20,"")</f>
        <v>0</v>
      </c>
      <c r="B109" s="9" cm="1">
        <f t="array" ref="B109">IF('01_Input_Raw_Products'!M109&lt;&gt;"",'01_Input_Raw_Products'!M109,IFERROR(_xlfn.XLOOKUP('01_Input_Raw_Products'!F109,'10_Master_Gem_Types'!A:A,'10_Master_Gem_Types'!K:K),""))</f>
        <v>0</v>
      </c>
      <c r="C109" s="9">
        <f>'01_Input_Raw_Products'!B109</f>
        <v>0</v>
      </c>
      <c r="D109" s="9">
        <f>IF(C109="","",TEXT(I109,"0.00")&amp;" Ct "&amp;IF('01_Input_Raw_Products'!F109&lt;&gt;"",'01_Input_Raw_Products'!F109,'01_Input_Raw_Products'!D109)&amp;" "&amp;'01_Input_Raw_Products'!I109)</f>
        <v>0</v>
      </c>
      <c r="E109" s="9">
        <f>IF(C109="","",D109&amp;" | GemPundit")</f>
        <v>0</v>
      </c>
      <c r="F109" s="9" cm="1">
        <f t="array" ref="F109">IF('01_Input_Raw_Products'!X109&lt;&gt;"",'01_Input_Raw_Products'!X109,IFERROR(_xlfn.XLOOKUP('01_Input_Raw_Products'!F109,'10_Master_Gem_Types'!A:A,'10_Master_Gem_Types'!O:O),LOWER(SUBSTITUTE(IF('01_Input_Raw_Products'!F109&lt;&gt;"",'01_Input_Raw_Products'!F109,'01_Input_Raw_Products'!D109)," ","-"))))</f>
        <v>0</v>
      </c>
      <c r="G109" s="9">
        <f>'01_Input_Raw_Products'!C109</f>
        <v>0</v>
      </c>
      <c r="H109" s="9" cm="1">
        <f t="array" ref="H109">IF('01_Input_Raw_Products'!H109&lt;&gt;"",'01_Input_Raw_Products'!H109,IFERROR(_xlfn.XLOOKUP('01_Input_Raw_Products'!F109,'10_Master_Gem_Types'!A:A,'10_Master_Gem_Types'!D:D),""))</f>
        <v>0</v>
      </c>
      <c r="I109" s="7">
        <f>IF('01_Input_Raw_Products'!N109&lt;&gt;"",'01_Input_Raw_Products'!N109,IF('01_Input_Raw_Products'!O109&lt;&gt;"",'01_Input_Raw_Products'!O109*0.91,""))</f>
        <v>0</v>
      </c>
      <c r="J109" s="9" cm="1">
        <f t="array" ref="J109">IFERROR(_xlfn.XLOOKUP('01_Input_Raw_Products'!F109,'10_Master_Gem_Types'!A:A,'10_Master_Gem_Types'!N:N),"")</f>
        <v>0</v>
      </c>
      <c r="K109" s="9" cm="1">
        <f t="array" ref="K109">IF('01_Input_Raw_Products'!J109&lt;&gt;"",'01_Input_Raw_Products'!J109,IFERROR(_xlfn.XLOOKUP('01_Input_Raw_Products'!F109,'10_Master_Gem_Types'!A:A,'10_Master_Gem_Types'!E:E),""))</f>
        <v>0</v>
      </c>
      <c r="L109" s="9">
        <f>'01_Input_Raw_Products'!P109</f>
        <v>0</v>
      </c>
      <c r="M109" s="9" cm="1">
        <f t="array" ref="M109">IFERROR(_xlfn.XLOOKUP('01_Input_Raw_Products'!K109,'12_Color_Mapping'!A:A,'12_Color_Mapping'!B:B),IFERROR(_xlfn.XLOOKUP('01_Input_Raw_Products'!F109,'10_Master_Gem_Types'!A:A,'10_Master_Gem_Types'!F:F),""))</f>
        <v>0</v>
      </c>
      <c r="N109" s="9">
        <f>IF(C109="","",IF('01_Input_Raw_Products'!F109&lt;&gt;"",'01_Input_Raw_Products'!F109,'01_Input_Raw_Products'!D109))</f>
        <v>0</v>
      </c>
      <c r="O109" s="9">
        <f>IF(C109="","","Catalog Automation")</f>
        <v>0</v>
      </c>
      <c r="P109" s="9">
        <f>'01_Input_Raw_Products'!U109</f>
        <v>0</v>
      </c>
      <c r="Q109" s="7">
        <f>IF('01_Input_Raw_Products'!O109&lt;&gt;"",'01_Input_Raw_Products'!O109,IF('01_Input_Raw_Products'!N109&lt;&gt;"",'01_Input_Raw_Products'!N109*1.1,""))</f>
        <v>0</v>
      </c>
      <c r="R109" s="9">
        <f>'01_Input_Raw_Products'!S109</f>
        <v>0</v>
      </c>
      <c r="S109" s="9" cm="1">
        <f t="array" ref="S109">IFERROR(_xlfn.XLOOKUP('01_Input_Raw_Products'!F109,'10_Master_Gem_Types'!A:A,'10_Master_Gem_Types'!H:H),"")</f>
        <v>0</v>
      </c>
      <c r="T109" s="8">
        <f>'01_Input_Raw_Products'!Q109</f>
        <v>0</v>
      </c>
      <c r="U109" s="8">
        <f>'01_Input_Raw_Products'!R109</f>
        <v>0</v>
      </c>
      <c r="V109" s="7">
        <f>I109</f>
        <v>0</v>
      </c>
      <c r="W109" s="9" cm="1">
        <f t="array" ref="W109">IF('01_Input_Raw_Products'!G109&lt;&gt;"",'01_Input_Raw_Products'!G109,IFERROR(_xlfn.XLOOKUP('01_Input_Raw_Products'!F109,'10_Master_Gem_Types'!A:A,'10_Master_Gem_Types'!L:L),""))</f>
        <v>0</v>
      </c>
      <c r="X109" s="9" cm="1">
        <f t="array" ref="X109">IFERROR(_xlfn.XLOOKUP('01_Input_Raw_Products'!F109,'10_Master_Gem_Types'!A:A,'10_Master_Gem_Types'!J:J),"")</f>
        <v>0</v>
      </c>
      <c r="Y109" s="9" cm="1">
        <f t="array" ref="Y109">IFERROR(_xlfn.XLOOKUP('01_Input_Raw_Products'!F109,'10_Master_Gem_Types'!A:A,'10_Master_Gem_Types'!I:I),"")</f>
        <v>0</v>
      </c>
      <c r="Z109" s="9" cm="1">
        <f t="array" ref="Z109">IFERROR(_xlfn.XLOOKUP('01_Input_Raw_Products'!L109,'13_Certification_Stickers'!A:A,'13_Certification_Stickers'!C:C),"")</f>
        <v>0</v>
      </c>
      <c r="AA109" s="9" cm="1">
        <f t="array" ref="AA109">IFERROR(_xlfn.XLOOKUP('01_Input_Raw_Products'!S109,'14_Shipping_Rules'!A:A,'14_Shipping_Rules'!B:B),"")</f>
        <v>0</v>
      </c>
      <c r="AB109" s="9" cm="1">
        <f t="array" ref="AB109">IFERROR(_xlfn.XLOOKUP('01_Input_Raw_Products'!D109,'16_Astro_Flags'!A:A,'16_Astro_Flags'!B:B),"")</f>
        <v>0</v>
      </c>
      <c r="AC109" s="9">
        <f>IF(C109="","","Catalog, Search")</f>
        <v>0</v>
      </c>
      <c r="AD109" s="9">
        <f>IF(C109="","",IF(OR(F109="",J109="",M109="",S109="",Y109=""),"Manual Review","Ready"))</f>
        <v>0</v>
      </c>
      <c r="AE109" s="9">
        <f>IF(C109="","",TEXTJOIN("; ",TRUE,IF(F109="","Missing url_key",""),IF(J109="","Missing classification",""),IF(M109="","Missing j_colour",""),IF(S109="","Missing hsn_code",""),IF(Y109="","Missing tax_class_id","")))</f>
        <v>0</v>
      </c>
    </row>
    <row r="110" spans="1:31">
      <c r="A110" s="9">
        <f>IF('01_Input_Raw_Products'!B110&lt;&gt;"",20,"")</f>
        <v>0</v>
      </c>
      <c r="B110" s="9" cm="1">
        <f t="array" ref="B110">IF('01_Input_Raw_Products'!M110&lt;&gt;"",'01_Input_Raw_Products'!M110,IFERROR(_xlfn.XLOOKUP('01_Input_Raw_Products'!F110,'10_Master_Gem_Types'!A:A,'10_Master_Gem_Types'!K:K),""))</f>
        <v>0</v>
      </c>
      <c r="C110" s="9">
        <f>'01_Input_Raw_Products'!B110</f>
        <v>0</v>
      </c>
      <c r="D110" s="9">
        <f>IF(C110="","",TEXT(I110,"0.00")&amp;" Ct "&amp;IF('01_Input_Raw_Products'!F110&lt;&gt;"",'01_Input_Raw_Products'!F110,'01_Input_Raw_Products'!D110)&amp;" "&amp;'01_Input_Raw_Products'!I110)</f>
        <v>0</v>
      </c>
      <c r="E110" s="9">
        <f>IF(C110="","",D110&amp;" | GemPundit")</f>
        <v>0</v>
      </c>
      <c r="F110" s="9" cm="1">
        <f t="array" ref="F110">IF('01_Input_Raw_Products'!X110&lt;&gt;"",'01_Input_Raw_Products'!X110,IFERROR(_xlfn.XLOOKUP('01_Input_Raw_Products'!F110,'10_Master_Gem_Types'!A:A,'10_Master_Gem_Types'!O:O),LOWER(SUBSTITUTE(IF('01_Input_Raw_Products'!F110&lt;&gt;"",'01_Input_Raw_Products'!F110,'01_Input_Raw_Products'!D110)," ","-"))))</f>
        <v>0</v>
      </c>
      <c r="G110" s="9">
        <f>'01_Input_Raw_Products'!C110</f>
        <v>0</v>
      </c>
      <c r="H110" s="9" cm="1">
        <f t="array" ref="H110">IF('01_Input_Raw_Products'!H110&lt;&gt;"",'01_Input_Raw_Products'!H110,IFERROR(_xlfn.XLOOKUP('01_Input_Raw_Products'!F110,'10_Master_Gem_Types'!A:A,'10_Master_Gem_Types'!D:D),""))</f>
        <v>0</v>
      </c>
      <c r="I110" s="7">
        <f>IF('01_Input_Raw_Products'!N110&lt;&gt;"",'01_Input_Raw_Products'!N110,IF('01_Input_Raw_Products'!O110&lt;&gt;"",'01_Input_Raw_Products'!O110*0.91,""))</f>
        <v>0</v>
      </c>
      <c r="J110" s="9" cm="1">
        <f t="array" ref="J110">IFERROR(_xlfn.XLOOKUP('01_Input_Raw_Products'!F110,'10_Master_Gem_Types'!A:A,'10_Master_Gem_Types'!N:N),"")</f>
        <v>0</v>
      </c>
      <c r="K110" s="9" cm="1">
        <f t="array" ref="K110">IF('01_Input_Raw_Products'!J110&lt;&gt;"",'01_Input_Raw_Products'!J110,IFERROR(_xlfn.XLOOKUP('01_Input_Raw_Products'!F110,'10_Master_Gem_Types'!A:A,'10_Master_Gem_Types'!E:E),""))</f>
        <v>0</v>
      </c>
      <c r="L110" s="9">
        <f>'01_Input_Raw_Products'!P110</f>
        <v>0</v>
      </c>
      <c r="M110" s="9" cm="1">
        <f t="array" ref="M110">IFERROR(_xlfn.XLOOKUP('01_Input_Raw_Products'!K110,'12_Color_Mapping'!A:A,'12_Color_Mapping'!B:B),IFERROR(_xlfn.XLOOKUP('01_Input_Raw_Products'!F110,'10_Master_Gem_Types'!A:A,'10_Master_Gem_Types'!F:F),""))</f>
        <v>0</v>
      </c>
      <c r="N110" s="9">
        <f>IF(C110="","",IF('01_Input_Raw_Products'!F110&lt;&gt;"",'01_Input_Raw_Products'!F110,'01_Input_Raw_Products'!D110))</f>
        <v>0</v>
      </c>
      <c r="O110" s="9">
        <f>IF(C110="","","Catalog Automation")</f>
        <v>0</v>
      </c>
      <c r="P110" s="9">
        <f>'01_Input_Raw_Products'!U110</f>
        <v>0</v>
      </c>
      <c r="Q110" s="7">
        <f>IF('01_Input_Raw_Products'!O110&lt;&gt;"",'01_Input_Raw_Products'!O110,IF('01_Input_Raw_Products'!N110&lt;&gt;"",'01_Input_Raw_Products'!N110*1.1,""))</f>
        <v>0</v>
      </c>
      <c r="R110" s="9">
        <f>'01_Input_Raw_Products'!S110</f>
        <v>0</v>
      </c>
      <c r="S110" s="9" cm="1">
        <f t="array" ref="S110">IFERROR(_xlfn.XLOOKUP('01_Input_Raw_Products'!F110,'10_Master_Gem_Types'!A:A,'10_Master_Gem_Types'!H:H),"")</f>
        <v>0</v>
      </c>
      <c r="T110" s="8">
        <f>'01_Input_Raw_Products'!Q110</f>
        <v>0</v>
      </c>
      <c r="U110" s="8">
        <f>'01_Input_Raw_Products'!R110</f>
        <v>0</v>
      </c>
      <c r="V110" s="7">
        <f>I110</f>
        <v>0</v>
      </c>
      <c r="W110" s="9" cm="1">
        <f t="array" ref="W110">IF('01_Input_Raw_Products'!G110&lt;&gt;"",'01_Input_Raw_Products'!G110,IFERROR(_xlfn.XLOOKUP('01_Input_Raw_Products'!F110,'10_Master_Gem_Types'!A:A,'10_Master_Gem_Types'!L:L),""))</f>
        <v>0</v>
      </c>
      <c r="X110" s="9" cm="1">
        <f t="array" ref="X110">IFERROR(_xlfn.XLOOKUP('01_Input_Raw_Products'!F110,'10_Master_Gem_Types'!A:A,'10_Master_Gem_Types'!J:J),"")</f>
        <v>0</v>
      </c>
      <c r="Y110" s="9" cm="1">
        <f t="array" ref="Y110">IFERROR(_xlfn.XLOOKUP('01_Input_Raw_Products'!F110,'10_Master_Gem_Types'!A:A,'10_Master_Gem_Types'!I:I),"")</f>
        <v>0</v>
      </c>
      <c r="Z110" s="9" cm="1">
        <f t="array" ref="Z110">IFERROR(_xlfn.XLOOKUP('01_Input_Raw_Products'!L110,'13_Certification_Stickers'!A:A,'13_Certification_Stickers'!C:C),"")</f>
        <v>0</v>
      </c>
      <c r="AA110" s="9" cm="1">
        <f t="array" ref="AA110">IFERROR(_xlfn.XLOOKUP('01_Input_Raw_Products'!S110,'14_Shipping_Rules'!A:A,'14_Shipping_Rules'!B:B),"")</f>
        <v>0</v>
      </c>
      <c r="AB110" s="9" cm="1">
        <f t="array" ref="AB110">IFERROR(_xlfn.XLOOKUP('01_Input_Raw_Products'!D110,'16_Astro_Flags'!A:A,'16_Astro_Flags'!B:B),"")</f>
        <v>0</v>
      </c>
      <c r="AC110" s="9">
        <f>IF(C110="","","Catalog, Search")</f>
        <v>0</v>
      </c>
      <c r="AD110" s="9">
        <f>IF(C110="","",IF(OR(F110="",J110="",M110="",S110="",Y110=""),"Manual Review","Ready"))</f>
        <v>0</v>
      </c>
      <c r="AE110" s="9">
        <f>IF(C110="","",TEXTJOIN("; ",TRUE,IF(F110="","Missing url_key",""),IF(J110="","Missing classification",""),IF(M110="","Missing j_colour",""),IF(S110="","Missing hsn_code",""),IF(Y110="","Missing tax_class_id","")))</f>
        <v>0</v>
      </c>
    </row>
    <row r="111" spans="1:31">
      <c r="A111" s="9">
        <f>IF('01_Input_Raw_Products'!B111&lt;&gt;"",20,"")</f>
        <v>0</v>
      </c>
      <c r="B111" s="9" cm="1">
        <f t="array" ref="B111">IF('01_Input_Raw_Products'!M111&lt;&gt;"",'01_Input_Raw_Products'!M111,IFERROR(_xlfn.XLOOKUP('01_Input_Raw_Products'!F111,'10_Master_Gem_Types'!A:A,'10_Master_Gem_Types'!K:K),""))</f>
        <v>0</v>
      </c>
      <c r="C111" s="9">
        <f>'01_Input_Raw_Products'!B111</f>
        <v>0</v>
      </c>
      <c r="D111" s="9">
        <f>IF(C111="","",TEXT(I111,"0.00")&amp;" Ct "&amp;IF('01_Input_Raw_Products'!F111&lt;&gt;"",'01_Input_Raw_Products'!F111,'01_Input_Raw_Products'!D111)&amp;" "&amp;'01_Input_Raw_Products'!I111)</f>
        <v>0</v>
      </c>
      <c r="E111" s="9">
        <f>IF(C111="","",D111&amp;" | GemPundit")</f>
        <v>0</v>
      </c>
      <c r="F111" s="9" cm="1">
        <f t="array" ref="F111">IF('01_Input_Raw_Products'!X111&lt;&gt;"",'01_Input_Raw_Products'!X111,IFERROR(_xlfn.XLOOKUP('01_Input_Raw_Products'!F111,'10_Master_Gem_Types'!A:A,'10_Master_Gem_Types'!O:O),LOWER(SUBSTITUTE(IF('01_Input_Raw_Products'!F111&lt;&gt;"",'01_Input_Raw_Products'!F111,'01_Input_Raw_Products'!D111)," ","-"))))</f>
        <v>0</v>
      </c>
      <c r="G111" s="9">
        <f>'01_Input_Raw_Products'!C111</f>
        <v>0</v>
      </c>
      <c r="H111" s="9" cm="1">
        <f t="array" ref="H111">IF('01_Input_Raw_Products'!H111&lt;&gt;"",'01_Input_Raw_Products'!H111,IFERROR(_xlfn.XLOOKUP('01_Input_Raw_Products'!F111,'10_Master_Gem_Types'!A:A,'10_Master_Gem_Types'!D:D),""))</f>
        <v>0</v>
      </c>
      <c r="I111" s="7">
        <f>IF('01_Input_Raw_Products'!N111&lt;&gt;"",'01_Input_Raw_Products'!N111,IF('01_Input_Raw_Products'!O111&lt;&gt;"",'01_Input_Raw_Products'!O111*0.91,""))</f>
        <v>0</v>
      </c>
      <c r="J111" s="9" cm="1">
        <f t="array" ref="J111">IFERROR(_xlfn.XLOOKUP('01_Input_Raw_Products'!F111,'10_Master_Gem_Types'!A:A,'10_Master_Gem_Types'!N:N),"")</f>
        <v>0</v>
      </c>
      <c r="K111" s="9" cm="1">
        <f t="array" ref="K111">IF('01_Input_Raw_Products'!J111&lt;&gt;"",'01_Input_Raw_Products'!J111,IFERROR(_xlfn.XLOOKUP('01_Input_Raw_Products'!F111,'10_Master_Gem_Types'!A:A,'10_Master_Gem_Types'!E:E),""))</f>
        <v>0</v>
      </c>
      <c r="L111" s="9">
        <f>'01_Input_Raw_Products'!P111</f>
        <v>0</v>
      </c>
      <c r="M111" s="9" cm="1">
        <f t="array" ref="M111">IFERROR(_xlfn.XLOOKUP('01_Input_Raw_Products'!K111,'12_Color_Mapping'!A:A,'12_Color_Mapping'!B:B),IFERROR(_xlfn.XLOOKUP('01_Input_Raw_Products'!F111,'10_Master_Gem_Types'!A:A,'10_Master_Gem_Types'!F:F),""))</f>
        <v>0</v>
      </c>
      <c r="N111" s="9">
        <f>IF(C111="","",IF('01_Input_Raw_Products'!F111&lt;&gt;"",'01_Input_Raw_Products'!F111,'01_Input_Raw_Products'!D111))</f>
        <v>0</v>
      </c>
      <c r="O111" s="9">
        <f>IF(C111="","","Catalog Automation")</f>
        <v>0</v>
      </c>
      <c r="P111" s="9">
        <f>'01_Input_Raw_Products'!U111</f>
        <v>0</v>
      </c>
      <c r="Q111" s="7">
        <f>IF('01_Input_Raw_Products'!O111&lt;&gt;"",'01_Input_Raw_Products'!O111,IF('01_Input_Raw_Products'!N111&lt;&gt;"",'01_Input_Raw_Products'!N111*1.1,""))</f>
        <v>0</v>
      </c>
      <c r="R111" s="9">
        <f>'01_Input_Raw_Products'!S111</f>
        <v>0</v>
      </c>
      <c r="S111" s="9" cm="1">
        <f t="array" ref="S111">IFERROR(_xlfn.XLOOKUP('01_Input_Raw_Products'!F111,'10_Master_Gem_Types'!A:A,'10_Master_Gem_Types'!H:H),"")</f>
        <v>0</v>
      </c>
      <c r="T111" s="8">
        <f>'01_Input_Raw_Products'!Q111</f>
        <v>0</v>
      </c>
      <c r="U111" s="8">
        <f>'01_Input_Raw_Products'!R111</f>
        <v>0</v>
      </c>
      <c r="V111" s="7">
        <f>I111</f>
        <v>0</v>
      </c>
      <c r="W111" s="9" cm="1">
        <f t="array" ref="W111">IF('01_Input_Raw_Products'!G111&lt;&gt;"",'01_Input_Raw_Products'!G111,IFERROR(_xlfn.XLOOKUP('01_Input_Raw_Products'!F111,'10_Master_Gem_Types'!A:A,'10_Master_Gem_Types'!L:L),""))</f>
        <v>0</v>
      </c>
      <c r="X111" s="9" cm="1">
        <f t="array" ref="X111">IFERROR(_xlfn.XLOOKUP('01_Input_Raw_Products'!F111,'10_Master_Gem_Types'!A:A,'10_Master_Gem_Types'!J:J),"")</f>
        <v>0</v>
      </c>
      <c r="Y111" s="9" cm="1">
        <f t="array" ref="Y111">IFERROR(_xlfn.XLOOKUP('01_Input_Raw_Products'!F111,'10_Master_Gem_Types'!A:A,'10_Master_Gem_Types'!I:I),"")</f>
        <v>0</v>
      </c>
      <c r="Z111" s="9" cm="1">
        <f t="array" ref="Z111">IFERROR(_xlfn.XLOOKUP('01_Input_Raw_Products'!L111,'13_Certification_Stickers'!A:A,'13_Certification_Stickers'!C:C),"")</f>
        <v>0</v>
      </c>
      <c r="AA111" s="9" cm="1">
        <f t="array" ref="AA111">IFERROR(_xlfn.XLOOKUP('01_Input_Raw_Products'!S111,'14_Shipping_Rules'!A:A,'14_Shipping_Rules'!B:B),"")</f>
        <v>0</v>
      </c>
      <c r="AB111" s="9" cm="1">
        <f t="array" ref="AB111">IFERROR(_xlfn.XLOOKUP('01_Input_Raw_Products'!D111,'16_Astro_Flags'!A:A,'16_Astro_Flags'!B:B),"")</f>
        <v>0</v>
      </c>
      <c r="AC111" s="9">
        <f>IF(C111="","","Catalog, Search")</f>
        <v>0</v>
      </c>
      <c r="AD111" s="9">
        <f>IF(C111="","",IF(OR(F111="",J111="",M111="",S111="",Y111=""),"Manual Review","Ready"))</f>
        <v>0</v>
      </c>
      <c r="AE111" s="9">
        <f>IF(C111="","",TEXTJOIN("; ",TRUE,IF(F111="","Missing url_key",""),IF(J111="","Missing classification",""),IF(M111="","Missing j_colour",""),IF(S111="","Missing hsn_code",""),IF(Y111="","Missing tax_class_id","")))</f>
        <v>0</v>
      </c>
    </row>
    <row r="112" spans="1:31">
      <c r="A112" s="9">
        <f>IF('01_Input_Raw_Products'!B112&lt;&gt;"",20,"")</f>
        <v>0</v>
      </c>
      <c r="B112" s="9" cm="1">
        <f t="array" ref="B112">IF('01_Input_Raw_Products'!M112&lt;&gt;"",'01_Input_Raw_Products'!M112,IFERROR(_xlfn.XLOOKUP('01_Input_Raw_Products'!F112,'10_Master_Gem_Types'!A:A,'10_Master_Gem_Types'!K:K),""))</f>
        <v>0</v>
      </c>
      <c r="C112" s="9">
        <f>'01_Input_Raw_Products'!B112</f>
        <v>0</v>
      </c>
      <c r="D112" s="9">
        <f>IF(C112="","",TEXT(I112,"0.00")&amp;" Ct "&amp;IF('01_Input_Raw_Products'!F112&lt;&gt;"",'01_Input_Raw_Products'!F112,'01_Input_Raw_Products'!D112)&amp;" "&amp;'01_Input_Raw_Products'!I112)</f>
        <v>0</v>
      </c>
      <c r="E112" s="9">
        <f>IF(C112="","",D112&amp;" | GemPundit")</f>
        <v>0</v>
      </c>
      <c r="F112" s="9" cm="1">
        <f t="array" ref="F112">IF('01_Input_Raw_Products'!X112&lt;&gt;"",'01_Input_Raw_Products'!X112,IFERROR(_xlfn.XLOOKUP('01_Input_Raw_Products'!F112,'10_Master_Gem_Types'!A:A,'10_Master_Gem_Types'!O:O),LOWER(SUBSTITUTE(IF('01_Input_Raw_Products'!F112&lt;&gt;"",'01_Input_Raw_Products'!F112,'01_Input_Raw_Products'!D112)," ","-"))))</f>
        <v>0</v>
      </c>
      <c r="G112" s="9">
        <f>'01_Input_Raw_Products'!C112</f>
        <v>0</v>
      </c>
      <c r="H112" s="9" cm="1">
        <f t="array" ref="H112">IF('01_Input_Raw_Products'!H112&lt;&gt;"",'01_Input_Raw_Products'!H112,IFERROR(_xlfn.XLOOKUP('01_Input_Raw_Products'!F112,'10_Master_Gem_Types'!A:A,'10_Master_Gem_Types'!D:D),""))</f>
        <v>0</v>
      </c>
      <c r="I112" s="7">
        <f>IF('01_Input_Raw_Products'!N112&lt;&gt;"",'01_Input_Raw_Products'!N112,IF('01_Input_Raw_Products'!O112&lt;&gt;"",'01_Input_Raw_Products'!O112*0.91,""))</f>
        <v>0</v>
      </c>
      <c r="J112" s="9" cm="1">
        <f t="array" ref="J112">IFERROR(_xlfn.XLOOKUP('01_Input_Raw_Products'!F112,'10_Master_Gem_Types'!A:A,'10_Master_Gem_Types'!N:N),"")</f>
        <v>0</v>
      </c>
      <c r="K112" s="9" cm="1">
        <f t="array" ref="K112">IF('01_Input_Raw_Products'!J112&lt;&gt;"",'01_Input_Raw_Products'!J112,IFERROR(_xlfn.XLOOKUP('01_Input_Raw_Products'!F112,'10_Master_Gem_Types'!A:A,'10_Master_Gem_Types'!E:E),""))</f>
        <v>0</v>
      </c>
      <c r="L112" s="9">
        <f>'01_Input_Raw_Products'!P112</f>
        <v>0</v>
      </c>
      <c r="M112" s="9" cm="1">
        <f t="array" ref="M112">IFERROR(_xlfn.XLOOKUP('01_Input_Raw_Products'!K112,'12_Color_Mapping'!A:A,'12_Color_Mapping'!B:B),IFERROR(_xlfn.XLOOKUP('01_Input_Raw_Products'!F112,'10_Master_Gem_Types'!A:A,'10_Master_Gem_Types'!F:F),""))</f>
        <v>0</v>
      </c>
      <c r="N112" s="9">
        <f>IF(C112="","",IF('01_Input_Raw_Products'!F112&lt;&gt;"",'01_Input_Raw_Products'!F112,'01_Input_Raw_Products'!D112))</f>
        <v>0</v>
      </c>
      <c r="O112" s="9">
        <f>IF(C112="","","Catalog Automation")</f>
        <v>0</v>
      </c>
      <c r="P112" s="9">
        <f>'01_Input_Raw_Products'!U112</f>
        <v>0</v>
      </c>
      <c r="Q112" s="7">
        <f>IF('01_Input_Raw_Products'!O112&lt;&gt;"",'01_Input_Raw_Products'!O112,IF('01_Input_Raw_Products'!N112&lt;&gt;"",'01_Input_Raw_Products'!N112*1.1,""))</f>
        <v>0</v>
      </c>
      <c r="R112" s="9">
        <f>'01_Input_Raw_Products'!S112</f>
        <v>0</v>
      </c>
      <c r="S112" s="9" cm="1">
        <f t="array" ref="S112">IFERROR(_xlfn.XLOOKUP('01_Input_Raw_Products'!F112,'10_Master_Gem_Types'!A:A,'10_Master_Gem_Types'!H:H),"")</f>
        <v>0</v>
      </c>
      <c r="T112" s="8">
        <f>'01_Input_Raw_Products'!Q112</f>
        <v>0</v>
      </c>
      <c r="U112" s="8">
        <f>'01_Input_Raw_Products'!R112</f>
        <v>0</v>
      </c>
      <c r="V112" s="7">
        <f>I112</f>
        <v>0</v>
      </c>
      <c r="W112" s="9" cm="1">
        <f t="array" ref="W112">IF('01_Input_Raw_Products'!G112&lt;&gt;"",'01_Input_Raw_Products'!G112,IFERROR(_xlfn.XLOOKUP('01_Input_Raw_Products'!F112,'10_Master_Gem_Types'!A:A,'10_Master_Gem_Types'!L:L),""))</f>
        <v>0</v>
      </c>
      <c r="X112" s="9" cm="1">
        <f t="array" ref="X112">IFERROR(_xlfn.XLOOKUP('01_Input_Raw_Products'!F112,'10_Master_Gem_Types'!A:A,'10_Master_Gem_Types'!J:J),"")</f>
        <v>0</v>
      </c>
      <c r="Y112" s="9" cm="1">
        <f t="array" ref="Y112">IFERROR(_xlfn.XLOOKUP('01_Input_Raw_Products'!F112,'10_Master_Gem_Types'!A:A,'10_Master_Gem_Types'!I:I),"")</f>
        <v>0</v>
      </c>
      <c r="Z112" s="9" cm="1">
        <f t="array" ref="Z112">IFERROR(_xlfn.XLOOKUP('01_Input_Raw_Products'!L112,'13_Certification_Stickers'!A:A,'13_Certification_Stickers'!C:C),"")</f>
        <v>0</v>
      </c>
      <c r="AA112" s="9" cm="1">
        <f t="array" ref="AA112">IFERROR(_xlfn.XLOOKUP('01_Input_Raw_Products'!S112,'14_Shipping_Rules'!A:A,'14_Shipping_Rules'!B:B),"")</f>
        <v>0</v>
      </c>
      <c r="AB112" s="9" cm="1">
        <f t="array" ref="AB112">IFERROR(_xlfn.XLOOKUP('01_Input_Raw_Products'!D112,'16_Astro_Flags'!A:A,'16_Astro_Flags'!B:B),"")</f>
        <v>0</v>
      </c>
      <c r="AC112" s="9">
        <f>IF(C112="","","Catalog, Search")</f>
        <v>0</v>
      </c>
      <c r="AD112" s="9">
        <f>IF(C112="","",IF(OR(F112="",J112="",M112="",S112="",Y112=""),"Manual Review","Ready"))</f>
        <v>0</v>
      </c>
      <c r="AE112" s="9">
        <f>IF(C112="","",TEXTJOIN("; ",TRUE,IF(F112="","Missing url_key",""),IF(J112="","Missing classification",""),IF(M112="","Missing j_colour",""),IF(S112="","Missing hsn_code",""),IF(Y112="","Missing tax_class_id","")))</f>
        <v>0</v>
      </c>
    </row>
    <row r="113" spans="1:31">
      <c r="A113" s="9">
        <f>IF('01_Input_Raw_Products'!B113&lt;&gt;"",20,"")</f>
        <v>0</v>
      </c>
      <c r="B113" s="9" cm="1">
        <f t="array" ref="B113">IF('01_Input_Raw_Products'!M113&lt;&gt;"",'01_Input_Raw_Products'!M113,IFERROR(_xlfn.XLOOKUP('01_Input_Raw_Products'!F113,'10_Master_Gem_Types'!A:A,'10_Master_Gem_Types'!K:K),""))</f>
        <v>0</v>
      </c>
      <c r="C113" s="9">
        <f>'01_Input_Raw_Products'!B113</f>
        <v>0</v>
      </c>
      <c r="D113" s="9">
        <f>IF(C113="","",TEXT(I113,"0.00")&amp;" Ct "&amp;IF('01_Input_Raw_Products'!F113&lt;&gt;"",'01_Input_Raw_Products'!F113,'01_Input_Raw_Products'!D113)&amp;" "&amp;'01_Input_Raw_Products'!I113)</f>
        <v>0</v>
      </c>
      <c r="E113" s="9">
        <f>IF(C113="","",D113&amp;" | GemPundit")</f>
        <v>0</v>
      </c>
      <c r="F113" s="9" cm="1">
        <f t="array" ref="F113">IF('01_Input_Raw_Products'!X113&lt;&gt;"",'01_Input_Raw_Products'!X113,IFERROR(_xlfn.XLOOKUP('01_Input_Raw_Products'!F113,'10_Master_Gem_Types'!A:A,'10_Master_Gem_Types'!O:O),LOWER(SUBSTITUTE(IF('01_Input_Raw_Products'!F113&lt;&gt;"",'01_Input_Raw_Products'!F113,'01_Input_Raw_Products'!D113)," ","-"))))</f>
        <v>0</v>
      </c>
      <c r="G113" s="9">
        <f>'01_Input_Raw_Products'!C113</f>
        <v>0</v>
      </c>
      <c r="H113" s="9" cm="1">
        <f t="array" ref="H113">IF('01_Input_Raw_Products'!H113&lt;&gt;"",'01_Input_Raw_Products'!H113,IFERROR(_xlfn.XLOOKUP('01_Input_Raw_Products'!F113,'10_Master_Gem_Types'!A:A,'10_Master_Gem_Types'!D:D),""))</f>
        <v>0</v>
      </c>
      <c r="I113" s="7">
        <f>IF('01_Input_Raw_Products'!N113&lt;&gt;"",'01_Input_Raw_Products'!N113,IF('01_Input_Raw_Products'!O113&lt;&gt;"",'01_Input_Raw_Products'!O113*0.91,""))</f>
        <v>0</v>
      </c>
      <c r="J113" s="9" cm="1">
        <f t="array" ref="J113">IFERROR(_xlfn.XLOOKUP('01_Input_Raw_Products'!F113,'10_Master_Gem_Types'!A:A,'10_Master_Gem_Types'!N:N),"")</f>
        <v>0</v>
      </c>
      <c r="K113" s="9" cm="1">
        <f t="array" ref="K113">IF('01_Input_Raw_Products'!J113&lt;&gt;"",'01_Input_Raw_Products'!J113,IFERROR(_xlfn.XLOOKUP('01_Input_Raw_Products'!F113,'10_Master_Gem_Types'!A:A,'10_Master_Gem_Types'!E:E),""))</f>
        <v>0</v>
      </c>
      <c r="L113" s="9">
        <f>'01_Input_Raw_Products'!P113</f>
        <v>0</v>
      </c>
      <c r="M113" s="9" cm="1">
        <f t="array" ref="M113">IFERROR(_xlfn.XLOOKUP('01_Input_Raw_Products'!K113,'12_Color_Mapping'!A:A,'12_Color_Mapping'!B:B),IFERROR(_xlfn.XLOOKUP('01_Input_Raw_Products'!F113,'10_Master_Gem_Types'!A:A,'10_Master_Gem_Types'!F:F),""))</f>
        <v>0</v>
      </c>
      <c r="N113" s="9">
        <f>IF(C113="","",IF('01_Input_Raw_Products'!F113&lt;&gt;"",'01_Input_Raw_Products'!F113,'01_Input_Raw_Products'!D113))</f>
        <v>0</v>
      </c>
      <c r="O113" s="9">
        <f>IF(C113="","","Catalog Automation")</f>
        <v>0</v>
      </c>
      <c r="P113" s="9">
        <f>'01_Input_Raw_Products'!U113</f>
        <v>0</v>
      </c>
      <c r="Q113" s="7">
        <f>IF('01_Input_Raw_Products'!O113&lt;&gt;"",'01_Input_Raw_Products'!O113,IF('01_Input_Raw_Products'!N113&lt;&gt;"",'01_Input_Raw_Products'!N113*1.1,""))</f>
        <v>0</v>
      </c>
      <c r="R113" s="9">
        <f>'01_Input_Raw_Products'!S113</f>
        <v>0</v>
      </c>
      <c r="S113" s="9" cm="1">
        <f t="array" ref="S113">IFERROR(_xlfn.XLOOKUP('01_Input_Raw_Products'!F113,'10_Master_Gem_Types'!A:A,'10_Master_Gem_Types'!H:H),"")</f>
        <v>0</v>
      </c>
      <c r="T113" s="8">
        <f>'01_Input_Raw_Products'!Q113</f>
        <v>0</v>
      </c>
      <c r="U113" s="8">
        <f>'01_Input_Raw_Products'!R113</f>
        <v>0</v>
      </c>
      <c r="V113" s="7">
        <f>I113</f>
        <v>0</v>
      </c>
      <c r="W113" s="9" cm="1">
        <f t="array" ref="W113">IF('01_Input_Raw_Products'!G113&lt;&gt;"",'01_Input_Raw_Products'!G113,IFERROR(_xlfn.XLOOKUP('01_Input_Raw_Products'!F113,'10_Master_Gem_Types'!A:A,'10_Master_Gem_Types'!L:L),""))</f>
        <v>0</v>
      </c>
      <c r="X113" s="9" cm="1">
        <f t="array" ref="X113">IFERROR(_xlfn.XLOOKUP('01_Input_Raw_Products'!F113,'10_Master_Gem_Types'!A:A,'10_Master_Gem_Types'!J:J),"")</f>
        <v>0</v>
      </c>
      <c r="Y113" s="9" cm="1">
        <f t="array" ref="Y113">IFERROR(_xlfn.XLOOKUP('01_Input_Raw_Products'!F113,'10_Master_Gem_Types'!A:A,'10_Master_Gem_Types'!I:I),"")</f>
        <v>0</v>
      </c>
      <c r="Z113" s="9" cm="1">
        <f t="array" ref="Z113">IFERROR(_xlfn.XLOOKUP('01_Input_Raw_Products'!L113,'13_Certification_Stickers'!A:A,'13_Certification_Stickers'!C:C),"")</f>
        <v>0</v>
      </c>
      <c r="AA113" s="9" cm="1">
        <f t="array" ref="AA113">IFERROR(_xlfn.XLOOKUP('01_Input_Raw_Products'!S113,'14_Shipping_Rules'!A:A,'14_Shipping_Rules'!B:B),"")</f>
        <v>0</v>
      </c>
      <c r="AB113" s="9" cm="1">
        <f t="array" ref="AB113">IFERROR(_xlfn.XLOOKUP('01_Input_Raw_Products'!D113,'16_Astro_Flags'!A:A,'16_Astro_Flags'!B:B),"")</f>
        <v>0</v>
      </c>
      <c r="AC113" s="9">
        <f>IF(C113="","","Catalog, Search")</f>
        <v>0</v>
      </c>
      <c r="AD113" s="9">
        <f>IF(C113="","",IF(OR(F113="",J113="",M113="",S113="",Y113=""),"Manual Review","Ready"))</f>
        <v>0</v>
      </c>
      <c r="AE113" s="9">
        <f>IF(C113="","",TEXTJOIN("; ",TRUE,IF(F113="","Missing url_key",""),IF(J113="","Missing classification",""),IF(M113="","Missing j_colour",""),IF(S113="","Missing hsn_code",""),IF(Y113="","Missing tax_class_id","")))</f>
        <v>0</v>
      </c>
    </row>
    <row r="114" spans="1:31">
      <c r="A114" s="9">
        <f>IF('01_Input_Raw_Products'!B114&lt;&gt;"",20,"")</f>
        <v>0</v>
      </c>
      <c r="B114" s="9" cm="1">
        <f t="array" ref="B114">IF('01_Input_Raw_Products'!M114&lt;&gt;"",'01_Input_Raw_Products'!M114,IFERROR(_xlfn.XLOOKUP('01_Input_Raw_Products'!F114,'10_Master_Gem_Types'!A:A,'10_Master_Gem_Types'!K:K),""))</f>
        <v>0</v>
      </c>
      <c r="C114" s="9">
        <f>'01_Input_Raw_Products'!B114</f>
        <v>0</v>
      </c>
      <c r="D114" s="9">
        <f>IF(C114="","",TEXT(I114,"0.00")&amp;" Ct "&amp;IF('01_Input_Raw_Products'!F114&lt;&gt;"",'01_Input_Raw_Products'!F114,'01_Input_Raw_Products'!D114)&amp;" "&amp;'01_Input_Raw_Products'!I114)</f>
        <v>0</v>
      </c>
      <c r="E114" s="9">
        <f>IF(C114="","",D114&amp;" | GemPundit")</f>
        <v>0</v>
      </c>
      <c r="F114" s="9" cm="1">
        <f t="array" ref="F114">IF('01_Input_Raw_Products'!X114&lt;&gt;"",'01_Input_Raw_Products'!X114,IFERROR(_xlfn.XLOOKUP('01_Input_Raw_Products'!F114,'10_Master_Gem_Types'!A:A,'10_Master_Gem_Types'!O:O),LOWER(SUBSTITUTE(IF('01_Input_Raw_Products'!F114&lt;&gt;"",'01_Input_Raw_Products'!F114,'01_Input_Raw_Products'!D114)," ","-"))))</f>
        <v>0</v>
      </c>
      <c r="G114" s="9">
        <f>'01_Input_Raw_Products'!C114</f>
        <v>0</v>
      </c>
      <c r="H114" s="9" cm="1">
        <f t="array" ref="H114">IF('01_Input_Raw_Products'!H114&lt;&gt;"",'01_Input_Raw_Products'!H114,IFERROR(_xlfn.XLOOKUP('01_Input_Raw_Products'!F114,'10_Master_Gem_Types'!A:A,'10_Master_Gem_Types'!D:D),""))</f>
        <v>0</v>
      </c>
      <c r="I114" s="7">
        <f>IF('01_Input_Raw_Products'!N114&lt;&gt;"",'01_Input_Raw_Products'!N114,IF('01_Input_Raw_Products'!O114&lt;&gt;"",'01_Input_Raw_Products'!O114*0.91,""))</f>
        <v>0</v>
      </c>
      <c r="J114" s="9" cm="1">
        <f t="array" ref="J114">IFERROR(_xlfn.XLOOKUP('01_Input_Raw_Products'!F114,'10_Master_Gem_Types'!A:A,'10_Master_Gem_Types'!N:N),"")</f>
        <v>0</v>
      </c>
      <c r="K114" s="9" cm="1">
        <f t="array" ref="K114">IF('01_Input_Raw_Products'!J114&lt;&gt;"",'01_Input_Raw_Products'!J114,IFERROR(_xlfn.XLOOKUP('01_Input_Raw_Products'!F114,'10_Master_Gem_Types'!A:A,'10_Master_Gem_Types'!E:E),""))</f>
        <v>0</v>
      </c>
      <c r="L114" s="9">
        <f>'01_Input_Raw_Products'!P114</f>
        <v>0</v>
      </c>
      <c r="M114" s="9" cm="1">
        <f t="array" ref="M114">IFERROR(_xlfn.XLOOKUP('01_Input_Raw_Products'!K114,'12_Color_Mapping'!A:A,'12_Color_Mapping'!B:B),IFERROR(_xlfn.XLOOKUP('01_Input_Raw_Products'!F114,'10_Master_Gem_Types'!A:A,'10_Master_Gem_Types'!F:F),""))</f>
        <v>0</v>
      </c>
      <c r="N114" s="9">
        <f>IF(C114="","",IF('01_Input_Raw_Products'!F114&lt;&gt;"",'01_Input_Raw_Products'!F114,'01_Input_Raw_Products'!D114))</f>
        <v>0</v>
      </c>
      <c r="O114" s="9">
        <f>IF(C114="","","Catalog Automation")</f>
        <v>0</v>
      </c>
      <c r="P114" s="9">
        <f>'01_Input_Raw_Products'!U114</f>
        <v>0</v>
      </c>
      <c r="Q114" s="7">
        <f>IF('01_Input_Raw_Products'!O114&lt;&gt;"",'01_Input_Raw_Products'!O114,IF('01_Input_Raw_Products'!N114&lt;&gt;"",'01_Input_Raw_Products'!N114*1.1,""))</f>
        <v>0</v>
      </c>
      <c r="R114" s="9">
        <f>'01_Input_Raw_Products'!S114</f>
        <v>0</v>
      </c>
      <c r="S114" s="9" cm="1">
        <f t="array" ref="S114">IFERROR(_xlfn.XLOOKUP('01_Input_Raw_Products'!F114,'10_Master_Gem_Types'!A:A,'10_Master_Gem_Types'!H:H),"")</f>
        <v>0</v>
      </c>
      <c r="T114" s="8">
        <f>'01_Input_Raw_Products'!Q114</f>
        <v>0</v>
      </c>
      <c r="U114" s="8">
        <f>'01_Input_Raw_Products'!R114</f>
        <v>0</v>
      </c>
      <c r="V114" s="7">
        <f>I114</f>
        <v>0</v>
      </c>
      <c r="W114" s="9" cm="1">
        <f t="array" ref="W114">IF('01_Input_Raw_Products'!G114&lt;&gt;"",'01_Input_Raw_Products'!G114,IFERROR(_xlfn.XLOOKUP('01_Input_Raw_Products'!F114,'10_Master_Gem_Types'!A:A,'10_Master_Gem_Types'!L:L),""))</f>
        <v>0</v>
      </c>
      <c r="X114" s="9" cm="1">
        <f t="array" ref="X114">IFERROR(_xlfn.XLOOKUP('01_Input_Raw_Products'!F114,'10_Master_Gem_Types'!A:A,'10_Master_Gem_Types'!J:J),"")</f>
        <v>0</v>
      </c>
      <c r="Y114" s="9" cm="1">
        <f t="array" ref="Y114">IFERROR(_xlfn.XLOOKUP('01_Input_Raw_Products'!F114,'10_Master_Gem_Types'!A:A,'10_Master_Gem_Types'!I:I),"")</f>
        <v>0</v>
      </c>
      <c r="Z114" s="9" cm="1">
        <f t="array" ref="Z114">IFERROR(_xlfn.XLOOKUP('01_Input_Raw_Products'!L114,'13_Certification_Stickers'!A:A,'13_Certification_Stickers'!C:C),"")</f>
        <v>0</v>
      </c>
      <c r="AA114" s="9" cm="1">
        <f t="array" ref="AA114">IFERROR(_xlfn.XLOOKUP('01_Input_Raw_Products'!S114,'14_Shipping_Rules'!A:A,'14_Shipping_Rules'!B:B),"")</f>
        <v>0</v>
      </c>
      <c r="AB114" s="9" cm="1">
        <f t="array" ref="AB114">IFERROR(_xlfn.XLOOKUP('01_Input_Raw_Products'!D114,'16_Astro_Flags'!A:A,'16_Astro_Flags'!B:B),"")</f>
        <v>0</v>
      </c>
      <c r="AC114" s="9">
        <f>IF(C114="","","Catalog, Search")</f>
        <v>0</v>
      </c>
      <c r="AD114" s="9">
        <f>IF(C114="","",IF(OR(F114="",J114="",M114="",S114="",Y114=""),"Manual Review","Ready"))</f>
        <v>0</v>
      </c>
      <c r="AE114" s="9">
        <f>IF(C114="","",TEXTJOIN("; ",TRUE,IF(F114="","Missing url_key",""),IF(J114="","Missing classification",""),IF(M114="","Missing j_colour",""),IF(S114="","Missing hsn_code",""),IF(Y114="","Missing tax_class_id","")))</f>
        <v>0</v>
      </c>
    </row>
    <row r="115" spans="1:31">
      <c r="A115" s="9">
        <f>IF('01_Input_Raw_Products'!B115&lt;&gt;"",20,"")</f>
        <v>0</v>
      </c>
      <c r="B115" s="9" cm="1">
        <f t="array" ref="B115">IF('01_Input_Raw_Products'!M115&lt;&gt;"",'01_Input_Raw_Products'!M115,IFERROR(_xlfn.XLOOKUP('01_Input_Raw_Products'!F115,'10_Master_Gem_Types'!A:A,'10_Master_Gem_Types'!K:K),""))</f>
        <v>0</v>
      </c>
      <c r="C115" s="9">
        <f>'01_Input_Raw_Products'!B115</f>
        <v>0</v>
      </c>
      <c r="D115" s="9">
        <f>IF(C115="","",TEXT(I115,"0.00")&amp;" Ct "&amp;IF('01_Input_Raw_Products'!F115&lt;&gt;"",'01_Input_Raw_Products'!F115,'01_Input_Raw_Products'!D115)&amp;" "&amp;'01_Input_Raw_Products'!I115)</f>
        <v>0</v>
      </c>
      <c r="E115" s="9">
        <f>IF(C115="","",D115&amp;" | GemPundit")</f>
        <v>0</v>
      </c>
      <c r="F115" s="9" cm="1">
        <f t="array" ref="F115">IF('01_Input_Raw_Products'!X115&lt;&gt;"",'01_Input_Raw_Products'!X115,IFERROR(_xlfn.XLOOKUP('01_Input_Raw_Products'!F115,'10_Master_Gem_Types'!A:A,'10_Master_Gem_Types'!O:O),LOWER(SUBSTITUTE(IF('01_Input_Raw_Products'!F115&lt;&gt;"",'01_Input_Raw_Products'!F115,'01_Input_Raw_Products'!D115)," ","-"))))</f>
        <v>0</v>
      </c>
      <c r="G115" s="9">
        <f>'01_Input_Raw_Products'!C115</f>
        <v>0</v>
      </c>
      <c r="H115" s="9" cm="1">
        <f t="array" ref="H115">IF('01_Input_Raw_Products'!H115&lt;&gt;"",'01_Input_Raw_Products'!H115,IFERROR(_xlfn.XLOOKUP('01_Input_Raw_Products'!F115,'10_Master_Gem_Types'!A:A,'10_Master_Gem_Types'!D:D),""))</f>
        <v>0</v>
      </c>
      <c r="I115" s="7">
        <f>IF('01_Input_Raw_Products'!N115&lt;&gt;"",'01_Input_Raw_Products'!N115,IF('01_Input_Raw_Products'!O115&lt;&gt;"",'01_Input_Raw_Products'!O115*0.91,""))</f>
        <v>0</v>
      </c>
      <c r="J115" s="9" cm="1">
        <f t="array" ref="J115">IFERROR(_xlfn.XLOOKUP('01_Input_Raw_Products'!F115,'10_Master_Gem_Types'!A:A,'10_Master_Gem_Types'!N:N),"")</f>
        <v>0</v>
      </c>
      <c r="K115" s="9" cm="1">
        <f t="array" ref="K115">IF('01_Input_Raw_Products'!J115&lt;&gt;"",'01_Input_Raw_Products'!J115,IFERROR(_xlfn.XLOOKUP('01_Input_Raw_Products'!F115,'10_Master_Gem_Types'!A:A,'10_Master_Gem_Types'!E:E),""))</f>
        <v>0</v>
      </c>
      <c r="L115" s="9">
        <f>'01_Input_Raw_Products'!P115</f>
        <v>0</v>
      </c>
      <c r="M115" s="9" cm="1">
        <f t="array" ref="M115">IFERROR(_xlfn.XLOOKUP('01_Input_Raw_Products'!K115,'12_Color_Mapping'!A:A,'12_Color_Mapping'!B:B),IFERROR(_xlfn.XLOOKUP('01_Input_Raw_Products'!F115,'10_Master_Gem_Types'!A:A,'10_Master_Gem_Types'!F:F),""))</f>
        <v>0</v>
      </c>
      <c r="N115" s="9">
        <f>IF(C115="","",IF('01_Input_Raw_Products'!F115&lt;&gt;"",'01_Input_Raw_Products'!F115,'01_Input_Raw_Products'!D115))</f>
        <v>0</v>
      </c>
      <c r="O115" s="9">
        <f>IF(C115="","","Catalog Automation")</f>
        <v>0</v>
      </c>
      <c r="P115" s="9">
        <f>'01_Input_Raw_Products'!U115</f>
        <v>0</v>
      </c>
      <c r="Q115" s="7">
        <f>IF('01_Input_Raw_Products'!O115&lt;&gt;"",'01_Input_Raw_Products'!O115,IF('01_Input_Raw_Products'!N115&lt;&gt;"",'01_Input_Raw_Products'!N115*1.1,""))</f>
        <v>0</v>
      </c>
      <c r="R115" s="9">
        <f>'01_Input_Raw_Products'!S115</f>
        <v>0</v>
      </c>
      <c r="S115" s="9" cm="1">
        <f t="array" ref="S115">IFERROR(_xlfn.XLOOKUP('01_Input_Raw_Products'!F115,'10_Master_Gem_Types'!A:A,'10_Master_Gem_Types'!H:H),"")</f>
        <v>0</v>
      </c>
      <c r="T115" s="8">
        <f>'01_Input_Raw_Products'!Q115</f>
        <v>0</v>
      </c>
      <c r="U115" s="8">
        <f>'01_Input_Raw_Products'!R115</f>
        <v>0</v>
      </c>
      <c r="V115" s="7">
        <f>I115</f>
        <v>0</v>
      </c>
      <c r="W115" s="9" cm="1">
        <f t="array" ref="W115">IF('01_Input_Raw_Products'!G115&lt;&gt;"",'01_Input_Raw_Products'!G115,IFERROR(_xlfn.XLOOKUP('01_Input_Raw_Products'!F115,'10_Master_Gem_Types'!A:A,'10_Master_Gem_Types'!L:L),""))</f>
        <v>0</v>
      </c>
      <c r="X115" s="9" cm="1">
        <f t="array" ref="X115">IFERROR(_xlfn.XLOOKUP('01_Input_Raw_Products'!F115,'10_Master_Gem_Types'!A:A,'10_Master_Gem_Types'!J:J),"")</f>
        <v>0</v>
      </c>
      <c r="Y115" s="9" cm="1">
        <f t="array" ref="Y115">IFERROR(_xlfn.XLOOKUP('01_Input_Raw_Products'!F115,'10_Master_Gem_Types'!A:A,'10_Master_Gem_Types'!I:I),"")</f>
        <v>0</v>
      </c>
      <c r="Z115" s="9" cm="1">
        <f t="array" ref="Z115">IFERROR(_xlfn.XLOOKUP('01_Input_Raw_Products'!L115,'13_Certification_Stickers'!A:A,'13_Certification_Stickers'!C:C),"")</f>
        <v>0</v>
      </c>
      <c r="AA115" s="9" cm="1">
        <f t="array" ref="AA115">IFERROR(_xlfn.XLOOKUP('01_Input_Raw_Products'!S115,'14_Shipping_Rules'!A:A,'14_Shipping_Rules'!B:B),"")</f>
        <v>0</v>
      </c>
      <c r="AB115" s="9" cm="1">
        <f t="array" ref="AB115">IFERROR(_xlfn.XLOOKUP('01_Input_Raw_Products'!D115,'16_Astro_Flags'!A:A,'16_Astro_Flags'!B:B),"")</f>
        <v>0</v>
      </c>
      <c r="AC115" s="9">
        <f>IF(C115="","","Catalog, Search")</f>
        <v>0</v>
      </c>
      <c r="AD115" s="9">
        <f>IF(C115="","",IF(OR(F115="",J115="",M115="",S115="",Y115=""),"Manual Review","Ready"))</f>
        <v>0</v>
      </c>
      <c r="AE115" s="9">
        <f>IF(C115="","",TEXTJOIN("; ",TRUE,IF(F115="","Missing url_key",""),IF(J115="","Missing classification",""),IF(M115="","Missing j_colour",""),IF(S115="","Missing hsn_code",""),IF(Y115="","Missing tax_class_id","")))</f>
        <v>0</v>
      </c>
    </row>
    <row r="116" spans="1:31">
      <c r="A116" s="9">
        <f>IF('01_Input_Raw_Products'!B116&lt;&gt;"",20,"")</f>
        <v>0</v>
      </c>
      <c r="B116" s="9" cm="1">
        <f t="array" ref="B116">IF('01_Input_Raw_Products'!M116&lt;&gt;"",'01_Input_Raw_Products'!M116,IFERROR(_xlfn.XLOOKUP('01_Input_Raw_Products'!F116,'10_Master_Gem_Types'!A:A,'10_Master_Gem_Types'!K:K),""))</f>
        <v>0</v>
      </c>
      <c r="C116" s="9">
        <f>'01_Input_Raw_Products'!B116</f>
        <v>0</v>
      </c>
      <c r="D116" s="9">
        <f>IF(C116="","",TEXT(I116,"0.00")&amp;" Ct "&amp;IF('01_Input_Raw_Products'!F116&lt;&gt;"",'01_Input_Raw_Products'!F116,'01_Input_Raw_Products'!D116)&amp;" "&amp;'01_Input_Raw_Products'!I116)</f>
        <v>0</v>
      </c>
      <c r="E116" s="9">
        <f>IF(C116="","",D116&amp;" | GemPundit")</f>
        <v>0</v>
      </c>
      <c r="F116" s="9" cm="1">
        <f t="array" ref="F116">IF('01_Input_Raw_Products'!X116&lt;&gt;"",'01_Input_Raw_Products'!X116,IFERROR(_xlfn.XLOOKUP('01_Input_Raw_Products'!F116,'10_Master_Gem_Types'!A:A,'10_Master_Gem_Types'!O:O),LOWER(SUBSTITUTE(IF('01_Input_Raw_Products'!F116&lt;&gt;"",'01_Input_Raw_Products'!F116,'01_Input_Raw_Products'!D116)," ","-"))))</f>
        <v>0</v>
      </c>
      <c r="G116" s="9">
        <f>'01_Input_Raw_Products'!C116</f>
        <v>0</v>
      </c>
      <c r="H116" s="9" cm="1">
        <f t="array" ref="H116">IF('01_Input_Raw_Products'!H116&lt;&gt;"",'01_Input_Raw_Products'!H116,IFERROR(_xlfn.XLOOKUP('01_Input_Raw_Products'!F116,'10_Master_Gem_Types'!A:A,'10_Master_Gem_Types'!D:D),""))</f>
        <v>0</v>
      </c>
      <c r="I116" s="7">
        <f>IF('01_Input_Raw_Products'!N116&lt;&gt;"",'01_Input_Raw_Products'!N116,IF('01_Input_Raw_Products'!O116&lt;&gt;"",'01_Input_Raw_Products'!O116*0.91,""))</f>
        <v>0</v>
      </c>
      <c r="J116" s="9" cm="1">
        <f t="array" ref="J116">IFERROR(_xlfn.XLOOKUP('01_Input_Raw_Products'!F116,'10_Master_Gem_Types'!A:A,'10_Master_Gem_Types'!N:N),"")</f>
        <v>0</v>
      </c>
      <c r="K116" s="9" cm="1">
        <f t="array" ref="K116">IF('01_Input_Raw_Products'!J116&lt;&gt;"",'01_Input_Raw_Products'!J116,IFERROR(_xlfn.XLOOKUP('01_Input_Raw_Products'!F116,'10_Master_Gem_Types'!A:A,'10_Master_Gem_Types'!E:E),""))</f>
        <v>0</v>
      </c>
      <c r="L116" s="9">
        <f>'01_Input_Raw_Products'!P116</f>
        <v>0</v>
      </c>
      <c r="M116" s="9" cm="1">
        <f t="array" ref="M116">IFERROR(_xlfn.XLOOKUP('01_Input_Raw_Products'!K116,'12_Color_Mapping'!A:A,'12_Color_Mapping'!B:B),IFERROR(_xlfn.XLOOKUP('01_Input_Raw_Products'!F116,'10_Master_Gem_Types'!A:A,'10_Master_Gem_Types'!F:F),""))</f>
        <v>0</v>
      </c>
      <c r="N116" s="9">
        <f>IF(C116="","",IF('01_Input_Raw_Products'!F116&lt;&gt;"",'01_Input_Raw_Products'!F116,'01_Input_Raw_Products'!D116))</f>
        <v>0</v>
      </c>
      <c r="O116" s="9">
        <f>IF(C116="","","Catalog Automation")</f>
        <v>0</v>
      </c>
      <c r="P116" s="9">
        <f>'01_Input_Raw_Products'!U116</f>
        <v>0</v>
      </c>
      <c r="Q116" s="7">
        <f>IF('01_Input_Raw_Products'!O116&lt;&gt;"",'01_Input_Raw_Products'!O116,IF('01_Input_Raw_Products'!N116&lt;&gt;"",'01_Input_Raw_Products'!N116*1.1,""))</f>
        <v>0</v>
      </c>
      <c r="R116" s="9">
        <f>'01_Input_Raw_Products'!S116</f>
        <v>0</v>
      </c>
      <c r="S116" s="9" cm="1">
        <f t="array" ref="S116">IFERROR(_xlfn.XLOOKUP('01_Input_Raw_Products'!F116,'10_Master_Gem_Types'!A:A,'10_Master_Gem_Types'!H:H),"")</f>
        <v>0</v>
      </c>
      <c r="T116" s="8">
        <f>'01_Input_Raw_Products'!Q116</f>
        <v>0</v>
      </c>
      <c r="U116" s="8">
        <f>'01_Input_Raw_Products'!R116</f>
        <v>0</v>
      </c>
      <c r="V116" s="7">
        <f>I116</f>
        <v>0</v>
      </c>
      <c r="W116" s="9" cm="1">
        <f t="array" ref="W116">IF('01_Input_Raw_Products'!G116&lt;&gt;"",'01_Input_Raw_Products'!G116,IFERROR(_xlfn.XLOOKUP('01_Input_Raw_Products'!F116,'10_Master_Gem_Types'!A:A,'10_Master_Gem_Types'!L:L),""))</f>
        <v>0</v>
      </c>
      <c r="X116" s="9" cm="1">
        <f t="array" ref="X116">IFERROR(_xlfn.XLOOKUP('01_Input_Raw_Products'!F116,'10_Master_Gem_Types'!A:A,'10_Master_Gem_Types'!J:J),"")</f>
        <v>0</v>
      </c>
      <c r="Y116" s="9" cm="1">
        <f t="array" ref="Y116">IFERROR(_xlfn.XLOOKUP('01_Input_Raw_Products'!F116,'10_Master_Gem_Types'!A:A,'10_Master_Gem_Types'!I:I),"")</f>
        <v>0</v>
      </c>
      <c r="Z116" s="9" cm="1">
        <f t="array" ref="Z116">IFERROR(_xlfn.XLOOKUP('01_Input_Raw_Products'!L116,'13_Certification_Stickers'!A:A,'13_Certification_Stickers'!C:C),"")</f>
        <v>0</v>
      </c>
      <c r="AA116" s="9" cm="1">
        <f t="array" ref="AA116">IFERROR(_xlfn.XLOOKUP('01_Input_Raw_Products'!S116,'14_Shipping_Rules'!A:A,'14_Shipping_Rules'!B:B),"")</f>
        <v>0</v>
      </c>
      <c r="AB116" s="9" cm="1">
        <f t="array" ref="AB116">IFERROR(_xlfn.XLOOKUP('01_Input_Raw_Products'!D116,'16_Astro_Flags'!A:A,'16_Astro_Flags'!B:B),"")</f>
        <v>0</v>
      </c>
      <c r="AC116" s="9">
        <f>IF(C116="","","Catalog, Search")</f>
        <v>0</v>
      </c>
      <c r="AD116" s="9">
        <f>IF(C116="","",IF(OR(F116="",J116="",M116="",S116="",Y116=""),"Manual Review","Ready"))</f>
        <v>0</v>
      </c>
      <c r="AE116" s="9">
        <f>IF(C116="","",TEXTJOIN("; ",TRUE,IF(F116="","Missing url_key",""),IF(J116="","Missing classification",""),IF(M116="","Missing j_colour",""),IF(S116="","Missing hsn_code",""),IF(Y116="","Missing tax_class_id","")))</f>
        <v>0</v>
      </c>
    </row>
    <row r="117" spans="1:31">
      <c r="A117" s="9">
        <f>IF('01_Input_Raw_Products'!B117&lt;&gt;"",20,"")</f>
        <v>0</v>
      </c>
      <c r="B117" s="9" cm="1">
        <f t="array" ref="B117">IF('01_Input_Raw_Products'!M117&lt;&gt;"",'01_Input_Raw_Products'!M117,IFERROR(_xlfn.XLOOKUP('01_Input_Raw_Products'!F117,'10_Master_Gem_Types'!A:A,'10_Master_Gem_Types'!K:K),""))</f>
        <v>0</v>
      </c>
      <c r="C117" s="9">
        <f>'01_Input_Raw_Products'!B117</f>
        <v>0</v>
      </c>
      <c r="D117" s="9">
        <f>IF(C117="","",TEXT(I117,"0.00")&amp;" Ct "&amp;IF('01_Input_Raw_Products'!F117&lt;&gt;"",'01_Input_Raw_Products'!F117,'01_Input_Raw_Products'!D117)&amp;" "&amp;'01_Input_Raw_Products'!I117)</f>
        <v>0</v>
      </c>
      <c r="E117" s="9">
        <f>IF(C117="","",D117&amp;" | GemPundit")</f>
        <v>0</v>
      </c>
      <c r="F117" s="9" cm="1">
        <f t="array" ref="F117">IF('01_Input_Raw_Products'!X117&lt;&gt;"",'01_Input_Raw_Products'!X117,IFERROR(_xlfn.XLOOKUP('01_Input_Raw_Products'!F117,'10_Master_Gem_Types'!A:A,'10_Master_Gem_Types'!O:O),LOWER(SUBSTITUTE(IF('01_Input_Raw_Products'!F117&lt;&gt;"",'01_Input_Raw_Products'!F117,'01_Input_Raw_Products'!D117)," ","-"))))</f>
        <v>0</v>
      </c>
      <c r="G117" s="9">
        <f>'01_Input_Raw_Products'!C117</f>
        <v>0</v>
      </c>
      <c r="H117" s="9" cm="1">
        <f t="array" ref="H117">IF('01_Input_Raw_Products'!H117&lt;&gt;"",'01_Input_Raw_Products'!H117,IFERROR(_xlfn.XLOOKUP('01_Input_Raw_Products'!F117,'10_Master_Gem_Types'!A:A,'10_Master_Gem_Types'!D:D),""))</f>
        <v>0</v>
      </c>
      <c r="I117" s="7">
        <f>IF('01_Input_Raw_Products'!N117&lt;&gt;"",'01_Input_Raw_Products'!N117,IF('01_Input_Raw_Products'!O117&lt;&gt;"",'01_Input_Raw_Products'!O117*0.91,""))</f>
        <v>0</v>
      </c>
      <c r="J117" s="9" cm="1">
        <f t="array" ref="J117">IFERROR(_xlfn.XLOOKUP('01_Input_Raw_Products'!F117,'10_Master_Gem_Types'!A:A,'10_Master_Gem_Types'!N:N),"")</f>
        <v>0</v>
      </c>
      <c r="K117" s="9" cm="1">
        <f t="array" ref="K117">IF('01_Input_Raw_Products'!J117&lt;&gt;"",'01_Input_Raw_Products'!J117,IFERROR(_xlfn.XLOOKUP('01_Input_Raw_Products'!F117,'10_Master_Gem_Types'!A:A,'10_Master_Gem_Types'!E:E),""))</f>
        <v>0</v>
      </c>
      <c r="L117" s="9">
        <f>'01_Input_Raw_Products'!P117</f>
        <v>0</v>
      </c>
      <c r="M117" s="9" cm="1">
        <f t="array" ref="M117">IFERROR(_xlfn.XLOOKUP('01_Input_Raw_Products'!K117,'12_Color_Mapping'!A:A,'12_Color_Mapping'!B:B),IFERROR(_xlfn.XLOOKUP('01_Input_Raw_Products'!F117,'10_Master_Gem_Types'!A:A,'10_Master_Gem_Types'!F:F),""))</f>
        <v>0</v>
      </c>
      <c r="N117" s="9">
        <f>IF(C117="","",IF('01_Input_Raw_Products'!F117&lt;&gt;"",'01_Input_Raw_Products'!F117,'01_Input_Raw_Products'!D117))</f>
        <v>0</v>
      </c>
      <c r="O117" s="9">
        <f>IF(C117="","","Catalog Automation")</f>
        <v>0</v>
      </c>
      <c r="P117" s="9">
        <f>'01_Input_Raw_Products'!U117</f>
        <v>0</v>
      </c>
      <c r="Q117" s="7">
        <f>IF('01_Input_Raw_Products'!O117&lt;&gt;"",'01_Input_Raw_Products'!O117,IF('01_Input_Raw_Products'!N117&lt;&gt;"",'01_Input_Raw_Products'!N117*1.1,""))</f>
        <v>0</v>
      </c>
      <c r="R117" s="9">
        <f>'01_Input_Raw_Products'!S117</f>
        <v>0</v>
      </c>
      <c r="S117" s="9" cm="1">
        <f t="array" ref="S117">IFERROR(_xlfn.XLOOKUP('01_Input_Raw_Products'!F117,'10_Master_Gem_Types'!A:A,'10_Master_Gem_Types'!H:H),"")</f>
        <v>0</v>
      </c>
      <c r="T117" s="8">
        <f>'01_Input_Raw_Products'!Q117</f>
        <v>0</v>
      </c>
      <c r="U117" s="8">
        <f>'01_Input_Raw_Products'!R117</f>
        <v>0</v>
      </c>
      <c r="V117" s="7">
        <f>I117</f>
        <v>0</v>
      </c>
      <c r="W117" s="9" cm="1">
        <f t="array" ref="W117">IF('01_Input_Raw_Products'!G117&lt;&gt;"",'01_Input_Raw_Products'!G117,IFERROR(_xlfn.XLOOKUP('01_Input_Raw_Products'!F117,'10_Master_Gem_Types'!A:A,'10_Master_Gem_Types'!L:L),""))</f>
        <v>0</v>
      </c>
      <c r="X117" s="9" cm="1">
        <f t="array" ref="X117">IFERROR(_xlfn.XLOOKUP('01_Input_Raw_Products'!F117,'10_Master_Gem_Types'!A:A,'10_Master_Gem_Types'!J:J),"")</f>
        <v>0</v>
      </c>
      <c r="Y117" s="9" cm="1">
        <f t="array" ref="Y117">IFERROR(_xlfn.XLOOKUP('01_Input_Raw_Products'!F117,'10_Master_Gem_Types'!A:A,'10_Master_Gem_Types'!I:I),"")</f>
        <v>0</v>
      </c>
      <c r="Z117" s="9" cm="1">
        <f t="array" ref="Z117">IFERROR(_xlfn.XLOOKUP('01_Input_Raw_Products'!L117,'13_Certification_Stickers'!A:A,'13_Certification_Stickers'!C:C),"")</f>
        <v>0</v>
      </c>
      <c r="AA117" s="9" cm="1">
        <f t="array" ref="AA117">IFERROR(_xlfn.XLOOKUP('01_Input_Raw_Products'!S117,'14_Shipping_Rules'!A:A,'14_Shipping_Rules'!B:B),"")</f>
        <v>0</v>
      </c>
      <c r="AB117" s="9" cm="1">
        <f t="array" ref="AB117">IFERROR(_xlfn.XLOOKUP('01_Input_Raw_Products'!D117,'16_Astro_Flags'!A:A,'16_Astro_Flags'!B:B),"")</f>
        <v>0</v>
      </c>
      <c r="AC117" s="9">
        <f>IF(C117="","","Catalog, Search")</f>
        <v>0</v>
      </c>
      <c r="AD117" s="9">
        <f>IF(C117="","",IF(OR(F117="",J117="",M117="",S117="",Y117=""),"Manual Review","Ready"))</f>
        <v>0</v>
      </c>
      <c r="AE117" s="9">
        <f>IF(C117="","",TEXTJOIN("; ",TRUE,IF(F117="","Missing url_key",""),IF(J117="","Missing classification",""),IF(M117="","Missing j_colour",""),IF(S117="","Missing hsn_code",""),IF(Y117="","Missing tax_class_id","")))</f>
        <v>0</v>
      </c>
    </row>
    <row r="118" spans="1:31">
      <c r="A118" s="9">
        <f>IF('01_Input_Raw_Products'!B118&lt;&gt;"",20,"")</f>
        <v>0</v>
      </c>
      <c r="B118" s="9" cm="1">
        <f t="array" ref="B118">IF('01_Input_Raw_Products'!M118&lt;&gt;"",'01_Input_Raw_Products'!M118,IFERROR(_xlfn.XLOOKUP('01_Input_Raw_Products'!F118,'10_Master_Gem_Types'!A:A,'10_Master_Gem_Types'!K:K),""))</f>
        <v>0</v>
      </c>
      <c r="C118" s="9">
        <f>'01_Input_Raw_Products'!B118</f>
        <v>0</v>
      </c>
      <c r="D118" s="9">
        <f>IF(C118="","",TEXT(I118,"0.00")&amp;" Ct "&amp;IF('01_Input_Raw_Products'!F118&lt;&gt;"",'01_Input_Raw_Products'!F118,'01_Input_Raw_Products'!D118)&amp;" "&amp;'01_Input_Raw_Products'!I118)</f>
        <v>0</v>
      </c>
      <c r="E118" s="9">
        <f>IF(C118="","",D118&amp;" | GemPundit")</f>
        <v>0</v>
      </c>
      <c r="F118" s="9" cm="1">
        <f t="array" ref="F118">IF('01_Input_Raw_Products'!X118&lt;&gt;"",'01_Input_Raw_Products'!X118,IFERROR(_xlfn.XLOOKUP('01_Input_Raw_Products'!F118,'10_Master_Gem_Types'!A:A,'10_Master_Gem_Types'!O:O),LOWER(SUBSTITUTE(IF('01_Input_Raw_Products'!F118&lt;&gt;"",'01_Input_Raw_Products'!F118,'01_Input_Raw_Products'!D118)," ","-"))))</f>
        <v>0</v>
      </c>
      <c r="G118" s="9">
        <f>'01_Input_Raw_Products'!C118</f>
        <v>0</v>
      </c>
      <c r="H118" s="9" cm="1">
        <f t="array" ref="H118">IF('01_Input_Raw_Products'!H118&lt;&gt;"",'01_Input_Raw_Products'!H118,IFERROR(_xlfn.XLOOKUP('01_Input_Raw_Products'!F118,'10_Master_Gem_Types'!A:A,'10_Master_Gem_Types'!D:D),""))</f>
        <v>0</v>
      </c>
      <c r="I118" s="7">
        <f>IF('01_Input_Raw_Products'!N118&lt;&gt;"",'01_Input_Raw_Products'!N118,IF('01_Input_Raw_Products'!O118&lt;&gt;"",'01_Input_Raw_Products'!O118*0.91,""))</f>
        <v>0</v>
      </c>
      <c r="J118" s="9" cm="1">
        <f t="array" ref="J118">IFERROR(_xlfn.XLOOKUP('01_Input_Raw_Products'!F118,'10_Master_Gem_Types'!A:A,'10_Master_Gem_Types'!N:N),"")</f>
        <v>0</v>
      </c>
      <c r="K118" s="9" cm="1">
        <f t="array" ref="K118">IF('01_Input_Raw_Products'!J118&lt;&gt;"",'01_Input_Raw_Products'!J118,IFERROR(_xlfn.XLOOKUP('01_Input_Raw_Products'!F118,'10_Master_Gem_Types'!A:A,'10_Master_Gem_Types'!E:E),""))</f>
        <v>0</v>
      </c>
      <c r="L118" s="9">
        <f>'01_Input_Raw_Products'!P118</f>
        <v>0</v>
      </c>
      <c r="M118" s="9" cm="1">
        <f t="array" ref="M118">IFERROR(_xlfn.XLOOKUP('01_Input_Raw_Products'!K118,'12_Color_Mapping'!A:A,'12_Color_Mapping'!B:B),IFERROR(_xlfn.XLOOKUP('01_Input_Raw_Products'!F118,'10_Master_Gem_Types'!A:A,'10_Master_Gem_Types'!F:F),""))</f>
        <v>0</v>
      </c>
      <c r="N118" s="9">
        <f>IF(C118="","",IF('01_Input_Raw_Products'!F118&lt;&gt;"",'01_Input_Raw_Products'!F118,'01_Input_Raw_Products'!D118))</f>
        <v>0</v>
      </c>
      <c r="O118" s="9">
        <f>IF(C118="","","Catalog Automation")</f>
        <v>0</v>
      </c>
      <c r="P118" s="9">
        <f>'01_Input_Raw_Products'!U118</f>
        <v>0</v>
      </c>
      <c r="Q118" s="7">
        <f>IF('01_Input_Raw_Products'!O118&lt;&gt;"",'01_Input_Raw_Products'!O118,IF('01_Input_Raw_Products'!N118&lt;&gt;"",'01_Input_Raw_Products'!N118*1.1,""))</f>
        <v>0</v>
      </c>
      <c r="R118" s="9">
        <f>'01_Input_Raw_Products'!S118</f>
        <v>0</v>
      </c>
      <c r="S118" s="9" cm="1">
        <f t="array" ref="S118">IFERROR(_xlfn.XLOOKUP('01_Input_Raw_Products'!F118,'10_Master_Gem_Types'!A:A,'10_Master_Gem_Types'!H:H),"")</f>
        <v>0</v>
      </c>
      <c r="T118" s="8">
        <f>'01_Input_Raw_Products'!Q118</f>
        <v>0</v>
      </c>
      <c r="U118" s="8">
        <f>'01_Input_Raw_Products'!R118</f>
        <v>0</v>
      </c>
      <c r="V118" s="7">
        <f>I118</f>
        <v>0</v>
      </c>
      <c r="W118" s="9" cm="1">
        <f t="array" ref="W118">IF('01_Input_Raw_Products'!G118&lt;&gt;"",'01_Input_Raw_Products'!G118,IFERROR(_xlfn.XLOOKUP('01_Input_Raw_Products'!F118,'10_Master_Gem_Types'!A:A,'10_Master_Gem_Types'!L:L),""))</f>
        <v>0</v>
      </c>
      <c r="X118" s="9" cm="1">
        <f t="array" ref="X118">IFERROR(_xlfn.XLOOKUP('01_Input_Raw_Products'!F118,'10_Master_Gem_Types'!A:A,'10_Master_Gem_Types'!J:J),"")</f>
        <v>0</v>
      </c>
      <c r="Y118" s="9" cm="1">
        <f t="array" ref="Y118">IFERROR(_xlfn.XLOOKUP('01_Input_Raw_Products'!F118,'10_Master_Gem_Types'!A:A,'10_Master_Gem_Types'!I:I),"")</f>
        <v>0</v>
      </c>
      <c r="Z118" s="9" cm="1">
        <f t="array" ref="Z118">IFERROR(_xlfn.XLOOKUP('01_Input_Raw_Products'!L118,'13_Certification_Stickers'!A:A,'13_Certification_Stickers'!C:C),"")</f>
        <v>0</v>
      </c>
      <c r="AA118" s="9" cm="1">
        <f t="array" ref="AA118">IFERROR(_xlfn.XLOOKUP('01_Input_Raw_Products'!S118,'14_Shipping_Rules'!A:A,'14_Shipping_Rules'!B:B),"")</f>
        <v>0</v>
      </c>
      <c r="AB118" s="9" cm="1">
        <f t="array" ref="AB118">IFERROR(_xlfn.XLOOKUP('01_Input_Raw_Products'!D118,'16_Astro_Flags'!A:A,'16_Astro_Flags'!B:B),"")</f>
        <v>0</v>
      </c>
      <c r="AC118" s="9">
        <f>IF(C118="","","Catalog, Search")</f>
        <v>0</v>
      </c>
      <c r="AD118" s="9">
        <f>IF(C118="","",IF(OR(F118="",J118="",M118="",S118="",Y118=""),"Manual Review","Ready"))</f>
        <v>0</v>
      </c>
      <c r="AE118" s="9">
        <f>IF(C118="","",TEXTJOIN("; ",TRUE,IF(F118="","Missing url_key",""),IF(J118="","Missing classification",""),IF(M118="","Missing j_colour",""),IF(S118="","Missing hsn_code",""),IF(Y118="","Missing tax_class_id","")))</f>
        <v>0</v>
      </c>
    </row>
    <row r="119" spans="1:31">
      <c r="A119" s="9">
        <f>IF('01_Input_Raw_Products'!B119&lt;&gt;"",20,"")</f>
        <v>0</v>
      </c>
      <c r="B119" s="9" cm="1">
        <f t="array" ref="B119">IF('01_Input_Raw_Products'!M119&lt;&gt;"",'01_Input_Raw_Products'!M119,IFERROR(_xlfn.XLOOKUP('01_Input_Raw_Products'!F119,'10_Master_Gem_Types'!A:A,'10_Master_Gem_Types'!K:K),""))</f>
        <v>0</v>
      </c>
      <c r="C119" s="9">
        <f>'01_Input_Raw_Products'!B119</f>
        <v>0</v>
      </c>
      <c r="D119" s="9">
        <f>IF(C119="","",TEXT(I119,"0.00")&amp;" Ct "&amp;IF('01_Input_Raw_Products'!F119&lt;&gt;"",'01_Input_Raw_Products'!F119,'01_Input_Raw_Products'!D119)&amp;" "&amp;'01_Input_Raw_Products'!I119)</f>
        <v>0</v>
      </c>
      <c r="E119" s="9">
        <f>IF(C119="","",D119&amp;" | GemPundit")</f>
        <v>0</v>
      </c>
      <c r="F119" s="9" cm="1">
        <f t="array" ref="F119">IF('01_Input_Raw_Products'!X119&lt;&gt;"",'01_Input_Raw_Products'!X119,IFERROR(_xlfn.XLOOKUP('01_Input_Raw_Products'!F119,'10_Master_Gem_Types'!A:A,'10_Master_Gem_Types'!O:O),LOWER(SUBSTITUTE(IF('01_Input_Raw_Products'!F119&lt;&gt;"",'01_Input_Raw_Products'!F119,'01_Input_Raw_Products'!D119)," ","-"))))</f>
        <v>0</v>
      </c>
      <c r="G119" s="9">
        <f>'01_Input_Raw_Products'!C119</f>
        <v>0</v>
      </c>
      <c r="H119" s="9" cm="1">
        <f t="array" ref="H119">IF('01_Input_Raw_Products'!H119&lt;&gt;"",'01_Input_Raw_Products'!H119,IFERROR(_xlfn.XLOOKUP('01_Input_Raw_Products'!F119,'10_Master_Gem_Types'!A:A,'10_Master_Gem_Types'!D:D),""))</f>
        <v>0</v>
      </c>
      <c r="I119" s="7">
        <f>IF('01_Input_Raw_Products'!N119&lt;&gt;"",'01_Input_Raw_Products'!N119,IF('01_Input_Raw_Products'!O119&lt;&gt;"",'01_Input_Raw_Products'!O119*0.91,""))</f>
        <v>0</v>
      </c>
      <c r="J119" s="9" cm="1">
        <f t="array" ref="J119">IFERROR(_xlfn.XLOOKUP('01_Input_Raw_Products'!F119,'10_Master_Gem_Types'!A:A,'10_Master_Gem_Types'!N:N),"")</f>
        <v>0</v>
      </c>
      <c r="K119" s="9" cm="1">
        <f t="array" ref="K119">IF('01_Input_Raw_Products'!J119&lt;&gt;"",'01_Input_Raw_Products'!J119,IFERROR(_xlfn.XLOOKUP('01_Input_Raw_Products'!F119,'10_Master_Gem_Types'!A:A,'10_Master_Gem_Types'!E:E),""))</f>
        <v>0</v>
      </c>
      <c r="L119" s="9">
        <f>'01_Input_Raw_Products'!P119</f>
        <v>0</v>
      </c>
      <c r="M119" s="9" cm="1">
        <f t="array" ref="M119">IFERROR(_xlfn.XLOOKUP('01_Input_Raw_Products'!K119,'12_Color_Mapping'!A:A,'12_Color_Mapping'!B:B),IFERROR(_xlfn.XLOOKUP('01_Input_Raw_Products'!F119,'10_Master_Gem_Types'!A:A,'10_Master_Gem_Types'!F:F),""))</f>
        <v>0</v>
      </c>
      <c r="N119" s="9">
        <f>IF(C119="","",IF('01_Input_Raw_Products'!F119&lt;&gt;"",'01_Input_Raw_Products'!F119,'01_Input_Raw_Products'!D119))</f>
        <v>0</v>
      </c>
      <c r="O119" s="9">
        <f>IF(C119="","","Catalog Automation")</f>
        <v>0</v>
      </c>
      <c r="P119" s="9">
        <f>'01_Input_Raw_Products'!U119</f>
        <v>0</v>
      </c>
      <c r="Q119" s="7">
        <f>IF('01_Input_Raw_Products'!O119&lt;&gt;"",'01_Input_Raw_Products'!O119,IF('01_Input_Raw_Products'!N119&lt;&gt;"",'01_Input_Raw_Products'!N119*1.1,""))</f>
        <v>0</v>
      </c>
      <c r="R119" s="9">
        <f>'01_Input_Raw_Products'!S119</f>
        <v>0</v>
      </c>
      <c r="S119" s="9" cm="1">
        <f t="array" ref="S119">IFERROR(_xlfn.XLOOKUP('01_Input_Raw_Products'!F119,'10_Master_Gem_Types'!A:A,'10_Master_Gem_Types'!H:H),"")</f>
        <v>0</v>
      </c>
      <c r="T119" s="8">
        <f>'01_Input_Raw_Products'!Q119</f>
        <v>0</v>
      </c>
      <c r="U119" s="8">
        <f>'01_Input_Raw_Products'!R119</f>
        <v>0</v>
      </c>
      <c r="V119" s="7">
        <f>I119</f>
        <v>0</v>
      </c>
      <c r="W119" s="9" cm="1">
        <f t="array" ref="W119">IF('01_Input_Raw_Products'!G119&lt;&gt;"",'01_Input_Raw_Products'!G119,IFERROR(_xlfn.XLOOKUP('01_Input_Raw_Products'!F119,'10_Master_Gem_Types'!A:A,'10_Master_Gem_Types'!L:L),""))</f>
        <v>0</v>
      </c>
      <c r="X119" s="9" cm="1">
        <f t="array" ref="X119">IFERROR(_xlfn.XLOOKUP('01_Input_Raw_Products'!F119,'10_Master_Gem_Types'!A:A,'10_Master_Gem_Types'!J:J),"")</f>
        <v>0</v>
      </c>
      <c r="Y119" s="9" cm="1">
        <f t="array" ref="Y119">IFERROR(_xlfn.XLOOKUP('01_Input_Raw_Products'!F119,'10_Master_Gem_Types'!A:A,'10_Master_Gem_Types'!I:I),"")</f>
        <v>0</v>
      </c>
      <c r="Z119" s="9" cm="1">
        <f t="array" ref="Z119">IFERROR(_xlfn.XLOOKUP('01_Input_Raw_Products'!L119,'13_Certification_Stickers'!A:A,'13_Certification_Stickers'!C:C),"")</f>
        <v>0</v>
      </c>
      <c r="AA119" s="9" cm="1">
        <f t="array" ref="AA119">IFERROR(_xlfn.XLOOKUP('01_Input_Raw_Products'!S119,'14_Shipping_Rules'!A:A,'14_Shipping_Rules'!B:B),"")</f>
        <v>0</v>
      </c>
      <c r="AB119" s="9" cm="1">
        <f t="array" ref="AB119">IFERROR(_xlfn.XLOOKUP('01_Input_Raw_Products'!D119,'16_Astro_Flags'!A:A,'16_Astro_Flags'!B:B),"")</f>
        <v>0</v>
      </c>
      <c r="AC119" s="9">
        <f>IF(C119="","","Catalog, Search")</f>
        <v>0</v>
      </c>
      <c r="AD119" s="9">
        <f>IF(C119="","",IF(OR(F119="",J119="",M119="",S119="",Y119=""),"Manual Review","Ready"))</f>
        <v>0</v>
      </c>
      <c r="AE119" s="9">
        <f>IF(C119="","",TEXTJOIN("; ",TRUE,IF(F119="","Missing url_key",""),IF(J119="","Missing classification",""),IF(M119="","Missing j_colour",""),IF(S119="","Missing hsn_code",""),IF(Y119="","Missing tax_class_id","")))</f>
        <v>0</v>
      </c>
    </row>
    <row r="120" spans="1:31">
      <c r="A120" s="9">
        <f>IF('01_Input_Raw_Products'!B120&lt;&gt;"",20,"")</f>
        <v>0</v>
      </c>
      <c r="B120" s="9" cm="1">
        <f t="array" ref="B120">IF('01_Input_Raw_Products'!M120&lt;&gt;"",'01_Input_Raw_Products'!M120,IFERROR(_xlfn.XLOOKUP('01_Input_Raw_Products'!F120,'10_Master_Gem_Types'!A:A,'10_Master_Gem_Types'!K:K),""))</f>
        <v>0</v>
      </c>
      <c r="C120" s="9">
        <f>'01_Input_Raw_Products'!B120</f>
        <v>0</v>
      </c>
      <c r="D120" s="9">
        <f>IF(C120="","",TEXT(I120,"0.00")&amp;" Ct "&amp;IF('01_Input_Raw_Products'!F120&lt;&gt;"",'01_Input_Raw_Products'!F120,'01_Input_Raw_Products'!D120)&amp;" "&amp;'01_Input_Raw_Products'!I120)</f>
        <v>0</v>
      </c>
      <c r="E120" s="9">
        <f>IF(C120="","",D120&amp;" | GemPundit")</f>
        <v>0</v>
      </c>
      <c r="F120" s="9" cm="1">
        <f t="array" ref="F120">IF('01_Input_Raw_Products'!X120&lt;&gt;"",'01_Input_Raw_Products'!X120,IFERROR(_xlfn.XLOOKUP('01_Input_Raw_Products'!F120,'10_Master_Gem_Types'!A:A,'10_Master_Gem_Types'!O:O),LOWER(SUBSTITUTE(IF('01_Input_Raw_Products'!F120&lt;&gt;"",'01_Input_Raw_Products'!F120,'01_Input_Raw_Products'!D120)," ","-"))))</f>
        <v>0</v>
      </c>
      <c r="G120" s="9">
        <f>'01_Input_Raw_Products'!C120</f>
        <v>0</v>
      </c>
      <c r="H120" s="9" cm="1">
        <f t="array" ref="H120">IF('01_Input_Raw_Products'!H120&lt;&gt;"",'01_Input_Raw_Products'!H120,IFERROR(_xlfn.XLOOKUP('01_Input_Raw_Products'!F120,'10_Master_Gem_Types'!A:A,'10_Master_Gem_Types'!D:D),""))</f>
        <v>0</v>
      </c>
      <c r="I120" s="7">
        <f>IF('01_Input_Raw_Products'!N120&lt;&gt;"",'01_Input_Raw_Products'!N120,IF('01_Input_Raw_Products'!O120&lt;&gt;"",'01_Input_Raw_Products'!O120*0.91,""))</f>
        <v>0</v>
      </c>
      <c r="J120" s="9" cm="1">
        <f t="array" ref="J120">IFERROR(_xlfn.XLOOKUP('01_Input_Raw_Products'!F120,'10_Master_Gem_Types'!A:A,'10_Master_Gem_Types'!N:N),"")</f>
        <v>0</v>
      </c>
      <c r="K120" s="9" cm="1">
        <f t="array" ref="K120">IF('01_Input_Raw_Products'!J120&lt;&gt;"",'01_Input_Raw_Products'!J120,IFERROR(_xlfn.XLOOKUP('01_Input_Raw_Products'!F120,'10_Master_Gem_Types'!A:A,'10_Master_Gem_Types'!E:E),""))</f>
        <v>0</v>
      </c>
      <c r="L120" s="9">
        <f>'01_Input_Raw_Products'!P120</f>
        <v>0</v>
      </c>
      <c r="M120" s="9" cm="1">
        <f t="array" ref="M120">IFERROR(_xlfn.XLOOKUP('01_Input_Raw_Products'!K120,'12_Color_Mapping'!A:A,'12_Color_Mapping'!B:B),IFERROR(_xlfn.XLOOKUP('01_Input_Raw_Products'!F120,'10_Master_Gem_Types'!A:A,'10_Master_Gem_Types'!F:F),""))</f>
        <v>0</v>
      </c>
      <c r="N120" s="9">
        <f>IF(C120="","",IF('01_Input_Raw_Products'!F120&lt;&gt;"",'01_Input_Raw_Products'!F120,'01_Input_Raw_Products'!D120))</f>
        <v>0</v>
      </c>
      <c r="O120" s="9">
        <f>IF(C120="","","Catalog Automation")</f>
        <v>0</v>
      </c>
      <c r="P120" s="9">
        <f>'01_Input_Raw_Products'!U120</f>
        <v>0</v>
      </c>
      <c r="Q120" s="7">
        <f>IF('01_Input_Raw_Products'!O120&lt;&gt;"",'01_Input_Raw_Products'!O120,IF('01_Input_Raw_Products'!N120&lt;&gt;"",'01_Input_Raw_Products'!N120*1.1,""))</f>
        <v>0</v>
      </c>
      <c r="R120" s="9">
        <f>'01_Input_Raw_Products'!S120</f>
        <v>0</v>
      </c>
      <c r="S120" s="9" cm="1">
        <f t="array" ref="S120">IFERROR(_xlfn.XLOOKUP('01_Input_Raw_Products'!F120,'10_Master_Gem_Types'!A:A,'10_Master_Gem_Types'!H:H),"")</f>
        <v>0</v>
      </c>
      <c r="T120" s="8">
        <f>'01_Input_Raw_Products'!Q120</f>
        <v>0</v>
      </c>
      <c r="U120" s="8">
        <f>'01_Input_Raw_Products'!R120</f>
        <v>0</v>
      </c>
      <c r="V120" s="7">
        <f>I120</f>
        <v>0</v>
      </c>
      <c r="W120" s="9" cm="1">
        <f t="array" ref="W120">IF('01_Input_Raw_Products'!G120&lt;&gt;"",'01_Input_Raw_Products'!G120,IFERROR(_xlfn.XLOOKUP('01_Input_Raw_Products'!F120,'10_Master_Gem_Types'!A:A,'10_Master_Gem_Types'!L:L),""))</f>
        <v>0</v>
      </c>
      <c r="X120" s="9" cm="1">
        <f t="array" ref="X120">IFERROR(_xlfn.XLOOKUP('01_Input_Raw_Products'!F120,'10_Master_Gem_Types'!A:A,'10_Master_Gem_Types'!J:J),"")</f>
        <v>0</v>
      </c>
      <c r="Y120" s="9" cm="1">
        <f t="array" ref="Y120">IFERROR(_xlfn.XLOOKUP('01_Input_Raw_Products'!F120,'10_Master_Gem_Types'!A:A,'10_Master_Gem_Types'!I:I),"")</f>
        <v>0</v>
      </c>
      <c r="Z120" s="9" cm="1">
        <f t="array" ref="Z120">IFERROR(_xlfn.XLOOKUP('01_Input_Raw_Products'!L120,'13_Certification_Stickers'!A:A,'13_Certification_Stickers'!C:C),"")</f>
        <v>0</v>
      </c>
      <c r="AA120" s="9" cm="1">
        <f t="array" ref="AA120">IFERROR(_xlfn.XLOOKUP('01_Input_Raw_Products'!S120,'14_Shipping_Rules'!A:A,'14_Shipping_Rules'!B:B),"")</f>
        <v>0</v>
      </c>
      <c r="AB120" s="9" cm="1">
        <f t="array" ref="AB120">IFERROR(_xlfn.XLOOKUP('01_Input_Raw_Products'!D120,'16_Astro_Flags'!A:A,'16_Astro_Flags'!B:B),"")</f>
        <v>0</v>
      </c>
      <c r="AC120" s="9">
        <f>IF(C120="","","Catalog, Search")</f>
        <v>0</v>
      </c>
      <c r="AD120" s="9">
        <f>IF(C120="","",IF(OR(F120="",J120="",M120="",S120="",Y120=""),"Manual Review","Ready"))</f>
        <v>0</v>
      </c>
      <c r="AE120" s="9">
        <f>IF(C120="","",TEXTJOIN("; ",TRUE,IF(F120="","Missing url_key",""),IF(J120="","Missing classification",""),IF(M120="","Missing j_colour",""),IF(S120="","Missing hsn_code",""),IF(Y120="","Missing tax_class_id","")))</f>
        <v>0</v>
      </c>
    </row>
    <row r="121" spans="1:31">
      <c r="A121" s="9">
        <f>IF('01_Input_Raw_Products'!B121&lt;&gt;"",20,"")</f>
        <v>0</v>
      </c>
      <c r="B121" s="9" cm="1">
        <f t="array" ref="B121">IF('01_Input_Raw_Products'!M121&lt;&gt;"",'01_Input_Raw_Products'!M121,IFERROR(_xlfn.XLOOKUP('01_Input_Raw_Products'!F121,'10_Master_Gem_Types'!A:A,'10_Master_Gem_Types'!K:K),""))</f>
        <v>0</v>
      </c>
      <c r="C121" s="9">
        <f>'01_Input_Raw_Products'!B121</f>
        <v>0</v>
      </c>
      <c r="D121" s="9">
        <f>IF(C121="","",TEXT(I121,"0.00")&amp;" Ct "&amp;IF('01_Input_Raw_Products'!F121&lt;&gt;"",'01_Input_Raw_Products'!F121,'01_Input_Raw_Products'!D121)&amp;" "&amp;'01_Input_Raw_Products'!I121)</f>
        <v>0</v>
      </c>
      <c r="E121" s="9">
        <f>IF(C121="","",D121&amp;" | GemPundit")</f>
        <v>0</v>
      </c>
      <c r="F121" s="9" cm="1">
        <f t="array" ref="F121">IF('01_Input_Raw_Products'!X121&lt;&gt;"",'01_Input_Raw_Products'!X121,IFERROR(_xlfn.XLOOKUP('01_Input_Raw_Products'!F121,'10_Master_Gem_Types'!A:A,'10_Master_Gem_Types'!O:O),LOWER(SUBSTITUTE(IF('01_Input_Raw_Products'!F121&lt;&gt;"",'01_Input_Raw_Products'!F121,'01_Input_Raw_Products'!D121)," ","-"))))</f>
        <v>0</v>
      </c>
      <c r="G121" s="9">
        <f>'01_Input_Raw_Products'!C121</f>
        <v>0</v>
      </c>
      <c r="H121" s="9" cm="1">
        <f t="array" ref="H121">IF('01_Input_Raw_Products'!H121&lt;&gt;"",'01_Input_Raw_Products'!H121,IFERROR(_xlfn.XLOOKUP('01_Input_Raw_Products'!F121,'10_Master_Gem_Types'!A:A,'10_Master_Gem_Types'!D:D),""))</f>
        <v>0</v>
      </c>
      <c r="I121" s="7">
        <f>IF('01_Input_Raw_Products'!N121&lt;&gt;"",'01_Input_Raw_Products'!N121,IF('01_Input_Raw_Products'!O121&lt;&gt;"",'01_Input_Raw_Products'!O121*0.91,""))</f>
        <v>0</v>
      </c>
      <c r="J121" s="9" cm="1">
        <f t="array" ref="J121">IFERROR(_xlfn.XLOOKUP('01_Input_Raw_Products'!F121,'10_Master_Gem_Types'!A:A,'10_Master_Gem_Types'!N:N),"")</f>
        <v>0</v>
      </c>
      <c r="K121" s="9" cm="1">
        <f t="array" ref="K121">IF('01_Input_Raw_Products'!J121&lt;&gt;"",'01_Input_Raw_Products'!J121,IFERROR(_xlfn.XLOOKUP('01_Input_Raw_Products'!F121,'10_Master_Gem_Types'!A:A,'10_Master_Gem_Types'!E:E),""))</f>
        <v>0</v>
      </c>
      <c r="L121" s="9">
        <f>'01_Input_Raw_Products'!P121</f>
        <v>0</v>
      </c>
      <c r="M121" s="9" cm="1">
        <f t="array" ref="M121">IFERROR(_xlfn.XLOOKUP('01_Input_Raw_Products'!K121,'12_Color_Mapping'!A:A,'12_Color_Mapping'!B:B),IFERROR(_xlfn.XLOOKUP('01_Input_Raw_Products'!F121,'10_Master_Gem_Types'!A:A,'10_Master_Gem_Types'!F:F),""))</f>
        <v>0</v>
      </c>
      <c r="N121" s="9">
        <f>IF(C121="","",IF('01_Input_Raw_Products'!F121&lt;&gt;"",'01_Input_Raw_Products'!F121,'01_Input_Raw_Products'!D121))</f>
        <v>0</v>
      </c>
      <c r="O121" s="9">
        <f>IF(C121="","","Catalog Automation")</f>
        <v>0</v>
      </c>
      <c r="P121" s="9">
        <f>'01_Input_Raw_Products'!U121</f>
        <v>0</v>
      </c>
      <c r="Q121" s="7">
        <f>IF('01_Input_Raw_Products'!O121&lt;&gt;"",'01_Input_Raw_Products'!O121,IF('01_Input_Raw_Products'!N121&lt;&gt;"",'01_Input_Raw_Products'!N121*1.1,""))</f>
        <v>0</v>
      </c>
      <c r="R121" s="9">
        <f>'01_Input_Raw_Products'!S121</f>
        <v>0</v>
      </c>
      <c r="S121" s="9" cm="1">
        <f t="array" ref="S121">IFERROR(_xlfn.XLOOKUP('01_Input_Raw_Products'!F121,'10_Master_Gem_Types'!A:A,'10_Master_Gem_Types'!H:H),"")</f>
        <v>0</v>
      </c>
      <c r="T121" s="8">
        <f>'01_Input_Raw_Products'!Q121</f>
        <v>0</v>
      </c>
      <c r="U121" s="8">
        <f>'01_Input_Raw_Products'!R121</f>
        <v>0</v>
      </c>
      <c r="V121" s="7">
        <f>I121</f>
        <v>0</v>
      </c>
      <c r="W121" s="9" cm="1">
        <f t="array" ref="W121">IF('01_Input_Raw_Products'!G121&lt;&gt;"",'01_Input_Raw_Products'!G121,IFERROR(_xlfn.XLOOKUP('01_Input_Raw_Products'!F121,'10_Master_Gem_Types'!A:A,'10_Master_Gem_Types'!L:L),""))</f>
        <v>0</v>
      </c>
      <c r="X121" s="9" cm="1">
        <f t="array" ref="X121">IFERROR(_xlfn.XLOOKUP('01_Input_Raw_Products'!F121,'10_Master_Gem_Types'!A:A,'10_Master_Gem_Types'!J:J),"")</f>
        <v>0</v>
      </c>
      <c r="Y121" s="9" cm="1">
        <f t="array" ref="Y121">IFERROR(_xlfn.XLOOKUP('01_Input_Raw_Products'!F121,'10_Master_Gem_Types'!A:A,'10_Master_Gem_Types'!I:I),"")</f>
        <v>0</v>
      </c>
      <c r="Z121" s="9" cm="1">
        <f t="array" ref="Z121">IFERROR(_xlfn.XLOOKUP('01_Input_Raw_Products'!L121,'13_Certification_Stickers'!A:A,'13_Certification_Stickers'!C:C),"")</f>
        <v>0</v>
      </c>
      <c r="AA121" s="9" cm="1">
        <f t="array" ref="AA121">IFERROR(_xlfn.XLOOKUP('01_Input_Raw_Products'!S121,'14_Shipping_Rules'!A:A,'14_Shipping_Rules'!B:B),"")</f>
        <v>0</v>
      </c>
      <c r="AB121" s="9" cm="1">
        <f t="array" ref="AB121">IFERROR(_xlfn.XLOOKUP('01_Input_Raw_Products'!D121,'16_Astro_Flags'!A:A,'16_Astro_Flags'!B:B),"")</f>
        <v>0</v>
      </c>
      <c r="AC121" s="9">
        <f>IF(C121="","","Catalog, Search")</f>
        <v>0</v>
      </c>
      <c r="AD121" s="9">
        <f>IF(C121="","",IF(OR(F121="",J121="",M121="",S121="",Y121=""),"Manual Review","Ready"))</f>
        <v>0</v>
      </c>
      <c r="AE121" s="9">
        <f>IF(C121="","",TEXTJOIN("; ",TRUE,IF(F121="","Missing url_key",""),IF(J121="","Missing classification",""),IF(M121="","Missing j_colour",""),IF(S121="","Missing hsn_code",""),IF(Y121="","Missing tax_class_id","")))</f>
        <v>0</v>
      </c>
    </row>
    <row r="122" spans="1:31">
      <c r="A122" s="9">
        <f>IF('01_Input_Raw_Products'!B122&lt;&gt;"",20,"")</f>
        <v>0</v>
      </c>
      <c r="B122" s="9" cm="1">
        <f t="array" ref="B122">IF('01_Input_Raw_Products'!M122&lt;&gt;"",'01_Input_Raw_Products'!M122,IFERROR(_xlfn.XLOOKUP('01_Input_Raw_Products'!F122,'10_Master_Gem_Types'!A:A,'10_Master_Gem_Types'!K:K),""))</f>
        <v>0</v>
      </c>
      <c r="C122" s="9">
        <f>'01_Input_Raw_Products'!B122</f>
        <v>0</v>
      </c>
      <c r="D122" s="9">
        <f>IF(C122="","",TEXT(I122,"0.00")&amp;" Ct "&amp;IF('01_Input_Raw_Products'!F122&lt;&gt;"",'01_Input_Raw_Products'!F122,'01_Input_Raw_Products'!D122)&amp;" "&amp;'01_Input_Raw_Products'!I122)</f>
        <v>0</v>
      </c>
      <c r="E122" s="9">
        <f>IF(C122="","",D122&amp;" | GemPundit")</f>
        <v>0</v>
      </c>
      <c r="F122" s="9" cm="1">
        <f t="array" ref="F122">IF('01_Input_Raw_Products'!X122&lt;&gt;"",'01_Input_Raw_Products'!X122,IFERROR(_xlfn.XLOOKUP('01_Input_Raw_Products'!F122,'10_Master_Gem_Types'!A:A,'10_Master_Gem_Types'!O:O),LOWER(SUBSTITUTE(IF('01_Input_Raw_Products'!F122&lt;&gt;"",'01_Input_Raw_Products'!F122,'01_Input_Raw_Products'!D122)," ","-"))))</f>
        <v>0</v>
      </c>
      <c r="G122" s="9">
        <f>'01_Input_Raw_Products'!C122</f>
        <v>0</v>
      </c>
      <c r="H122" s="9" cm="1">
        <f t="array" ref="H122">IF('01_Input_Raw_Products'!H122&lt;&gt;"",'01_Input_Raw_Products'!H122,IFERROR(_xlfn.XLOOKUP('01_Input_Raw_Products'!F122,'10_Master_Gem_Types'!A:A,'10_Master_Gem_Types'!D:D),""))</f>
        <v>0</v>
      </c>
      <c r="I122" s="7">
        <f>IF('01_Input_Raw_Products'!N122&lt;&gt;"",'01_Input_Raw_Products'!N122,IF('01_Input_Raw_Products'!O122&lt;&gt;"",'01_Input_Raw_Products'!O122*0.91,""))</f>
        <v>0</v>
      </c>
      <c r="J122" s="9" cm="1">
        <f t="array" ref="J122">IFERROR(_xlfn.XLOOKUP('01_Input_Raw_Products'!F122,'10_Master_Gem_Types'!A:A,'10_Master_Gem_Types'!N:N),"")</f>
        <v>0</v>
      </c>
      <c r="K122" s="9" cm="1">
        <f t="array" ref="K122">IF('01_Input_Raw_Products'!J122&lt;&gt;"",'01_Input_Raw_Products'!J122,IFERROR(_xlfn.XLOOKUP('01_Input_Raw_Products'!F122,'10_Master_Gem_Types'!A:A,'10_Master_Gem_Types'!E:E),""))</f>
        <v>0</v>
      </c>
      <c r="L122" s="9">
        <f>'01_Input_Raw_Products'!P122</f>
        <v>0</v>
      </c>
      <c r="M122" s="9" cm="1">
        <f t="array" ref="M122">IFERROR(_xlfn.XLOOKUP('01_Input_Raw_Products'!K122,'12_Color_Mapping'!A:A,'12_Color_Mapping'!B:B),IFERROR(_xlfn.XLOOKUP('01_Input_Raw_Products'!F122,'10_Master_Gem_Types'!A:A,'10_Master_Gem_Types'!F:F),""))</f>
        <v>0</v>
      </c>
      <c r="N122" s="9">
        <f>IF(C122="","",IF('01_Input_Raw_Products'!F122&lt;&gt;"",'01_Input_Raw_Products'!F122,'01_Input_Raw_Products'!D122))</f>
        <v>0</v>
      </c>
      <c r="O122" s="9">
        <f>IF(C122="","","Catalog Automation")</f>
        <v>0</v>
      </c>
      <c r="P122" s="9">
        <f>'01_Input_Raw_Products'!U122</f>
        <v>0</v>
      </c>
      <c r="Q122" s="7">
        <f>IF('01_Input_Raw_Products'!O122&lt;&gt;"",'01_Input_Raw_Products'!O122,IF('01_Input_Raw_Products'!N122&lt;&gt;"",'01_Input_Raw_Products'!N122*1.1,""))</f>
        <v>0</v>
      </c>
      <c r="R122" s="9">
        <f>'01_Input_Raw_Products'!S122</f>
        <v>0</v>
      </c>
      <c r="S122" s="9" cm="1">
        <f t="array" ref="S122">IFERROR(_xlfn.XLOOKUP('01_Input_Raw_Products'!F122,'10_Master_Gem_Types'!A:A,'10_Master_Gem_Types'!H:H),"")</f>
        <v>0</v>
      </c>
      <c r="T122" s="8">
        <f>'01_Input_Raw_Products'!Q122</f>
        <v>0</v>
      </c>
      <c r="U122" s="8">
        <f>'01_Input_Raw_Products'!R122</f>
        <v>0</v>
      </c>
      <c r="V122" s="7">
        <f>I122</f>
        <v>0</v>
      </c>
      <c r="W122" s="9" cm="1">
        <f t="array" ref="W122">IF('01_Input_Raw_Products'!G122&lt;&gt;"",'01_Input_Raw_Products'!G122,IFERROR(_xlfn.XLOOKUP('01_Input_Raw_Products'!F122,'10_Master_Gem_Types'!A:A,'10_Master_Gem_Types'!L:L),""))</f>
        <v>0</v>
      </c>
      <c r="X122" s="9" cm="1">
        <f t="array" ref="X122">IFERROR(_xlfn.XLOOKUP('01_Input_Raw_Products'!F122,'10_Master_Gem_Types'!A:A,'10_Master_Gem_Types'!J:J),"")</f>
        <v>0</v>
      </c>
      <c r="Y122" s="9" cm="1">
        <f t="array" ref="Y122">IFERROR(_xlfn.XLOOKUP('01_Input_Raw_Products'!F122,'10_Master_Gem_Types'!A:A,'10_Master_Gem_Types'!I:I),"")</f>
        <v>0</v>
      </c>
      <c r="Z122" s="9" cm="1">
        <f t="array" ref="Z122">IFERROR(_xlfn.XLOOKUP('01_Input_Raw_Products'!L122,'13_Certification_Stickers'!A:A,'13_Certification_Stickers'!C:C),"")</f>
        <v>0</v>
      </c>
      <c r="AA122" s="9" cm="1">
        <f t="array" ref="AA122">IFERROR(_xlfn.XLOOKUP('01_Input_Raw_Products'!S122,'14_Shipping_Rules'!A:A,'14_Shipping_Rules'!B:B),"")</f>
        <v>0</v>
      </c>
      <c r="AB122" s="9" cm="1">
        <f t="array" ref="AB122">IFERROR(_xlfn.XLOOKUP('01_Input_Raw_Products'!D122,'16_Astro_Flags'!A:A,'16_Astro_Flags'!B:B),"")</f>
        <v>0</v>
      </c>
      <c r="AC122" s="9">
        <f>IF(C122="","","Catalog, Search")</f>
        <v>0</v>
      </c>
      <c r="AD122" s="9">
        <f>IF(C122="","",IF(OR(F122="",J122="",M122="",S122="",Y122=""),"Manual Review","Ready"))</f>
        <v>0</v>
      </c>
      <c r="AE122" s="9">
        <f>IF(C122="","",TEXTJOIN("; ",TRUE,IF(F122="","Missing url_key",""),IF(J122="","Missing classification",""),IF(M122="","Missing j_colour",""),IF(S122="","Missing hsn_code",""),IF(Y122="","Missing tax_class_id","")))</f>
        <v>0</v>
      </c>
    </row>
    <row r="123" spans="1:31">
      <c r="A123" s="9">
        <f>IF('01_Input_Raw_Products'!B123&lt;&gt;"",20,"")</f>
        <v>0</v>
      </c>
      <c r="B123" s="9" cm="1">
        <f t="array" ref="B123">IF('01_Input_Raw_Products'!M123&lt;&gt;"",'01_Input_Raw_Products'!M123,IFERROR(_xlfn.XLOOKUP('01_Input_Raw_Products'!F123,'10_Master_Gem_Types'!A:A,'10_Master_Gem_Types'!K:K),""))</f>
        <v>0</v>
      </c>
      <c r="C123" s="9">
        <f>'01_Input_Raw_Products'!B123</f>
        <v>0</v>
      </c>
      <c r="D123" s="9">
        <f>IF(C123="","",TEXT(I123,"0.00")&amp;" Ct "&amp;IF('01_Input_Raw_Products'!F123&lt;&gt;"",'01_Input_Raw_Products'!F123,'01_Input_Raw_Products'!D123)&amp;" "&amp;'01_Input_Raw_Products'!I123)</f>
        <v>0</v>
      </c>
      <c r="E123" s="9">
        <f>IF(C123="","",D123&amp;" | GemPundit")</f>
        <v>0</v>
      </c>
      <c r="F123" s="9" cm="1">
        <f t="array" ref="F123">IF('01_Input_Raw_Products'!X123&lt;&gt;"",'01_Input_Raw_Products'!X123,IFERROR(_xlfn.XLOOKUP('01_Input_Raw_Products'!F123,'10_Master_Gem_Types'!A:A,'10_Master_Gem_Types'!O:O),LOWER(SUBSTITUTE(IF('01_Input_Raw_Products'!F123&lt;&gt;"",'01_Input_Raw_Products'!F123,'01_Input_Raw_Products'!D123)," ","-"))))</f>
        <v>0</v>
      </c>
      <c r="G123" s="9">
        <f>'01_Input_Raw_Products'!C123</f>
        <v>0</v>
      </c>
      <c r="H123" s="9" cm="1">
        <f t="array" ref="H123">IF('01_Input_Raw_Products'!H123&lt;&gt;"",'01_Input_Raw_Products'!H123,IFERROR(_xlfn.XLOOKUP('01_Input_Raw_Products'!F123,'10_Master_Gem_Types'!A:A,'10_Master_Gem_Types'!D:D),""))</f>
        <v>0</v>
      </c>
      <c r="I123" s="7">
        <f>IF('01_Input_Raw_Products'!N123&lt;&gt;"",'01_Input_Raw_Products'!N123,IF('01_Input_Raw_Products'!O123&lt;&gt;"",'01_Input_Raw_Products'!O123*0.91,""))</f>
        <v>0</v>
      </c>
      <c r="J123" s="9" cm="1">
        <f t="array" ref="J123">IFERROR(_xlfn.XLOOKUP('01_Input_Raw_Products'!F123,'10_Master_Gem_Types'!A:A,'10_Master_Gem_Types'!N:N),"")</f>
        <v>0</v>
      </c>
      <c r="K123" s="9" cm="1">
        <f t="array" ref="K123">IF('01_Input_Raw_Products'!J123&lt;&gt;"",'01_Input_Raw_Products'!J123,IFERROR(_xlfn.XLOOKUP('01_Input_Raw_Products'!F123,'10_Master_Gem_Types'!A:A,'10_Master_Gem_Types'!E:E),""))</f>
        <v>0</v>
      </c>
      <c r="L123" s="9">
        <f>'01_Input_Raw_Products'!P123</f>
        <v>0</v>
      </c>
      <c r="M123" s="9" cm="1">
        <f t="array" ref="M123">IFERROR(_xlfn.XLOOKUP('01_Input_Raw_Products'!K123,'12_Color_Mapping'!A:A,'12_Color_Mapping'!B:B),IFERROR(_xlfn.XLOOKUP('01_Input_Raw_Products'!F123,'10_Master_Gem_Types'!A:A,'10_Master_Gem_Types'!F:F),""))</f>
        <v>0</v>
      </c>
      <c r="N123" s="9">
        <f>IF(C123="","",IF('01_Input_Raw_Products'!F123&lt;&gt;"",'01_Input_Raw_Products'!F123,'01_Input_Raw_Products'!D123))</f>
        <v>0</v>
      </c>
      <c r="O123" s="9">
        <f>IF(C123="","","Catalog Automation")</f>
        <v>0</v>
      </c>
      <c r="P123" s="9">
        <f>'01_Input_Raw_Products'!U123</f>
        <v>0</v>
      </c>
      <c r="Q123" s="7">
        <f>IF('01_Input_Raw_Products'!O123&lt;&gt;"",'01_Input_Raw_Products'!O123,IF('01_Input_Raw_Products'!N123&lt;&gt;"",'01_Input_Raw_Products'!N123*1.1,""))</f>
        <v>0</v>
      </c>
      <c r="R123" s="9">
        <f>'01_Input_Raw_Products'!S123</f>
        <v>0</v>
      </c>
      <c r="S123" s="9" cm="1">
        <f t="array" ref="S123">IFERROR(_xlfn.XLOOKUP('01_Input_Raw_Products'!F123,'10_Master_Gem_Types'!A:A,'10_Master_Gem_Types'!H:H),"")</f>
        <v>0</v>
      </c>
      <c r="T123" s="8">
        <f>'01_Input_Raw_Products'!Q123</f>
        <v>0</v>
      </c>
      <c r="U123" s="8">
        <f>'01_Input_Raw_Products'!R123</f>
        <v>0</v>
      </c>
      <c r="V123" s="7">
        <f>I123</f>
        <v>0</v>
      </c>
      <c r="W123" s="9" cm="1">
        <f t="array" ref="W123">IF('01_Input_Raw_Products'!G123&lt;&gt;"",'01_Input_Raw_Products'!G123,IFERROR(_xlfn.XLOOKUP('01_Input_Raw_Products'!F123,'10_Master_Gem_Types'!A:A,'10_Master_Gem_Types'!L:L),""))</f>
        <v>0</v>
      </c>
      <c r="X123" s="9" cm="1">
        <f t="array" ref="X123">IFERROR(_xlfn.XLOOKUP('01_Input_Raw_Products'!F123,'10_Master_Gem_Types'!A:A,'10_Master_Gem_Types'!J:J),"")</f>
        <v>0</v>
      </c>
      <c r="Y123" s="9" cm="1">
        <f t="array" ref="Y123">IFERROR(_xlfn.XLOOKUP('01_Input_Raw_Products'!F123,'10_Master_Gem_Types'!A:A,'10_Master_Gem_Types'!I:I),"")</f>
        <v>0</v>
      </c>
      <c r="Z123" s="9" cm="1">
        <f t="array" ref="Z123">IFERROR(_xlfn.XLOOKUP('01_Input_Raw_Products'!L123,'13_Certification_Stickers'!A:A,'13_Certification_Stickers'!C:C),"")</f>
        <v>0</v>
      </c>
      <c r="AA123" s="9" cm="1">
        <f t="array" ref="AA123">IFERROR(_xlfn.XLOOKUP('01_Input_Raw_Products'!S123,'14_Shipping_Rules'!A:A,'14_Shipping_Rules'!B:B),"")</f>
        <v>0</v>
      </c>
      <c r="AB123" s="9" cm="1">
        <f t="array" ref="AB123">IFERROR(_xlfn.XLOOKUP('01_Input_Raw_Products'!D123,'16_Astro_Flags'!A:A,'16_Astro_Flags'!B:B),"")</f>
        <v>0</v>
      </c>
      <c r="AC123" s="9">
        <f>IF(C123="","","Catalog, Search")</f>
        <v>0</v>
      </c>
      <c r="AD123" s="9">
        <f>IF(C123="","",IF(OR(F123="",J123="",M123="",S123="",Y123=""),"Manual Review","Ready"))</f>
        <v>0</v>
      </c>
      <c r="AE123" s="9">
        <f>IF(C123="","",TEXTJOIN("; ",TRUE,IF(F123="","Missing url_key",""),IF(J123="","Missing classification",""),IF(M123="","Missing j_colour",""),IF(S123="","Missing hsn_code",""),IF(Y123="","Missing tax_class_id","")))</f>
        <v>0</v>
      </c>
    </row>
    <row r="124" spans="1:31">
      <c r="A124" s="9">
        <f>IF('01_Input_Raw_Products'!B124&lt;&gt;"",20,"")</f>
        <v>0</v>
      </c>
      <c r="B124" s="9" cm="1">
        <f t="array" ref="B124">IF('01_Input_Raw_Products'!M124&lt;&gt;"",'01_Input_Raw_Products'!M124,IFERROR(_xlfn.XLOOKUP('01_Input_Raw_Products'!F124,'10_Master_Gem_Types'!A:A,'10_Master_Gem_Types'!K:K),""))</f>
        <v>0</v>
      </c>
      <c r="C124" s="9">
        <f>'01_Input_Raw_Products'!B124</f>
        <v>0</v>
      </c>
      <c r="D124" s="9">
        <f>IF(C124="","",TEXT(I124,"0.00")&amp;" Ct "&amp;IF('01_Input_Raw_Products'!F124&lt;&gt;"",'01_Input_Raw_Products'!F124,'01_Input_Raw_Products'!D124)&amp;" "&amp;'01_Input_Raw_Products'!I124)</f>
        <v>0</v>
      </c>
      <c r="E124" s="9">
        <f>IF(C124="","",D124&amp;" | GemPundit")</f>
        <v>0</v>
      </c>
      <c r="F124" s="9" cm="1">
        <f t="array" ref="F124">IF('01_Input_Raw_Products'!X124&lt;&gt;"",'01_Input_Raw_Products'!X124,IFERROR(_xlfn.XLOOKUP('01_Input_Raw_Products'!F124,'10_Master_Gem_Types'!A:A,'10_Master_Gem_Types'!O:O),LOWER(SUBSTITUTE(IF('01_Input_Raw_Products'!F124&lt;&gt;"",'01_Input_Raw_Products'!F124,'01_Input_Raw_Products'!D124)," ","-"))))</f>
        <v>0</v>
      </c>
      <c r="G124" s="9">
        <f>'01_Input_Raw_Products'!C124</f>
        <v>0</v>
      </c>
      <c r="H124" s="9" cm="1">
        <f t="array" ref="H124">IF('01_Input_Raw_Products'!H124&lt;&gt;"",'01_Input_Raw_Products'!H124,IFERROR(_xlfn.XLOOKUP('01_Input_Raw_Products'!F124,'10_Master_Gem_Types'!A:A,'10_Master_Gem_Types'!D:D),""))</f>
        <v>0</v>
      </c>
      <c r="I124" s="7">
        <f>IF('01_Input_Raw_Products'!N124&lt;&gt;"",'01_Input_Raw_Products'!N124,IF('01_Input_Raw_Products'!O124&lt;&gt;"",'01_Input_Raw_Products'!O124*0.91,""))</f>
        <v>0</v>
      </c>
      <c r="J124" s="9" cm="1">
        <f t="array" ref="J124">IFERROR(_xlfn.XLOOKUP('01_Input_Raw_Products'!F124,'10_Master_Gem_Types'!A:A,'10_Master_Gem_Types'!N:N),"")</f>
        <v>0</v>
      </c>
      <c r="K124" s="9" cm="1">
        <f t="array" ref="K124">IF('01_Input_Raw_Products'!J124&lt;&gt;"",'01_Input_Raw_Products'!J124,IFERROR(_xlfn.XLOOKUP('01_Input_Raw_Products'!F124,'10_Master_Gem_Types'!A:A,'10_Master_Gem_Types'!E:E),""))</f>
        <v>0</v>
      </c>
      <c r="L124" s="9">
        <f>'01_Input_Raw_Products'!P124</f>
        <v>0</v>
      </c>
      <c r="M124" s="9" cm="1">
        <f t="array" ref="M124">IFERROR(_xlfn.XLOOKUP('01_Input_Raw_Products'!K124,'12_Color_Mapping'!A:A,'12_Color_Mapping'!B:B),IFERROR(_xlfn.XLOOKUP('01_Input_Raw_Products'!F124,'10_Master_Gem_Types'!A:A,'10_Master_Gem_Types'!F:F),""))</f>
        <v>0</v>
      </c>
      <c r="N124" s="9">
        <f>IF(C124="","",IF('01_Input_Raw_Products'!F124&lt;&gt;"",'01_Input_Raw_Products'!F124,'01_Input_Raw_Products'!D124))</f>
        <v>0</v>
      </c>
      <c r="O124" s="9">
        <f>IF(C124="","","Catalog Automation")</f>
        <v>0</v>
      </c>
      <c r="P124" s="9">
        <f>'01_Input_Raw_Products'!U124</f>
        <v>0</v>
      </c>
      <c r="Q124" s="7">
        <f>IF('01_Input_Raw_Products'!O124&lt;&gt;"",'01_Input_Raw_Products'!O124,IF('01_Input_Raw_Products'!N124&lt;&gt;"",'01_Input_Raw_Products'!N124*1.1,""))</f>
        <v>0</v>
      </c>
      <c r="R124" s="9">
        <f>'01_Input_Raw_Products'!S124</f>
        <v>0</v>
      </c>
      <c r="S124" s="9" cm="1">
        <f t="array" ref="S124">IFERROR(_xlfn.XLOOKUP('01_Input_Raw_Products'!F124,'10_Master_Gem_Types'!A:A,'10_Master_Gem_Types'!H:H),"")</f>
        <v>0</v>
      </c>
      <c r="T124" s="8">
        <f>'01_Input_Raw_Products'!Q124</f>
        <v>0</v>
      </c>
      <c r="U124" s="8">
        <f>'01_Input_Raw_Products'!R124</f>
        <v>0</v>
      </c>
      <c r="V124" s="7">
        <f>I124</f>
        <v>0</v>
      </c>
      <c r="W124" s="9" cm="1">
        <f t="array" ref="W124">IF('01_Input_Raw_Products'!G124&lt;&gt;"",'01_Input_Raw_Products'!G124,IFERROR(_xlfn.XLOOKUP('01_Input_Raw_Products'!F124,'10_Master_Gem_Types'!A:A,'10_Master_Gem_Types'!L:L),""))</f>
        <v>0</v>
      </c>
      <c r="X124" s="9" cm="1">
        <f t="array" ref="X124">IFERROR(_xlfn.XLOOKUP('01_Input_Raw_Products'!F124,'10_Master_Gem_Types'!A:A,'10_Master_Gem_Types'!J:J),"")</f>
        <v>0</v>
      </c>
      <c r="Y124" s="9" cm="1">
        <f t="array" ref="Y124">IFERROR(_xlfn.XLOOKUP('01_Input_Raw_Products'!F124,'10_Master_Gem_Types'!A:A,'10_Master_Gem_Types'!I:I),"")</f>
        <v>0</v>
      </c>
      <c r="Z124" s="9" cm="1">
        <f t="array" ref="Z124">IFERROR(_xlfn.XLOOKUP('01_Input_Raw_Products'!L124,'13_Certification_Stickers'!A:A,'13_Certification_Stickers'!C:C),"")</f>
        <v>0</v>
      </c>
      <c r="AA124" s="9" cm="1">
        <f t="array" ref="AA124">IFERROR(_xlfn.XLOOKUP('01_Input_Raw_Products'!S124,'14_Shipping_Rules'!A:A,'14_Shipping_Rules'!B:B),"")</f>
        <v>0</v>
      </c>
      <c r="AB124" s="9" cm="1">
        <f t="array" ref="AB124">IFERROR(_xlfn.XLOOKUP('01_Input_Raw_Products'!D124,'16_Astro_Flags'!A:A,'16_Astro_Flags'!B:B),"")</f>
        <v>0</v>
      </c>
      <c r="AC124" s="9">
        <f>IF(C124="","","Catalog, Search")</f>
        <v>0</v>
      </c>
      <c r="AD124" s="9">
        <f>IF(C124="","",IF(OR(F124="",J124="",M124="",S124="",Y124=""),"Manual Review","Ready"))</f>
        <v>0</v>
      </c>
      <c r="AE124" s="9">
        <f>IF(C124="","",TEXTJOIN("; ",TRUE,IF(F124="","Missing url_key",""),IF(J124="","Missing classification",""),IF(M124="","Missing j_colour",""),IF(S124="","Missing hsn_code",""),IF(Y124="","Missing tax_class_id","")))</f>
        <v>0</v>
      </c>
    </row>
    <row r="125" spans="1:31">
      <c r="A125" s="9">
        <f>IF('01_Input_Raw_Products'!B125&lt;&gt;"",20,"")</f>
        <v>0</v>
      </c>
      <c r="B125" s="9" cm="1">
        <f t="array" ref="B125">IF('01_Input_Raw_Products'!M125&lt;&gt;"",'01_Input_Raw_Products'!M125,IFERROR(_xlfn.XLOOKUP('01_Input_Raw_Products'!F125,'10_Master_Gem_Types'!A:A,'10_Master_Gem_Types'!K:K),""))</f>
        <v>0</v>
      </c>
      <c r="C125" s="9">
        <f>'01_Input_Raw_Products'!B125</f>
        <v>0</v>
      </c>
      <c r="D125" s="9">
        <f>IF(C125="","",TEXT(I125,"0.00")&amp;" Ct "&amp;IF('01_Input_Raw_Products'!F125&lt;&gt;"",'01_Input_Raw_Products'!F125,'01_Input_Raw_Products'!D125)&amp;" "&amp;'01_Input_Raw_Products'!I125)</f>
        <v>0</v>
      </c>
      <c r="E125" s="9">
        <f>IF(C125="","",D125&amp;" | GemPundit")</f>
        <v>0</v>
      </c>
      <c r="F125" s="9" cm="1">
        <f t="array" ref="F125">IF('01_Input_Raw_Products'!X125&lt;&gt;"",'01_Input_Raw_Products'!X125,IFERROR(_xlfn.XLOOKUP('01_Input_Raw_Products'!F125,'10_Master_Gem_Types'!A:A,'10_Master_Gem_Types'!O:O),LOWER(SUBSTITUTE(IF('01_Input_Raw_Products'!F125&lt;&gt;"",'01_Input_Raw_Products'!F125,'01_Input_Raw_Products'!D125)," ","-"))))</f>
        <v>0</v>
      </c>
      <c r="G125" s="9">
        <f>'01_Input_Raw_Products'!C125</f>
        <v>0</v>
      </c>
      <c r="H125" s="9" cm="1">
        <f t="array" ref="H125">IF('01_Input_Raw_Products'!H125&lt;&gt;"",'01_Input_Raw_Products'!H125,IFERROR(_xlfn.XLOOKUP('01_Input_Raw_Products'!F125,'10_Master_Gem_Types'!A:A,'10_Master_Gem_Types'!D:D),""))</f>
        <v>0</v>
      </c>
      <c r="I125" s="7">
        <f>IF('01_Input_Raw_Products'!N125&lt;&gt;"",'01_Input_Raw_Products'!N125,IF('01_Input_Raw_Products'!O125&lt;&gt;"",'01_Input_Raw_Products'!O125*0.91,""))</f>
        <v>0</v>
      </c>
      <c r="J125" s="9" cm="1">
        <f t="array" ref="J125">IFERROR(_xlfn.XLOOKUP('01_Input_Raw_Products'!F125,'10_Master_Gem_Types'!A:A,'10_Master_Gem_Types'!N:N),"")</f>
        <v>0</v>
      </c>
      <c r="K125" s="9" cm="1">
        <f t="array" ref="K125">IF('01_Input_Raw_Products'!J125&lt;&gt;"",'01_Input_Raw_Products'!J125,IFERROR(_xlfn.XLOOKUP('01_Input_Raw_Products'!F125,'10_Master_Gem_Types'!A:A,'10_Master_Gem_Types'!E:E),""))</f>
        <v>0</v>
      </c>
      <c r="L125" s="9">
        <f>'01_Input_Raw_Products'!P125</f>
        <v>0</v>
      </c>
      <c r="M125" s="9" cm="1">
        <f t="array" ref="M125">IFERROR(_xlfn.XLOOKUP('01_Input_Raw_Products'!K125,'12_Color_Mapping'!A:A,'12_Color_Mapping'!B:B),IFERROR(_xlfn.XLOOKUP('01_Input_Raw_Products'!F125,'10_Master_Gem_Types'!A:A,'10_Master_Gem_Types'!F:F),""))</f>
        <v>0</v>
      </c>
      <c r="N125" s="9">
        <f>IF(C125="","",IF('01_Input_Raw_Products'!F125&lt;&gt;"",'01_Input_Raw_Products'!F125,'01_Input_Raw_Products'!D125))</f>
        <v>0</v>
      </c>
      <c r="O125" s="9">
        <f>IF(C125="","","Catalog Automation")</f>
        <v>0</v>
      </c>
      <c r="P125" s="9">
        <f>'01_Input_Raw_Products'!U125</f>
        <v>0</v>
      </c>
      <c r="Q125" s="7">
        <f>IF('01_Input_Raw_Products'!O125&lt;&gt;"",'01_Input_Raw_Products'!O125,IF('01_Input_Raw_Products'!N125&lt;&gt;"",'01_Input_Raw_Products'!N125*1.1,""))</f>
        <v>0</v>
      </c>
      <c r="R125" s="9">
        <f>'01_Input_Raw_Products'!S125</f>
        <v>0</v>
      </c>
      <c r="S125" s="9" cm="1">
        <f t="array" ref="S125">IFERROR(_xlfn.XLOOKUP('01_Input_Raw_Products'!F125,'10_Master_Gem_Types'!A:A,'10_Master_Gem_Types'!H:H),"")</f>
        <v>0</v>
      </c>
      <c r="T125" s="8">
        <f>'01_Input_Raw_Products'!Q125</f>
        <v>0</v>
      </c>
      <c r="U125" s="8">
        <f>'01_Input_Raw_Products'!R125</f>
        <v>0</v>
      </c>
      <c r="V125" s="7">
        <f>I125</f>
        <v>0</v>
      </c>
      <c r="W125" s="9" cm="1">
        <f t="array" ref="W125">IF('01_Input_Raw_Products'!G125&lt;&gt;"",'01_Input_Raw_Products'!G125,IFERROR(_xlfn.XLOOKUP('01_Input_Raw_Products'!F125,'10_Master_Gem_Types'!A:A,'10_Master_Gem_Types'!L:L),""))</f>
        <v>0</v>
      </c>
      <c r="X125" s="9" cm="1">
        <f t="array" ref="X125">IFERROR(_xlfn.XLOOKUP('01_Input_Raw_Products'!F125,'10_Master_Gem_Types'!A:A,'10_Master_Gem_Types'!J:J),"")</f>
        <v>0</v>
      </c>
      <c r="Y125" s="9" cm="1">
        <f t="array" ref="Y125">IFERROR(_xlfn.XLOOKUP('01_Input_Raw_Products'!F125,'10_Master_Gem_Types'!A:A,'10_Master_Gem_Types'!I:I),"")</f>
        <v>0</v>
      </c>
      <c r="Z125" s="9" cm="1">
        <f t="array" ref="Z125">IFERROR(_xlfn.XLOOKUP('01_Input_Raw_Products'!L125,'13_Certification_Stickers'!A:A,'13_Certification_Stickers'!C:C),"")</f>
        <v>0</v>
      </c>
      <c r="AA125" s="9" cm="1">
        <f t="array" ref="AA125">IFERROR(_xlfn.XLOOKUP('01_Input_Raw_Products'!S125,'14_Shipping_Rules'!A:A,'14_Shipping_Rules'!B:B),"")</f>
        <v>0</v>
      </c>
      <c r="AB125" s="9" cm="1">
        <f t="array" ref="AB125">IFERROR(_xlfn.XLOOKUP('01_Input_Raw_Products'!D125,'16_Astro_Flags'!A:A,'16_Astro_Flags'!B:B),"")</f>
        <v>0</v>
      </c>
      <c r="AC125" s="9">
        <f>IF(C125="","","Catalog, Search")</f>
        <v>0</v>
      </c>
      <c r="AD125" s="9">
        <f>IF(C125="","",IF(OR(F125="",J125="",M125="",S125="",Y125=""),"Manual Review","Ready"))</f>
        <v>0</v>
      </c>
      <c r="AE125" s="9">
        <f>IF(C125="","",TEXTJOIN("; ",TRUE,IF(F125="","Missing url_key",""),IF(J125="","Missing classification",""),IF(M125="","Missing j_colour",""),IF(S125="","Missing hsn_code",""),IF(Y125="","Missing tax_class_id","")))</f>
        <v>0</v>
      </c>
    </row>
    <row r="126" spans="1:31">
      <c r="A126" s="9">
        <f>IF('01_Input_Raw_Products'!B126&lt;&gt;"",20,"")</f>
        <v>0</v>
      </c>
      <c r="B126" s="9" cm="1">
        <f t="array" ref="B126">IF('01_Input_Raw_Products'!M126&lt;&gt;"",'01_Input_Raw_Products'!M126,IFERROR(_xlfn.XLOOKUP('01_Input_Raw_Products'!F126,'10_Master_Gem_Types'!A:A,'10_Master_Gem_Types'!K:K),""))</f>
        <v>0</v>
      </c>
      <c r="C126" s="9">
        <f>'01_Input_Raw_Products'!B126</f>
        <v>0</v>
      </c>
      <c r="D126" s="9">
        <f>IF(C126="","",TEXT(I126,"0.00")&amp;" Ct "&amp;IF('01_Input_Raw_Products'!F126&lt;&gt;"",'01_Input_Raw_Products'!F126,'01_Input_Raw_Products'!D126)&amp;" "&amp;'01_Input_Raw_Products'!I126)</f>
        <v>0</v>
      </c>
      <c r="E126" s="9">
        <f>IF(C126="","",D126&amp;" | GemPundit")</f>
        <v>0</v>
      </c>
      <c r="F126" s="9" cm="1">
        <f t="array" ref="F126">IF('01_Input_Raw_Products'!X126&lt;&gt;"",'01_Input_Raw_Products'!X126,IFERROR(_xlfn.XLOOKUP('01_Input_Raw_Products'!F126,'10_Master_Gem_Types'!A:A,'10_Master_Gem_Types'!O:O),LOWER(SUBSTITUTE(IF('01_Input_Raw_Products'!F126&lt;&gt;"",'01_Input_Raw_Products'!F126,'01_Input_Raw_Products'!D126)," ","-"))))</f>
        <v>0</v>
      </c>
      <c r="G126" s="9">
        <f>'01_Input_Raw_Products'!C126</f>
        <v>0</v>
      </c>
      <c r="H126" s="9" cm="1">
        <f t="array" ref="H126">IF('01_Input_Raw_Products'!H126&lt;&gt;"",'01_Input_Raw_Products'!H126,IFERROR(_xlfn.XLOOKUP('01_Input_Raw_Products'!F126,'10_Master_Gem_Types'!A:A,'10_Master_Gem_Types'!D:D),""))</f>
        <v>0</v>
      </c>
      <c r="I126" s="7">
        <f>IF('01_Input_Raw_Products'!N126&lt;&gt;"",'01_Input_Raw_Products'!N126,IF('01_Input_Raw_Products'!O126&lt;&gt;"",'01_Input_Raw_Products'!O126*0.91,""))</f>
        <v>0</v>
      </c>
      <c r="J126" s="9" cm="1">
        <f t="array" ref="J126">IFERROR(_xlfn.XLOOKUP('01_Input_Raw_Products'!F126,'10_Master_Gem_Types'!A:A,'10_Master_Gem_Types'!N:N),"")</f>
        <v>0</v>
      </c>
      <c r="K126" s="9" cm="1">
        <f t="array" ref="K126">IF('01_Input_Raw_Products'!J126&lt;&gt;"",'01_Input_Raw_Products'!J126,IFERROR(_xlfn.XLOOKUP('01_Input_Raw_Products'!F126,'10_Master_Gem_Types'!A:A,'10_Master_Gem_Types'!E:E),""))</f>
        <v>0</v>
      </c>
      <c r="L126" s="9">
        <f>'01_Input_Raw_Products'!P126</f>
        <v>0</v>
      </c>
      <c r="M126" s="9" cm="1">
        <f t="array" ref="M126">IFERROR(_xlfn.XLOOKUP('01_Input_Raw_Products'!K126,'12_Color_Mapping'!A:A,'12_Color_Mapping'!B:B),IFERROR(_xlfn.XLOOKUP('01_Input_Raw_Products'!F126,'10_Master_Gem_Types'!A:A,'10_Master_Gem_Types'!F:F),""))</f>
        <v>0</v>
      </c>
      <c r="N126" s="9">
        <f>IF(C126="","",IF('01_Input_Raw_Products'!F126&lt;&gt;"",'01_Input_Raw_Products'!F126,'01_Input_Raw_Products'!D126))</f>
        <v>0</v>
      </c>
      <c r="O126" s="9">
        <f>IF(C126="","","Catalog Automation")</f>
        <v>0</v>
      </c>
      <c r="P126" s="9">
        <f>'01_Input_Raw_Products'!U126</f>
        <v>0</v>
      </c>
      <c r="Q126" s="7">
        <f>IF('01_Input_Raw_Products'!O126&lt;&gt;"",'01_Input_Raw_Products'!O126,IF('01_Input_Raw_Products'!N126&lt;&gt;"",'01_Input_Raw_Products'!N126*1.1,""))</f>
        <v>0</v>
      </c>
      <c r="R126" s="9">
        <f>'01_Input_Raw_Products'!S126</f>
        <v>0</v>
      </c>
      <c r="S126" s="9" cm="1">
        <f t="array" ref="S126">IFERROR(_xlfn.XLOOKUP('01_Input_Raw_Products'!F126,'10_Master_Gem_Types'!A:A,'10_Master_Gem_Types'!H:H),"")</f>
        <v>0</v>
      </c>
      <c r="T126" s="8">
        <f>'01_Input_Raw_Products'!Q126</f>
        <v>0</v>
      </c>
      <c r="U126" s="8">
        <f>'01_Input_Raw_Products'!R126</f>
        <v>0</v>
      </c>
      <c r="V126" s="7">
        <f>I126</f>
        <v>0</v>
      </c>
      <c r="W126" s="9" cm="1">
        <f t="array" ref="W126">IF('01_Input_Raw_Products'!G126&lt;&gt;"",'01_Input_Raw_Products'!G126,IFERROR(_xlfn.XLOOKUP('01_Input_Raw_Products'!F126,'10_Master_Gem_Types'!A:A,'10_Master_Gem_Types'!L:L),""))</f>
        <v>0</v>
      </c>
      <c r="X126" s="9" cm="1">
        <f t="array" ref="X126">IFERROR(_xlfn.XLOOKUP('01_Input_Raw_Products'!F126,'10_Master_Gem_Types'!A:A,'10_Master_Gem_Types'!J:J),"")</f>
        <v>0</v>
      </c>
      <c r="Y126" s="9" cm="1">
        <f t="array" ref="Y126">IFERROR(_xlfn.XLOOKUP('01_Input_Raw_Products'!F126,'10_Master_Gem_Types'!A:A,'10_Master_Gem_Types'!I:I),"")</f>
        <v>0</v>
      </c>
      <c r="Z126" s="9" cm="1">
        <f t="array" ref="Z126">IFERROR(_xlfn.XLOOKUP('01_Input_Raw_Products'!L126,'13_Certification_Stickers'!A:A,'13_Certification_Stickers'!C:C),"")</f>
        <v>0</v>
      </c>
      <c r="AA126" s="9" cm="1">
        <f t="array" ref="AA126">IFERROR(_xlfn.XLOOKUP('01_Input_Raw_Products'!S126,'14_Shipping_Rules'!A:A,'14_Shipping_Rules'!B:B),"")</f>
        <v>0</v>
      </c>
      <c r="AB126" s="9" cm="1">
        <f t="array" ref="AB126">IFERROR(_xlfn.XLOOKUP('01_Input_Raw_Products'!D126,'16_Astro_Flags'!A:A,'16_Astro_Flags'!B:B),"")</f>
        <v>0</v>
      </c>
      <c r="AC126" s="9">
        <f>IF(C126="","","Catalog, Search")</f>
        <v>0</v>
      </c>
      <c r="AD126" s="9">
        <f>IF(C126="","",IF(OR(F126="",J126="",M126="",S126="",Y126=""),"Manual Review","Ready"))</f>
        <v>0</v>
      </c>
      <c r="AE126" s="9">
        <f>IF(C126="","",TEXTJOIN("; ",TRUE,IF(F126="","Missing url_key",""),IF(J126="","Missing classification",""),IF(M126="","Missing j_colour",""),IF(S126="","Missing hsn_code",""),IF(Y126="","Missing tax_class_id","")))</f>
        <v>0</v>
      </c>
    </row>
    <row r="127" spans="1:31">
      <c r="A127" s="9">
        <f>IF('01_Input_Raw_Products'!B127&lt;&gt;"",20,"")</f>
        <v>0</v>
      </c>
      <c r="B127" s="9" cm="1">
        <f t="array" ref="B127">IF('01_Input_Raw_Products'!M127&lt;&gt;"",'01_Input_Raw_Products'!M127,IFERROR(_xlfn.XLOOKUP('01_Input_Raw_Products'!F127,'10_Master_Gem_Types'!A:A,'10_Master_Gem_Types'!K:K),""))</f>
        <v>0</v>
      </c>
      <c r="C127" s="9">
        <f>'01_Input_Raw_Products'!B127</f>
        <v>0</v>
      </c>
      <c r="D127" s="9">
        <f>IF(C127="","",TEXT(I127,"0.00")&amp;" Ct "&amp;IF('01_Input_Raw_Products'!F127&lt;&gt;"",'01_Input_Raw_Products'!F127,'01_Input_Raw_Products'!D127)&amp;" "&amp;'01_Input_Raw_Products'!I127)</f>
        <v>0</v>
      </c>
      <c r="E127" s="9">
        <f>IF(C127="","",D127&amp;" | GemPundit")</f>
        <v>0</v>
      </c>
      <c r="F127" s="9" cm="1">
        <f t="array" ref="F127">IF('01_Input_Raw_Products'!X127&lt;&gt;"",'01_Input_Raw_Products'!X127,IFERROR(_xlfn.XLOOKUP('01_Input_Raw_Products'!F127,'10_Master_Gem_Types'!A:A,'10_Master_Gem_Types'!O:O),LOWER(SUBSTITUTE(IF('01_Input_Raw_Products'!F127&lt;&gt;"",'01_Input_Raw_Products'!F127,'01_Input_Raw_Products'!D127)," ","-"))))</f>
        <v>0</v>
      </c>
      <c r="G127" s="9">
        <f>'01_Input_Raw_Products'!C127</f>
        <v>0</v>
      </c>
      <c r="H127" s="9" cm="1">
        <f t="array" ref="H127">IF('01_Input_Raw_Products'!H127&lt;&gt;"",'01_Input_Raw_Products'!H127,IFERROR(_xlfn.XLOOKUP('01_Input_Raw_Products'!F127,'10_Master_Gem_Types'!A:A,'10_Master_Gem_Types'!D:D),""))</f>
        <v>0</v>
      </c>
      <c r="I127" s="7">
        <f>IF('01_Input_Raw_Products'!N127&lt;&gt;"",'01_Input_Raw_Products'!N127,IF('01_Input_Raw_Products'!O127&lt;&gt;"",'01_Input_Raw_Products'!O127*0.91,""))</f>
        <v>0</v>
      </c>
      <c r="J127" s="9" cm="1">
        <f t="array" ref="J127">IFERROR(_xlfn.XLOOKUP('01_Input_Raw_Products'!F127,'10_Master_Gem_Types'!A:A,'10_Master_Gem_Types'!N:N),"")</f>
        <v>0</v>
      </c>
      <c r="K127" s="9" cm="1">
        <f t="array" ref="K127">IF('01_Input_Raw_Products'!J127&lt;&gt;"",'01_Input_Raw_Products'!J127,IFERROR(_xlfn.XLOOKUP('01_Input_Raw_Products'!F127,'10_Master_Gem_Types'!A:A,'10_Master_Gem_Types'!E:E),""))</f>
        <v>0</v>
      </c>
      <c r="L127" s="9">
        <f>'01_Input_Raw_Products'!P127</f>
        <v>0</v>
      </c>
      <c r="M127" s="9" cm="1">
        <f t="array" ref="M127">IFERROR(_xlfn.XLOOKUP('01_Input_Raw_Products'!K127,'12_Color_Mapping'!A:A,'12_Color_Mapping'!B:B),IFERROR(_xlfn.XLOOKUP('01_Input_Raw_Products'!F127,'10_Master_Gem_Types'!A:A,'10_Master_Gem_Types'!F:F),""))</f>
        <v>0</v>
      </c>
      <c r="N127" s="9">
        <f>IF(C127="","",IF('01_Input_Raw_Products'!F127&lt;&gt;"",'01_Input_Raw_Products'!F127,'01_Input_Raw_Products'!D127))</f>
        <v>0</v>
      </c>
      <c r="O127" s="9">
        <f>IF(C127="","","Catalog Automation")</f>
        <v>0</v>
      </c>
      <c r="P127" s="9">
        <f>'01_Input_Raw_Products'!U127</f>
        <v>0</v>
      </c>
      <c r="Q127" s="7">
        <f>IF('01_Input_Raw_Products'!O127&lt;&gt;"",'01_Input_Raw_Products'!O127,IF('01_Input_Raw_Products'!N127&lt;&gt;"",'01_Input_Raw_Products'!N127*1.1,""))</f>
        <v>0</v>
      </c>
      <c r="R127" s="9">
        <f>'01_Input_Raw_Products'!S127</f>
        <v>0</v>
      </c>
      <c r="S127" s="9" cm="1">
        <f t="array" ref="S127">IFERROR(_xlfn.XLOOKUP('01_Input_Raw_Products'!F127,'10_Master_Gem_Types'!A:A,'10_Master_Gem_Types'!H:H),"")</f>
        <v>0</v>
      </c>
      <c r="T127" s="8">
        <f>'01_Input_Raw_Products'!Q127</f>
        <v>0</v>
      </c>
      <c r="U127" s="8">
        <f>'01_Input_Raw_Products'!R127</f>
        <v>0</v>
      </c>
      <c r="V127" s="7">
        <f>I127</f>
        <v>0</v>
      </c>
      <c r="W127" s="9" cm="1">
        <f t="array" ref="W127">IF('01_Input_Raw_Products'!G127&lt;&gt;"",'01_Input_Raw_Products'!G127,IFERROR(_xlfn.XLOOKUP('01_Input_Raw_Products'!F127,'10_Master_Gem_Types'!A:A,'10_Master_Gem_Types'!L:L),""))</f>
        <v>0</v>
      </c>
      <c r="X127" s="9" cm="1">
        <f t="array" ref="X127">IFERROR(_xlfn.XLOOKUP('01_Input_Raw_Products'!F127,'10_Master_Gem_Types'!A:A,'10_Master_Gem_Types'!J:J),"")</f>
        <v>0</v>
      </c>
      <c r="Y127" s="9" cm="1">
        <f t="array" ref="Y127">IFERROR(_xlfn.XLOOKUP('01_Input_Raw_Products'!F127,'10_Master_Gem_Types'!A:A,'10_Master_Gem_Types'!I:I),"")</f>
        <v>0</v>
      </c>
      <c r="Z127" s="9" cm="1">
        <f t="array" ref="Z127">IFERROR(_xlfn.XLOOKUP('01_Input_Raw_Products'!L127,'13_Certification_Stickers'!A:A,'13_Certification_Stickers'!C:C),"")</f>
        <v>0</v>
      </c>
      <c r="AA127" s="9" cm="1">
        <f t="array" ref="AA127">IFERROR(_xlfn.XLOOKUP('01_Input_Raw_Products'!S127,'14_Shipping_Rules'!A:A,'14_Shipping_Rules'!B:B),"")</f>
        <v>0</v>
      </c>
      <c r="AB127" s="9" cm="1">
        <f t="array" ref="AB127">IFERROR(_xlfn.XLOOKUP('01_Input_Raw_Products'!D127,'16_Astro_Flags'!A:A,'16_Astro_Flags'!B:B),"")</f>
        <v>0</v>
      </c>
      <c r="AC127" s="9">
        <f>IF(C127="","","Catalog, Search")</f>
        <v>0</v>
      </c>
      <c r="AD127" s="9">
        <f>IF(C127="","",IF(OR(F127="",J127="",M127="",S127="",Y127=""),"Manual Review","Ready"))</f>
        <v>0</v>
      </c>
      <c r="AE127" s="9">
        <f>IF(C127="","",TEXTJOIN("; ",TRUE,IF(F127="","Missing url_key",""),IF(J127="","Missing classification",""),IF(M127="","Missing j_colour",""),IF(S127="","Missing hsn_code",""),IF(Y127="","Missing tax_class_id","")))</f>
        <v>0</v>
      </c>
    </row>
    <row r="128" spans="1:31">
      <c r="A128" s="9">
        <f>IF('01_Input_Raw_Products'!B128&lt;&gt;"",20,"")</f>
        <v>0</v>
      </c>
      <c r="B128" s="9" cm="1">
        <f t="array" ref="B128">IF('01_Input_Raw_Products'!M128&lt;&gt;"",'01_Input_Raw_Products'!M128,IFERROR(_xlfn.XLOOKUP('01_Input_Raw_Products'!F128,'10_Master_Gem_Types'!A:A,'10_Master_Gem_Types'!K:K),""))</f>
        <v>0</v>
      </c>
      <c r="C128" s="9">
        <f>'01_Input_Raw_Products'!B128</f>
        <v>0</v>
      </c>
      <c r="D128" s="9">
        <f>IF(C128="","",TEXT(I128,"0.00")&amp;" Ct "&amp;IF('01_Input_Raw_Products'!F128&lt;&gt;"",'01_Input_Raw_Products'!F128,'01_Input_Raw_Products'!D128)&amp;" "&amp;'01_Input_Raw_Products'!I128)</f>
        <v>0</v>
      </c>
      <c r="E128" s="9">
        <f>IF(C128="","",D128&amp;" | GemPundit")</f>
        <v>0</v>
      </c>
      <c r="F128" s="9" cm="1">
        <f t="array" ref="F128">IF('01_Input_Raw_Products'!X128&lt;&gt;"",'01_Input_Raw_Products'!X128,IFERROR(_xlfn.XLOOKUP('01_Input_Raw_Products'!F128,'10_Master_Gem_Types'!A:A,'10_Master_Gem_Types'!O:O),LOWER(SUBSTITUTE(IF('01_Input_Raw_Products'!F128&lt;&gt;"",'01_Input_Raw_Products'!F128,'01_Input_Raw_Products'!D128)," ","-"))))</f>
        <v>0</v>
      </c>
      <c r="G128" s="9">
        <f>'01_Input_Raw_Products'!C128</f>
        <v>0</v>
      </c>
      <c r="H128" s="9" cm="1">
        <f t="array" ref="H128">IF('01_Input_Raw_Products'!H128&lt;&gt;"",'01_Input_Raw_Products'!H128,IFERROR(_xlfn.XLOOKUP('01_Input_Raw_Products'!F128,'10_Master_Gem_Types'!A:A,'10_Master_Gem_Types'!D:D),""))</f>
        <v>0</v>
      </c>
      <c r="I128" s="7">
        <f>IF('01_Input_Raw_Products'!N128&lt;&gt;"",'01_Input_Raw_Products'!N128,IF('01_Input_Raw_Products'!O128&lt;&gt;"",'01_Input_Raw_Products'!O128*0.91,""))</f>
        <v>0</v>
      </c>
      <c r="J128" s="9" cm="1">
        <f t="array" ref="J128">IFERROR(_xlfn.XLOOKUP('01_Input_Raw_Products'!F128,'10_Master_Gem_Types'!A:A,'10_Master_Gem_Types'!N:N),"")</f>
        <v>0</v>
      </c>
      <c r="K128" s="9" cm="1">
        <f t="array" ref="K128">IF('01_Input_Raw_Products'!J128&lt;&gt;"",'01_Input_Raw_Products'!J128,IFERROR(_xlfn.XLOOKUP('01_Input_Raw_Products'!F128,'10_Master_Gem_Types'!A:A,'10_Master_Gem_Types'!E:E),""))</f>
        <v>0</v>
      </c>
      <c r="L128" s="9">
        <f>'01_Input_Raw_Products'!P128</f>
        <v>0</v>
      </c>
      <c r="M128" s="9" cm="1">
        <f t="array" ref="M128">IFERROR(_xlfn.XLOOKUP('01_Input_Raw_Products'!K128,'12_Color_Mapping'!A:A,'12_Color_Mapping'!B:B),IFERROR(_xlfn.XLOOKUP('01_Input_Raw_Products'!F128,'10_Master_Gem_Types'!A:A,'10_Master_Gem_Types'!F:F),""))</f>
        <v>0</v>
      </c>
      <c r="N128" s="9">
        <f>IF(C128="","",IF('01_Input_Raw_Products'!F128&lt;&gt;"",'01_Input_Raw_Products'!F128,'01_Input_Raw_Products'!D128))</f>
        <v>0</v>
      </c>
      <c r="O128" s="9">
        <f>IF(C128="","","Catalog Automation")</f>
        <v>0</v>
      </c>
      <c r="P128" s="9">
        <f>'01_Input_Raw_Products'!U128</f>
        <v>0</v>
      </c>
      <c r="Q128" s="7">
        <f>IF('01_Input_Raw_Products'!O128&lt;&gt;"",'01_Input_Raw_Products'!O128,IF('01_Input_Raw_Products'!N128&lt;&gt;"",'01_Input_Raw_Products'!N128*1.1,""))</f>
        <v>0</v>
      </c>
      <c r="R128" s="9">
        <f>'01_Input_Raw_Products'!S128</f>
        <v>0</v>
      </c>
      <c r="S128" s="9" cm="1">
        <f t="array" ref="S128">IFERROR(_xlfn.XLOOKUP('01_Input_Raw_Products'!F128,'10_Master_Gem_Types'!A:A,'10_Master_Gem_Types'!H:H),"")</f>
        <v>0</v>
      </c>
      <c r="T128" s="8">
        <f>'01_Input_Raw_Products'!Q128</f>
        <v>0</v>
      </c>
      <c r="U128" s="8">
        <f>'01_Input_Raw_Products'!R128</f>
        <v>0</v>
      </c>
      <c r="V128" s="7">
        <f>I128</f>
        <v>0</v>
      </c>
      <c r="W128" s="9" cm="1">
        <f t="array" ref="W128">IF('01_Input_Raw_Products'!G128&lt;&gt;"",'01_Input_Raw_Products'!G128,IFERROR(_xlfn.XLOOKUP('01_Input_Raw_Products'!F128,'10_Master_Gem_Types'!A:A,'10_Master_Gem_Types'!L:L),""))</f>
        <v>0</v>
      </c>
      <c r="X128" s="9" cm="1">
        <f t="array" ref="X128">IFERROR(_xlfn.XLOOKUP('01_Input_Raw_Products'!F128,'10_Master_Gem_Types'!A:A,'10_Master_Gem_Types'!J:J),"")</f>
        <v>0</v>
      </c>
      <c r="Y128" s="9" cm="1">
        <f t="array" ref="Y128">IFERROR(_xlfn.XLOOKUP('01_Input_Raw_Products'!F128,'10_Master_Gem_Types'!A:A,'10_Master_Gem_Types'!I:I),"")</f>
        <v>0</v>
      </c>
      <c r="Z128" s="9" cm="1">
        <f t="array" ref="Z128">IFERROR(_xlfn.XLOOKUP('01_Input_Raw_Products'!L128,'13_Certification_Stickers'!A:A,'13_Certification_Stickers'!C:C),"")</f>
        <v>0</v>
      </c>
      <c r="AA128" s="9" cm="1">
        <f t="array" ref="AA128">IFERROR(_xlfn.XLOOKUP('01_Input_Raw_Products'!S128,'14_Shipping_Rules'!A:A,'14_Shipping_Rules'!B:B),"")</f>
        <v>0</v>
      </c>
      <c r="AB128" s="9" cm="1">
        <f t="array" ref="AB128">IFERROR(_xlfn.XLOOKUP('01_Input_Raw_Products'!D128,'16_Astro_Flags'!A:A,'16_Astro_Flags'!B:B),"")</f>
        <v>0</v>
      </c>
      <c r="AC128" s="9">
        <f>IF(C128="","","Catalog, Search")</f>
        <v>0</v>
      </c>
      <c r="AD128" s="9">
        <f>IF(C128="","",IF(OR(F128="",J128="",M128="",S128="",Y128=""),"Manual Review","Ready"))</f>
        <v>0</v>
      </c>
      <c r="AE128" s="9">
        <f>IF(C128="","",TEXTJOIN("; ",TRUE,IF(F128="","Missing url_key",""),IF(J128="","Missing classification",""),IF(M128="","Missing j_colour",""),IF(S128="","Missing hsn_code",""),IF(Y128="","Missing tax_class_id","")))</f>
        <v>0</v>
      </c>
    </row>
    <row r="129" spans="1:31">
      <c r="A129" s="9">
        <f>IF('01_Input_Raw_Products'!B129&lt;&gt;"",20,"")</f>
        <v>0</v>
      </c>
      <c r="B129" s="9" cm="1">
        <f t="array" ref="B129">IF('01_Input_Raw_Products'!M129&lt;&gt;"",'01_Input_Raw_Products'!M129,IFERROR(_xlfn.XLOOKUP('01_Input_Raw_Products'!F129,'10_Master_Gem_Types'!A:A,'10_Master_Gem_Types'!K:K),""))</f>
        <v>0</v>
      </c>
      <c r="C129" s="9">
        <f>'01_Input_Raw_Products'!B129</f>
        <v>0</v>
      </c>
      <c r="D129" s="9">
        <f>IF(C129="","",TEXT(I129,"0.00")&amp;" Ct "&amp;IF('01_Input_Raw_Products'!F129&lt;&gt;"",'01_Input_Raw_Products'!F129,'01_Input_Raw_Products'!D129)&amp;" "&amp;'01_Input_Raw_Products'!I129)</f>
        <v>0</v>
      </c>
      <c r="E129" s="9">
        <f>IF(C129="","",D129&amp;" | GemPundit")</f>
        <v>0</v>
      </c>
      <c r="F129" s="9" cm="1">
        <f t="array" ref="F129">IF('01_Input_Raw_Products'!X129&lt;&gt;"",'01_Input_Raw_Products'!X129,IFERROR(_xlfn.XLOOKUP('01_Input_Raw_Products'!F129,'10_Master_Gem_Types'!A:A,'10_Master_Gem_Types'!O:O),LOWER(SUBSTITUTE(IF('01_Input_Raw_Products'!F129&lt;&gt;"",'01_Input_Raw_Products'!F129,'01_Input_Raw_Products'!D129)," ","-"))))</f>
        <v>0</v>
      </c>
      <c r="G129" s="9">
        <f>'01_Input_Raw_Products'!C129</f>
        <v>0</v>
      </c>
      <c r="H129" s="9" cm="1">
        <f t="array" ref="H129">IF('01_Input_Raw_Products'!H129&lt;&gt;"",'01_Input_Raw_Products'!H129,IFERROR(_xlfn.XLOOKUP('01_Input_Raw_Products'!F129,'10_Master_Gem_Types'!A:A,'10_Master_Gem_Types'!D:D),""))</f>
        <v>0</v>
      </c>
      <c r="I129" s="7">
        <f>IF('01_Input_Raw_Products'!N129&lt;&gt;"",'01_Input_Raw_Products'!N129,IF('01_Input_Raw_Products'!O129&lt;&gt;"",'01_Input_Raw_Products'!O129*0.91,""))</f>
        <v>0</v>
      </c>
      <c r="J129" s="9" cm="1">
        <f t="array" ref="J129">IFERROR(_xlfn.XLOOKUP('01_Input_Raw_Products'!F129,'10_Master_Gem_Types'!A:A,'10_Master_Gem_Types'!N:N),"")</f>
        <v>0</v>
      </c>
      <c r="K129" s="9" cm="1">
        <f t="array" ref="K129">IF('01_Input_Raw_Products'!J129&lt;&gt;"",'01_Input_Raw_Products'!J129,IFERROR(_xlfn.XLOOKUP('01_Input_Raw_Products'!F129,'10_Master_Gem_Types'!A:A,'10_Master_Gem_Types'!E:E),""))</f>
        <v>0</v>
      </c>
      <c r="L129" s="9">
        <f>'01_Input_Raw_Products'!P129</f>
        <v>0</v>
      </c>
      <c r="M129" s="9" cm="1">
        <f t="array" ref="M129">IFERROR(_xlfn.XLOOKUP('01_Input_Raw_Products'!K129,'12_Color_Mapping'!A:A,'12_Color_Mapping'!B:B),IFERROR(_xlfn.XLOOKUP('01_Input_Raw_Products'!F129,'10_Master_Gem_Types'!A:A,'10_Master_Gem_Types'!F:F),""))</f>
        <v>0</v>
      </c>
      <c r="N129" s="9">
        <f>IF(C129="","",IF('01_Input_Raw_Products'!F129&lt;&gt;"",'01_Input_Raw_Products'!F129,'01_Input_Raw_Products'!D129))</f>
        <v>0</v>
      </c>
      <c r="O129" s="9">
        <f>IF(C129="","","Catalog Automation")</f>
        <v>0</v>
      </c>
      <c r="P129" s="9">
        <f>'01_Input_Raw_Products'!U129</f>
        <v>0</v>
      </c>
      <c r="Q129" s="7">
        <f>IF('01_Input_Raw_Products'!O129&lt;&gt;"",'01_Input_Raw_Products'!O129,IF('01_Input_Raw_Products'!N129&lt;&gt;"",'01_Input_Raw_Products'!N129*1.1,""))</f>
        <v>0</v>
      </c>
      <c r="R129" s="9">
        <f>'01_Input_Raw_Products'!S129</f>
        <v>0</v>
      </c>
      <c r="S129" s="9" cm="1">
        <f t="array" ref="S129">IFERROR(_xlfn.XLOOKUP('01_Input_Raw_Products'!F129,'10_Master_Gem_Types'!A:A,'10_Master_Gem_Types'!H:H),"")</f>
        <v>0</v>
      </c>
      <c r="T129" s="8">
        <f>'01_Input_Raw_Products'!Q129</f>
        <v>0</v>
      </c>
      <c r="U129" s="8">
        <f>'01_Input_Raw_Products'!R129</f>
        <v>0</v>
      </c>
      <c r="V129" s="7">
        <f>I129</f>
        <v>0</v>
      </c>
      <c r="W129" s="9" cm="1">
        <f t="array" ref="W129">IF('01_Input_Raw_Products'!G129&lt;&gt;"",'01_Input_Raw_Products'!G129,IFERROR(_xlfn.XLOOKUP('01_Input_Raw_Products'!F129,'10_Master_Gem_Types'!A:A,'10_Master_Gem_Types'!L:L),""))</f>
        <v>0</v>
      </c>
      <c r="X129" s="9" cm="1">
        <f t="array" ref="X129">IFERROR(_xlfn.XLOOKUP('01_Input_Raw_Products'!F129,'10_Master_Gem_Types'!A:A,'10_Master_Gem_Types'!J:J),"")</f>
        <v>0</v>
      </c>
      <c r="Y129" s="9" cm="1">
        <f t="array" ref="Y129">IFERROR(_xlfn.XLOOKUP('01_Input_Raw_Products'!F129,'10_Master_Gem_Types'!A:A,'10_Master_Gem_Types'!I:I),"")</f>
        <v>0</v>
      </c>
      <c r="Z129" s="9" cm="1">
        <f t="array" ref="Z129">IFERROR(_xlfn.XLOOKUP('01_Input_Raw_Products'!L129,'13_Certification_Stickers'!A:A,'13_Certification_Stickers'!C:C),"")</f>
        <v>0</v>
      </c>
      <c r="AA129" s="9" cm="1">
        <f t="array" ref="AA129">IFERROR(_xlfn.XLOOKUP('01_Input_Raw_Products'!S129,'14_Shipping_Rules'!A:A,'14_Shipping_Rules'!B:B),"")</f>
        <v>0</v>
      </c>
      <c r="AB129" s="9" cm="1">
        <f t="array" ref="AB129">IFERROR(_xlfn.XLOOKUP('01_Input_Raw_Products'!D129,'16_Astro_Flags'!A:A,'16_Astro_Flags'!B:B),"")</f>
        <v>0</v>
      </c>
      <c r="AC129" s="9">
        <f>IF(C129="","","Catalog, Search")</f>
        <v>0</v>
      </c>
      <c r="AD129" s="9">
        <f>IF(C129="","",IF(OR(F129="",J129="",M129="",S129="",Y129=""),"Manual Review","Ready"))</f>
        <v>0</v>
      </c>
      <c r="AE129" s="9">
        <f>IF(C129="","",TEXTJOIN("; ",TRUE,IF(F129="","Missing url_key",""),IF(J129="","Missing classification",""),IF(M129="","Missing j_colour",""),IF(S129="","Missing hsn_code",""),IF(Y129="","Missing tax_class_id","")))</f>
        <v>0</v>
      </c>
    </row>
    <row r="130" spans="1:31">
      <c r="A130" s="9">
        <f>IF('01_Input_Raw_Products'!B130&lt;&gt;"",20,"")</f>
        <v>0</v>
      </c>
      <c r="B130" s="9" cm="1">
        <f t="array" ref="B130">IF('01_Input_Raw_Products'!M130&lt;&gt;"",'01_Input_Raw_Products'!M130,IFERROR(_xlfn.XLOOKUP('01_Input_Raw_Products'!F130,'10_Master_Gem_Types'!A:A,'10_Master_Gem_Types'!K:K),""))</f>
        <v>0</v>
      </c>
      <c r="C130" s="9">
        <f>'01_Input_Raw_Products'!B130</f>
        <v>0</v>
      </c>
      <c r="D130" s="9">
        <f>IF(C130="","",TEXT(I130,"0.00")&amp;" Ct "&amp;IF('01_Input_Raw_Products'!F130&lt;&gt;"",'01_Input_Raw_Products'!F130,'01_Input_Raw_Products'!D130)&amp;" "&amp;'01_Input_Raw_Products'!I130)</f>
        <v>0</v>
      </c>
      <c r="E130" s="9">
        <f>IF(C130="","",D130&amp;" | GemPundit")</f>
        <v>0</v>
      </c>
      <c r="F130" s="9" cm="1">
        <f t="array" ref="F130">IF('01_Input_Raw_Products'!X130&lt;&gt;"",'01_Input_Raw_Products'!X130,IFERROR(_xlfn.XLOOKUP('01_Input_Raw_Products'!F130,'10_Master_Gem_Types'!A:A,'10_Master_Gem_Types'!O:O),LOWER(SUBSTITUTE(IF('01_Input_Raw_Products'!F130&lt;&gt;"",'01_Input_Raw_Products'!F130,'01_Input_Raw_Products'!D130)," ","-"))))</f>
        <v>0</v>
      </c>
      <c r="G130" s="9">
        <f>'01_Input_Raw_Products'!C130</f>
        <v>0</v>
      </c>
      <c r="H130" s="9" cm="1">
        <f t="array" ref="H130">IF('01_Input_Raw_Products'!H130&lt;&gt;"",'01_Input_Raw_Products'!H130,IFERROR(_xlfn.XLOOKUP('01_Input_Raw_Products'!F130,'10_Master_Gem_Types'!A:A,'10_Master_Gem_Types'!D:D),""))</f>
        <v>0</v>
      </c>
      <c r="I130" s="7">
        <f>IF('01_Input_Raw_Products'!N130&lt;&gt;"",'01_Input_Raw_Products'!N130,IF('01_Input_Raw_Products'!O130&lt;&gt;"",'01_Input_Raw_Products'!O130*0.91,""))</f>
        <v>0</v>
      </c>
      <c r="J130" s="9" cm="1">
        <f t="array" ref="J130">IFERROR(_xlfn.XLOOKUP('01_Input_Raw_Products'!F130,'10_Master_Gem_Types'!A:A,'10_Master_Gem_Types'!N:N),"")</f>
        <v>0</v>
      </c>
      <c r="K130" s="9" cm="1">
        <f t="array" ref="K130">IF('01_Input_Raw_Products'!J130&lt;&gt;"",'01_Input_Raw_Products'!J130,IFERROR(_xlfn.XLOOKUP('01_Input_Raw_Products'!F130,'10_Master_Gem_Types'!A:A,'10_Master_Gem_Types'!E:E),""))</f>
        <v>0</v>
      </c>
      <c r="L130" s="9">
        <f>'01_Input_Raw_Products'!P130</f>
        <v>0</v>
      </c>
      <c r="M130" s="9" cm="1">
        <f t="array" ref="M130">IFERROR(_xlfn.XLOOKUP('01_Input_Raw_Products'!K130,'12_Color_Mapping'!A:A,'12_Color_Mapping'!B:B),IFERROR(_xlfn.XLOOKUP('01_Input_Raw_Products'!F130,'10_Master_Gem_Types'!A:A,'10_Master_Gem_Types'!F:F),""))</f>
        <v>0</v>
      </c>
      <c r="N130" s="9">
        <f>IF(C130="","",IF('01_Input_Raw_Products'!F130&lt;&gt;"",'01_Input_Raw_Products'!F130,'01_Input_Raw_Products'!D130))</f>
        <v>0</v>
      </c>
      <c r="O130" s="9">
        <f>IF(C130="","","Catalog Automation")</f>
        <v>0</v>
      </c>
      <c r="P130" s="9">
        <f>'01_Input_Raw_Products'!U130</f>
        <v>0</v>
      </c>
      <c r="Q130" s="7">
        <f>IF('01_Input_Raw_Products'!O130&lt;&gt;"",'01_Input_Raw_Products'!O130,IF('01_Input_Raw_Products'!N130&lt;&gt;"",'01_Input_Raw_Products'!N130*1.1,""))</f>
        <v>0</v>
      </c>
      <c r="R130" s="9">
        <f>'01_Input_Raw_Products'!S130</f>
        <v>0</v>
      </c>
      <c r="S130" s="9" cm="1">
        <f t="array" ref="S130">IFERROR(_xlfn.XLOOKUP('01_Input_Raw_Products'!F130,'10_Master_Gem_Types'!A:A,'10_Master_Gem_Types'!H:H),"")</f>
        <v>0</v>
      </c>
      <c r="T130" s="8">
        <f>'01_Input_Raw_Products'!Q130</f>
        <v>0</v>
      </c>
      <c r="U130" s="8">
        <f>'01_Input_Raw_Products'!R130</f>
        <v>0</v>
      </c>
      <c r="V130" s="7">
        <f>I130</f>
        <v>0</v>
      </c>
      <c r="W130" s="9" cm="1">
        <f t="array" ref="W130">IF('01_Input_Raw_Products'!G130&lt;&gt;"",'01_Input_Raw_Products'!G130,IFERROR(_xlfn.XLOOKUP('01_Input_Raw_Products'!F130,'10_Master_Gem_Types'!A:A,'10_Master_Gem_Types'!L:L),""))</f>
        <v>0</v>
      </c>
      <c r="X130" s="9" cm="1">
        <f t="array" ref="X130">IFERROR(_xlfn.XLOOKUP('01_Input_Raw_Products'!F130,'10_Master_Gem_Types'!A:A,'10_Master_Gem_Types'!J:J),"")</f>
        <v>0</v>
      </c>
      <c r="Y130" s="9" cm="1">
        <f t="array" ref="Y130">IFERROR(_xlfn.XLOOKUP('01_Input_Raw_Products'!F130,'10_Master_Gem_Types'!A:A,'10_Master_Gem_Types'!I:I),"")</f>
        <v>0</v>
      </c>
      <c r="Z130" s="9" cm="1">
        <f t="array" ref="Z130">IFERROR(_xlfn.XLOOKUP('01_Input_Raw_Products'!L130,'13_Certification_Stickers'!A:A,'13_Certification_Stickers'!C:C),"")</f>
        <v>0</v>
      </c>
      <c r="AA130" s="9" cm="1">
        <f t="array" ref="AA130">IFERROR(_xlfn.XLOOKUP('01_Input_Raw_Products'!S130,'14_Shipping_Rules'!A:A,'14_Shipping_Rules'!B:B),"")</f>
        <v>0</v>
      </c>
      <c r="AB130" s="9" cm="1">
        <f t="array" ref="AB130">IFERROR(_xlfn.XLOOKUP('01_Input_Raw_Products'!D130,'16_Astro_Flags'!A:A,'16_Astro_Flags'!B:B),"")</f>
        <v>0</v>
      </c>
      <c r="AC130" s="9">
        <f>IF(C130="","","Catalog, Search")</f>
        <v>0</v>
      </c>
      <c r="AD130" s="9">
        <f>IF(C130="","",IF(OR(F130="",J130="",M130="",S130="",Y130=""),"Manual Review","Ready"))</f>
        <v>0</v>
      </c>
      <c r="AE130" s="9">
        <f>IF(C130="","",TEXTJOIN("; ",TRUE,IF(F130="","Missing url_key",""),IF(J130="","Missing classification",""),IF(M130="","Missing j_colour",""),IF(S130="","Missing hsn_code",""),IF(Y130="","Missing tax_class_id","")))</f>
        <v>0</v>
      </c>
    </row>
    <row r="131" spans="1:31">
      <c r="A131" s="9">
        <f>IF('01_Input_Raw_Products'!B131&lt;&gt;"",20,"")</f>
        <v>0</v>
      </c>
      <c r="B131" s="9" cm="1">
        <f t="array" ref="B131">IF('01_Input_Raw_Products'!M131&lt;&gt;"",'01_Input_Raw_Products'!M131,IFERROR(_xlfn.XLOOKUP('01_Input_Raw_Products'!F131,'10_Master_Gem_Types'!A:A,'10_Master_Gem_Types'!K:K),""))</f>
        <v>0</v>
      </c>
      <c r="C131" s="9">
        <f>'01_Input_Raw_Products'!B131</f>
        <v>0</v>
      </c>
      <c r="D131" s="9">
        <f>IF(C131="","",TEXT(I131,"0.00")&amp;" Ct "&amp;IF('01_Input_Raw_Products'!F131&lt;&gt;"",'01_Input_Raw_Products'!F131,'01_Input_Raw_Products'!D131)&amp;" "&amp;'01_Input_Raw_Products'!I131)</f>
        <v>0</v>
      </c>
      <c r="E131" s="9">
        <f>IF(C131="","",D131&amp;" | GemPundit")</f>
        <v>0</v>
      </c>
      <c r="F131" s="9" cm="1">
        <f t="array" ref="F131">IF('01_Input_Raw_Products'!X131&lt;&gt;"",'01_Input_Raw_Products'!X131,IFERROR(_xlfn.XLOOKUP('01_Input_Raw_Products'!F131,'10_Master_Gem_Types'!A:A,'10_Master_Gem_Types'!O:O),LOWER(SUBSTITUTE(IF('01_Input_Raw_Products'!F131&lt;&gt;"",'01_Input_Raw_Products'!F131,'01_Input_Raw_Products'!D131)," ","-"))))</f>
        <v>0</v>
      </c>
      <c r="G131" s="9">
        <f>'01_Input_Raw_Products'!C131</f>
        <v>0</v>
      </c>
      <c r="H131" s="9" cm="1">
        <f t="array" ref="H131">IF('01_Input_Raw_Products'!H131&lt;&gt;"",'01_Input_Raw_Products'!H131,IFERROR(_xlfn.XLOOKUP('01_Input_Raw_Products'!F131,'10_Master_Gem_Types'!A:A,'10_Master_Gem_Types'!D:D),""))</f>
        <v>0</v>
      </c>
      <c r="I131" s="7">
        <f>IF('01_Input_Raw_Products'!N131&lt;&gt;"",'01_Input_Raw_Products'!N131,IF('01_Input_Raw_Products'!O131&lt;&gt;"",'01_Input_Raw_Products'!O131*0.91,""))</f>
        <v>0</v>
      </c>
      <c r="J131" s="9" cm="1">
        <f t="array" ref="J131">IFERROR(_xlfn.XLOOKUP('01_Input_Raw_Products'!F131,'10_Master_Gem_Types'!A:A,'10_Master_Gem_Types'!N:N),"")</f>
        <v>0</v>
      </c>
      <c r="K131" s="9" cm="1">
        <f t="array" ref="K131">IF('01_Input_Raw_Products'!J131&lt;&gt;"",'01_Input_Raw_Products'!J131,IFERROR(_xlfn.XLOOKUP('01_Input_Raw_Products'!F131,'10_Master_Gem_Types'!A:A,'10_Master_Gem_Types'!E:E),""))</f>
        <v>0</v>
      </c>
      <c r="L131" s="9">
        <f>'01_Input_Raw_Products'!P131</f>
        <v>0</v>
      </c>
      <c r="M131" s="9" cm="1">
        <f t="array" ref="M131">IFERROR(_xlfn.XLOOKUP('01_Input_Raw_Products'!K131,'12_Color_Mapping'!A:A,'12_Color_Mapping'!B:B),IFERROR(_xlfn.XLOOKUP('01_Input_Raw_Products'!F131,'10_Master_Gem_Types'!A:A,'10_Master_Gem_Types'!F:F),""))</f>
        <v>0</v>
      </c>
      <c r="N131" s="9">
        <f>IF(C131="","",IF('01_Input_Raw_Products'!F131&lt;&gt;"",'01_Input_Raw_Products'!F131,'01_Input_Raw_Products'!D131))</f>
        <v>0</v>
      </c>
      <c r="O131" s="9">
        <f>IF(C131="","","Catalog Automation")</f>
        <v>0</v>
      </c>
      <c r="P131" s="9">
        <f>'01_Input_Raw_Products'!U131</f>
        <v>0</v>
      </c>
      <c r="Q131" s="7">
        <f>IF('01_Input_Raw_Products'!O131&lt;&gt;"",'01_Input_Raw_Products'!O131,IF('01_Input_Raw_Products'!N131&lt;&gt;"",'01_Input_Raw_Products'!N131*1.1,""))</f>
        <v>0</v>
      </c>
      <c r="R131" s="9">
        <f>'01_Input_Raw_Products'!S131</f>
        <v>0</v>
      </c>
      <c r="S131" s="9" cm="1">
        <f t="array" ref="S131">IFERROR(_xlfn.XLOOKUP('01_Input_Raw_Products'!F131,'10_Master_Gem_Types'!A:A,'10_Master_Gem_Types'!H:H),"")</f>
        <v>0</v>
      </c>
      <c r="T131" s="8">
        <f>'01_Input_Raw_Products'!Q131</f>
        <v>0</v>
      </c>
      <c r="U131" s="8">
        <f>'01_Input_Raw_Products'!R131</f>
        <v>0</v>
      </c>
      <c r="V131" s="7">
        <f>I131</f>
        <v>0</v>
      </c>
      <c r="W131" s="9" cm="1">
        <f t="array" ref="W131">IF('01_Input_Raw_Products'!G131&lt;&gt;"",'01_Input_Raw_Products'!G131,IFERROR(_xlfn.XLOOKUP('01_Input_Raw_Products'!F131,'10_Master_Gem_Types'!A:A,'10_Master_Gem_Types'!L:L),""))</f>
        <v>0</v>
      </c>
      <c r="X131" s="9" cm="1">
        <f t="array" ref="X131">IFERROR(_xlfn.XLOOKUP('01_Input_Raw_Products'!F131,'10_Master_Gem_Types'!A:A,'10_Master_Gem_Types'!J:J),"")</f>
        <v>0</v>
      </c>
      <c r="Y131" s="9" cm="1">
        <f t="array" ref="Y131">IFERROR(_xlfn.XLOOKUP('01_Input_Raw_Products'!F131,'10_Master_Gem_Types'!A:A,'10_Master_Gem_Types'!I:I),"")</f>
        <v>0</v>
      </c>
      <c r="Z131" s="9" cm="1">
        <f t="array" ref="Z131">IFERROR(_xlfn.XLOOKUP('01_Input_Raw_Products'!L131,'13_Certification_Stickers'!A:A,'13_Certification_Stickers'!C:C),"")</f>
        <v>0</v>
      </c>
      <c r="AA131" s="9" cm="1">
        <f t="array" ref="AA131">IFERROR(_xlfn.XLOOKUP('01_Input_Raw_Products'!S131,'14_Shipping_Rules'!A:A,'14_Shipping_Rules'!B:B),"")</f>
        <v>0</v>
      </c>
      <c r="AB131" s="9" cm="1">
        <f t="array" ref="AB131">IFERROR(_xlfn.XLOOKUP('01_Input_Raw_Products'!D131,'16_Astro_Flags'!A:A,'16_Astro_Flags'!B:B),"")</f>
        <v>0</v>
      </c>
      <c r="AC131" s="9">
        <f>IF(C131="","","Catalog, Search")</f>
        <v>0</v>
      </c>
      <c r="AD131" s="9">
        <f>IF(C131="","",IF(OR(F131="",J131="",M131="",S131="",Y131=""),"Manual Review","Ready"))</f>
        <v>0</v>
      </c>
      <c r="AE131" s="9">
        <f>IF(C131="","",TEXTJOIN("; ",TRUE,IF(F131="","Missing url_key",""),IF(J131="","Missing classification",""),IF(M131="","Missing j_colour",""),IF(S131="","Missing hsn_code",""),IF(Y131="","Missing tax_class_id","")))</f>
        <v>0</v>
      </c>
    </row>
    <row r="132" spans="1:31">
      <c r="A132" s="9">
        <f>IF('01_Input_Raw_Products'!B132&lt;&gt;"",20,"")</f>
        <v>0</v>
      </c>
      <c r="B132" s="9" cm="1">
        <f t="array" ref="B132">IF('01_Input_Raw_Products'!M132&lt;&gt;"",'01_Input_Raw_Products'!M132,IFERROR(_xlfn.XLOOKUP('01_Input_Raw_Products'!F132,'10_Master_Gem_Types'!A:A,'10_Master_Gem_Types'!K:K),""))</f>
        <v>0</v>
      </c>
      <c r="C132" s="9">
        <f>'01_Input_Raw_Products'!B132</f>
        <v>0</v>
      </c>
      <c r="D132" s="9">
        <f>IF(C132="","",TEXT(I132,"0.00")&amp;" Ct "&amp;IF('01_Input_Raw_Products'!F132&lt;&gt;"",'01_Input_Raw_Products'!F132,'01_Input_Raw_Products'!D132)&amp;" "&amp;'01_Input_Raw_Products'!I132)</f>
        <v>0</v>
      </c>
      <c r="E132" s="9">
        <f>IF(C132="","",D132&amp;" | GemPundit")</f>
        <v>0</v>
      </c>
      <c r="F132" s="9" cm="1">
        <f t="array" ref="F132">IF('01_Input_Raw_Products'!X132&lt;&gt;"",'01_Input_Raw_Products'!X132,IFERROR(_xlfn.XLOOKUP('01_Input_Raw_Products'!F132,'10_Master_Gem_Types'!A:A,'10_Master_Gem_Types'!O:O),LOWER(SUBSTITUTE(IF('01_Input_Raw_Products'!F132&lt;&gt;"",'01_Input_Raw_Products'!F132,'01_Input_Raw_Products'!D132)," ","-"))))</f>
        <v>0</v>
      </c>
      <c r="G132" s="9">
        <f>'01_Input_Raw_Products'!C132</f>
        <v>0</v>
      </c>
      <c r="H132" s="9" cm="1">
        <f t="array" ref="H132">IF('01_Input_Raw_Products'!H132&lt;&gt;"",'01_Input_Raw_Products'!H132,IFERROR(_xlfn.XLOOKUP('01_Input_Raw_Products'!F132,'10_Master_Gem_Types'!A:A,'10_Master_Gem_Types'!D:D),""))</f>
        <v>0</v>
      </c>
      <c r="I132" s="7">
        <f>IF('01_Input_Raw_Products'!N132&lt;&gt;"",'01_Input_Raw_Products'!N132,IF('01_Input_Raw_Products'!O132&lt;&gt;"",'01_Input_Raw_Products'!O132*0.91,""))</f>
        <v>0</v>
      </c>
      <c r="J132" s="9" cm="1">
        <f t="array" ref="J132">IFERROR(_xlfn.XLOOKUP('01_Input_Raw_Products'!F132,'10_Master_Gem_Types'!A:A,'10_Master_Gem_Types'!N:N),"")</f>
        <v>0</v>
      </c>
      <c r="K132" s="9" cm="1">
        <f t="array" ref="K132">IF('01_Input_Raw_Products'!J132&lt;&gt;"",'01_Input_Raw_Products'!J132,IFERROR(_xlfn.XLOOKUP('01_Input_Raw_Products'!F132,'10_Master_Gem_Types'!A:A,'10_Master_Gem_Types'!E:E),""))</f>
        <v>0</v>
      </c>
      <c r="L132" s="9">
        <f>'01_Input_Raw_Products'!P132</f>
        <v>0</v>
      </c>
      <c r="M132" s="9" cm="1">
        <f t="array" ref="M132">IFERROR(_xlfn.XLOOKUP('01_Input_Raw_Products'!K132,'12_Color_Mapping'!A:A,'12_Color_Mapping'!B:B),IFERROR(_xlfn.XLOOKUP('01_Input_Raw_Products'!F132,'10_Master_Gem_Types'!A:A,'10_Master_Gem_Types'!F:F),""))</f>
        <v>0</v>
      </c>
      <c r="N132" s="9">
        <f>IF(C132="","",IF('01_Input_Raw_Products'!F132&lt;&gt;"",'01_Input_Raw_Products'!F132,'01_Input_Raw_Products'!D132))</f>
        <v>0</v>
      </c>
      <c r="O132" s="9">
        <f>IF(C132="","","Catalog Automation")</f>
        <v>0</v>
      </c>
      <c r="P132" s="9">
        <f>'01_Input_Raw_Products'!U132</f>
        <v>0</v>
      </c>
      <c r="Q132" s="7">
        <f>IF('01_Input_Raw_Products'!O132&lt;&gt;"",'01_Input_Raw_Products'!O132,IF('01_Input_Raw_Products'!N132&lt;&gt;"",'01_Input_Raw_Products'!N132*1.1,""))</f>
        <v>0</v>
      </c>
      <c r="R132" s="9">
        <f>'01_Input_Raw_Products'!S132</f>
        <v>0</v>
      </c>
      <c r="S132" s="9" cm="1">
        <f t="array" ref="S132">IFERROR(_xlfn.XLOOKUP('01_Input_Raw_Products'!F132,'10_Master_Gem_Types'!A:A,'10_Master_Gem_Types'!H:H),"")</f>
        <v>0</v>
      </c>
      <c r="T132" s="8">
        <f>'01_Input_Raw_Products'!Q132</f>
        <v>0</v>
      </c>
      <c r="U132" s="8">
        <f>'01_Input_Raw_Products'!R132</f>
        <v>0</v>
      </c>
      <c r="V132" s="7">
        <f>I132</f>
        <v>0</v>
      </c>
      <c r="W132" s="9" cm="1">
        <f t="array" ref="W132">IF('01_Input_Raw_Products'!G132&lt;&gt;"",'01_Input_Raw_Products'!G132,IFERROR(_xlfn.XLOOKUP('01_Input_Raw_Products'!F132,'10_Master_Gem_Types'!A:A,'10_Master_Gem_Types'!L:L),""))</f>
        <v>0</v>
      </c>
      <c r="X132" s="9" cm="1">
        <f t="array" ref="X132">IFERROR(_xlfn.XLOOKUP('01_Input_Raw_Products'!F132,'10_Master_Gem_Types'!A:A,'10_Master_Gem_Types'!J:J),"")</f>
        <v>0</v>
      </c>
      <c r="Y132" s="9" cm="1">
        <f t="array" ref="Y132">IFERROR(_xlfn.XLOOKUP('01_Input_Raw_Products'!F132,'10_Master_Gem_Types'!A:A,'10_Master_Gem_Types'!I:I),"")</f>
        <v>0</v>
      </c>
      <c r="Z132" s="9" cm="1">
        <f t="array" ref="Z132">IFERROR(_xlfn.XLOOKUP('01_Input_Raw_Products'!L132,'13_Certification_Stickers'!A:A,'13_Certification_Stickers'!C:C),"")</f>
        <v>0</v>
      </c>
      <c r="AA132" s="9" cm="1">
        <f t="array" ref="AA132">IFERROR(_xlfn.XLOOKUP('01_Input_Raw_Products'!S132,'14_Shipping_Rules'!A:A,'14_Shipping_Rules'!B:B),"")</f>
        <v>0</v>
      </c>
      <c r="AB132" s="9" cm="1">
        <f t="array" ref="AB132">IFERROR(_xlfn.XLOOKUP('01_Input_Raw_Products'!D132,'16_Astro_Flags'!A:A,'16_Astro_Flags'!B:B),"")</f>
        <v>0</v>
      </c>
      <c r="AC132" s="9">
        <f>IF(C132="","","Catalog, Search")</f>
        <v>0</v>
      </c>
      <c r="AD132" s="9">
        <f>IF(C132="","",IF(OR(F132="",J132="",M132="",S132="",Y132=""),"Manual Review","Ready"))</f>
        <v>0</v>
      </c>
      <c r="AE132" s="9">
        <f>IF(C132="","",TEXTJOIN("; ",TRUE,IF(F132="","Missing url_key",""),IF(J132="","Missing classification",""),IF(M132="","Missing j_colour",""),IF(S132="","Missing hsn_code",""),IF(Y132="","Missing tax_class_id","")))</f>
        <v>0</v>
      </c>
    </row>
    <row r="133" spans="1:31">
      <c r="A133" s="9">
        <f>IF('01_Input_Raw_Products'!B133&lt;&gt;"",20,"")</f>
        <v>0</v>
      </c>
      <c r="B133" s="9" cm="1">
        <f t="array" ref="B133">IF('01_Input_Raw_Products'!M133&lt;&gt;"",'01_Input_Raw_Products'!M133,IFERROR(_xlfn.XLOOKUP('01_Input_Raw_Products'!F133,'10_Master_Gem_Types'!A:A,'10_Master_Gem_Types'!K:K),""))</f>
        <v>0</v>
      </c>
      <c r="C133" s="9">
        <f>'01_Input_Raw_Products'!B133</f>
        <v>0</v>
      </c>
      <c r="D133" s="9">
        <f>IF(C133="","",TEXT(I133,"0.00")&amp;" Ct "&amp;IF('01_Input_Raw_Products'!F133&lt;&gt;"",'01_Input_Raw_Products'!F133,'01_Input_Raw_Products'!D133)&amp;" "&amp;'01_Input_Raw_Products'!I133)</f>
        <v>0</v>
      </c>
      <c r="E133" s="9">
        <f>IF(C133="","",D133&amp;" | GemPundit")</f>
        <v>0</v>
      </c>
      <c r="F133" s="9" cm="1">
        <f t="array" ref="F133">IF('01_Input_Raw_Products'!X133&lt;&gt;"",'01_Input_Raw_Products'!X133,IFERROR(_xlfn.XLOOKUP('01_Input_Raw_Products'!F133,'10_Master_Gem_Types'!A:A,'10_Master_Gem_Types'!O:O),LOWER(SUBSTITUTE(IF('01_Input_Raw_Products'!F133&lt;&gt;"",'01_Input_Raw_Products'!F133,'01_Input_Raw_Products'!D133)," ","-"))))</f>
        <v>0</v>
      </c>
      <c r="G133" s="9">
        <f>'01_Input_Raw_Products'!C133</f>
        <v>0</v>
      </c>
      <c r="H133" s="9" cm="1">
        <f t="array" ref="H133">IF('01_Input_Raw_Products'!H133&lt;&gt;"",'01_Input_Raw_Products'!H133,IFERROR(_xlfn.XLOOKUP('01_Input_Raw_Products'!F133,'10_Master_Gem_Types'!A:A,'10_Master_Gem_Types'!D:D),""))</f>
        <v>0</v>
      </c>
      <c r="I133" s="7">
        <f>IF('01_Input_Raw_Products'!N133&lt;&gt;"",'01_Input_Raw_Products'!N133,IF('01_Input_Raw_Products'!O133&lt;&gt;"",'01_Input_Raw_Products'!O133*0.91,""))</f>
        <v>0</v>
      </c>
      <c r="J133" s="9" cm="1">
        <f t="array" ref="J133">IFERROR(_xlfn.XLOOKUP('01_Input_Raw_Products'!F133,'10_Master_Gem_Types'!A:A,'10_Master_Gem_Types'!N:N),"")</f>
        <v>0</v>
      </c>
      <c r="K133" s="9" cm="1">
        <f t="array" ref="K133">IF('01_Input_Raw_Products'!J133&lt;&gt;"",'01_Input_Raw_Products'!J133,IFERROR(_xlfn.XLOOKUP('01_Input_Raw_Products'!F133,'10_Master_Gem_Types'!A:A,'10_Master_Gem_Types'!E:E),""))</f>
        <v>0</v>
      </c>
      <c r="L133" s="9">
        <f>'01_Input_Raw_Products'!P133</f>
        <v>0</v>
      </c>
      <c r="M133" s="9" cm="1">
        <f t="array" ref="M133">IFERROR(_xlfn.XLOOKUP('01_Input_Raw_Products'!K133,'12_Color_Mapping'!A:A,'12_Color_Mapping'!B:B),IFERROR(_xlfn.XLOOKUP('01_Input_Raw_Products'!F133,'10_Master_Gem_Types'!A:A,'10_Master_Gem_Types'!F:F),""))</f>
        <v>0</v>
      </c>
      <c r="N133" s="9">
        <f>IF(C133="","",IF('01_Input_Raw_Products'!F133&lt;&gt;"",'01_Input_Raw_Products'!F133,'01_Input_Raw_Products'!D133))</f>
        <v>0</v>
      </c>
      <c r="O133" s="9">
        <f>IF(C133="","","Catalog Automation")</f>
        <v>0</v>
      </c>
      <c r="P133" s="9">
        <f>'01_Input_Raw_Products'!U133</f>
        <v>0</v>
      </c>
      <c r="Q133" s="7">
        <f>IF('01_Input_Raw_Products'!O133&lt;&gt;"",'01_Input_Raw_Products'!O133,IF('01_Input_Raw_Products'!N133&lt;&gt;"",'01_Input_Raw_Products'!N133*1.1,""))</f>
        <v>0</v>
      </c>
      <c r="R133" s="9">
        <f>'01_Input_Raw_Products'!S133</f>
        <v>0</v>
      </c>
      <c r="S133" s="9" cm="1">
        <f t="array" ref="S133">IFERROR(_xlfn.XLOOKUP('01_Input_Raw_Products'!F133,'10_Master_Gem_Types'!A:A,'10_Master_Gem_Types'!H:H),"")</f>
        <v>0</v>
      </c>
      <c r="T133" s="8">
        <f>'01_Input_Raw_Products'!Q133</f>
        <v>0</v>
      </c>
      <c r="U133" s="8">
        <f>'01_Input_Raw_Products'!R133</f>
        <v>0</v>
      </c>
      <c r="V133" s="7">
        <f>I133</f>
        <v>0</v>
      </c>
      <c r="W133" s="9" cm="1">
        <f t="array" ref="W133">IF('01_Input_Raw_Products'!G133&lt;&gt;"",'01_Input_Raw_Products'!G133,IFERROR(_xlfn.XLOOKUP('01_Input_Raw_Products'!F133,'10_Master_Gem_Types'!A:A,'10_Master_Gem_Types'!L:L),""))</f>
        <v>0</v>
      </c>
      <c r="X133" s="9" cm="1">
        <f t="array" ref="X133">IFERROR(_xlfn.XLOOKUP('01_Input_Raw_Products'!F133,'10_Master_Gem_Types'!A:A,'10_Master_Gem_Types'!J:J),"")</f>
        <v>0</v>
      </c>
      <c r="Y133" s="9" cm="1">
        <f t="array" ref="Y133">IFERROR(_xlfn.XLOOKUP('01_Input_Raw_Products'!F133,'10_Master_Gem_Types'!A:A,'10_Master_Gem_Types'!I:I),"")</f>
        <v>0</v>
      </c>
      <c r="Z133" s="9" cm="1">
        <f t="array" ref="Z133">IFERROR(_xlfn.XLOOKUP('01_Input_Raw_Products'!L133,'13_Certification_Stickers'!A:A,'13_Certification_Stickers'!C:C),"")</f>
        <v>0</v>
      </c>
      <c r="AA133" s="9" cm="1">
        <f t="array" ref="AA133">IFERROR(_xlfn.XLOOKUP('01_Input_Raw_Products'!S133,'14_Shipping_Rules'!A:A,'14_Shipping_Rules'!B:B),"")</f>
        <v>0</v>
      </c>
      <c r="AB133" s="9" cm="1">
        <f t="array" ref="AB133">IFERROR(_xlfn.XLOOKUP('01_Input_Raw_Products'!D133,'16_Astro_Flags'!A:A,'16_Astro_Flags'!B:B),"")</f>
        <v>0</v>
      </c>
      <c r="AC133" s="9">
        <f>IF(C133="","","Catalog, Search")</f>
        <v>0</v>
      </c>
      <c r="AD133" s="9">
        <f>IF(C133="","",IF(OR(F133="",J133="",M133="",S133="",Y133=""),"Manual Review","Ready"))</f>
        <v>0</v>
      </c>
      <c r="AE133" s="9">
        <f>IF(C133="","",TEXTJOIN("; ",TRUE,IF(F133="","Missing url_key",""),IF(J133="","Missing classification",""),IF(M133="","Missing j_colour",""),IF(S133="","Missing hsn_code",""),IF(Y133="","Missing tax_class_id","")))</f>
        <v>0</v>
      </c>
    </row>
    <row r="134" spans="1:31">
      <c r="A134" s="9">
        <f>IF('01_Input_Raw_Products'!B134&lt;&gt;"",20,"")</f>
        <v>0</v>
      </c>
      <c r="B134" s="9" cm="1">
        <f t="array" ref="B134">IF('01_Input_Raw_Products'!M134&lt;&gt;"",'01_Input_Raw_Products'!M134,IFERROR(_xlfn.XLOOKUP('01_Input_Raw_Products'!F134,'10_Master_Gem_Types'!A:A,'10_Master_Gem_Types'!K:K),""))</f>
        <v>0</v>
      </c>
      <c r="C134" s="9">
        <f>'01_Input_Raw_Products'!B134</f>
        <v>0</v>
      </c>
      <c r="D134" s="9">
        <f>IF(C134="","",TEXT(I134,"0.00")&amp;" Ct "&amp;IF('01_Input_Raw_Products'!F134&lt;&gt;"",'01_Input_Raw_Products'!F134,'01_Input_Raw_Products'!D134)&amp;" "&amp;'01_Input_Raw_Products'!I134)</f>
        <v>0</v>
      </c>
      <c r="E134" s="9">
        <f>IF(C134="","",D134&amp;" | GemPundit")</f>
        <v>0</v>
      </c>
      <c r="F134" s="9" cm="1">
        <f t="array" ref="F134">IF('01_Input_Raw_Products'!X134&lt;&gt;"",'01_Input_Raw_Products'!X134,IFERROR(_xlfn.XLOOKUP('01_Input_Raw_Products'!F134,'10_Master_Gem_Types'!A:A,'10_Master_Gem_Types'!O:O),LOWER(SUBSTITUTE(IF('01_Input_Raw_Products'!F134&lt;&gt;"",'01_Input_Raw_Products'!F134,'01_Input_Raw_Products'!D134)," ","-"))))</f>
        <v>0</v>
      </c>
      <c r="G134" s="9">
        <f>'01_Input_Raw_Products'!C134</f>
        <v>0</v>
      </c>
      <c r="H134" s="9" cm="1">
        <f t="array" ref="H134">IF('01_Input_Raw_Products'!H134&lt;&gt;"",'01_Input_Raw_Products'!H134,IFERROR(_xlfn.XLOOKUP('01_Input_Raw_Products'!F134,'10_Master_Gem_Types'!A:A,'10_Master_Gem_Types'!D:D),""))</f>
        <v>0</v>
      </c>
      <c r="I134" s="7">
        <f>IF('01_Input_Raw_Products'!N134&lt;&gt;"",'01_Input_Raw_Products'!N134,IF('01_Input_Raw_Products'!O134&lt;&gt;"",'01_Input_Raw_Products'!O134*0.91,""))</f>
        <v>0</v>
      </c>
      <c r="J134" s="9" cm="1">
        <f t="array" ref="J134">IFERROR(_xlfn.XLOOKUP('01_Input_Raw_Products'!F134,'10_Master_Gem_Types'!A:A,'10_Master_Gem_Types'!N:N),"")</f>
        <v>0</v>
      </c>
      <c r="K134" s="9" cm="1">
        <f t="array" ref="K134">IF('01_Input_Raw_Products'!J134&lt;&gt;"",'01_Input_Raw_Products'!J134,IFERROR(_xlfn.XLOOKUP('01_Input_Raw_Products'!F134,'10_Master_Gem_Types'!A:A,'10_Master_Gem_Types'!E:E),""))</f>
        <v>0</v>
      </c>
      <c r="L134" s="9">
        <f>'01_Input_Raw_Products'!P134</f>
        <v>0</v>
      </c>
      <c r="M134" s="9" cm="1">
        <f t="array" ref="M134">IFERROR(_xlfn.XLOOKUP('01_Input_Raw_Products'!K134,'12_Color_Mapping'!A:A,'12_Color_Mapping'!B:B),IFERROR(_xlfn.XLOOKUP('01_Input_Raw_Products'!F134,'10_Master_Gem_Types'!A:A,'10_Master_Gem_Types'!F:F),""))</f>
        <v>0</v>
      </c>
      <c r="N134" s="9">
        <f>IF(C134="","",IF('01_Input_Raw_Products'!F134&lt;&gt;"",'01_Input_Raw_Products'!F134,'01_Input_Raw_Products'!D134))</f>
        <v>0</v>
      </c>
      <c r="O134" s="9">
        <f>IF(C134="","","Catalog Automation")</f>
        <v>0</v>
      </c>
      <c r="P134" s="9">
        <f>'01_Input_Raw_Products'!U134</f>
        <v>0</v>
      </c>
      <c r="Q134" s="7">
        <f>IF('01_Input_Raw_Products'!O134&lt;&gt;"",'01_Input_Raw_Products'!O134,IF('01_Input_Raw_Products'!N134&lt;&gt;"",'01_Input_Raw_Products'!N134*1.1,""))</f>
        <v>0</v>
      </c>
      <c r="R134" s="9">
        <f>'01_Input_Raw_Products'!S134</f>
        <v>0</v>
      </c>
      <c r="S134" s="9" cm="1">
        <f t="array" ref="S134">IFERROR(_xlfn.XLOOKUP('01_Input_Raw_Products'!F134,'10_Master_Gem_Types'!A:A,'10_Master_Gem_Types'!H:H),"")</f>
        <v>0</v>
      </c>
      <c r="T134" s="8">
        <f>'01_Input_Raw_Products'!Q134</f>
        <v>0</v>
      </c>
      <c r="U134" s="8">
        <f>'01_Input_Raw_Products'!R134</f>
        <v>0</v>
      </c>
      <c r="V134" s="7">
        <f>I134</f>
        <v>0</v>
      </c>
      <c r="W134" s="9" cm="1">
        <f t="array" ref="W134">IF('01_Input_Raw_Products'!G134&lt;&gt;"",'01_Input_Raw_Products'!G134,IFERROR(_xlfn.XLOOKUP('01_Input_Raw_Products'!F134,'10_Master_Gem_Types'!A:A,'10_Master_Gem_Types'!L:L),""))</f>
        <v>0</v>
      </c>
      <c r="X134" s="9" cm="1">
        <f t="array" ref="X134">IFERROR(_xlfn.XLOOKUP('01_Input_Raw_Products'!F134,'10_Master_Gem_Types'!A:A,'10_Master_Gem_Types'!J:J),"")</f>
        <v>0</v>
      </c>
      <c r="Y134" s="9" cm="1">
        <f t="array" ref="Y134">IFERROR(_xlfn.XLOOKUP('01_Input_Raw_Products'!F134,'10_Master_Gem_Types'!A:A,'10_Master_Gem_Types'!I:I),"")</f>
        <v>0</v>
      </c>
      <c r="Z134" s="9" cm="1">
        <f t="array" ref="Z134">IFERROR(_xlfn.XLOOKUP('01_Input_Raw_Products'!L134,'13_Certification_Stickers'!A:A,'13_Certification_Stickers'!C:C),"")</f>
        <v>0</v>
      </c>
      <c r="AA134" s="9" cm="1">
        <f t="array" ref="AA134">IFERROR(_xlfn.XLOOKUP('01_Input_Raw_Products'!S134,'14_Shipping_Rules'!A:A,'14_Shipping_Rules'!B:B),"")</f>
        <v>0</v>
      </c>
      <c r="AB134" s="9" cm="1">
        <f t="array" ref="AB134">IFERROR(_xlfn.XLOOKUP('01_Input_Raw_Products'!D134,'16_Astro_Flags'!A:A,'16_Astro_Flags'!B:B),"")</f>
        <v>0</v>
      </c>
      <c r="AC134" s="9">
        <f>IF(C134="","","Catalog, Search")</f>
        <v>0</v>
      </c>
      <c r="AD134" s="9">
        <f>IF(C134="","",IF(OR(F134="",J134="",M134="",S134="",Y134=""),"Manual Review","Ready"))</f>
        <v>0</v>
      </c>
      <c r="AE134" s="9">
        <f>IF(C134="","",TEXTJOIN("; ",TRUE,IF(F134="","Missing url_key",""),IF(J134="","Missing classification",""),IF(M134="","Missing j_colour",""),IF(S134="","Missing hsn_code",""),IF(Y134="","Missing tax_class_id","")))</f>
        <v>0</v>
      </c>
    </row>
    <row r="135" spans="1:31">
      <c r="A135" s="9">
        <f>IF('01_Input_Raw_Products'!B135&lt;&gt;"",20,"")</f>
        <v>0</v>
      </c>
      <c r="B135" s="9" cm="1">
        <f t="array" ref="B135">IF('01_Input_Raw_Products'!M135&lt;&gt;"",'01_Input_Raw_Products'!M135,IFERROR(_xlfn.XLOOKUP('01_Input_Raw_Products'!F135,'10_Master_Gem_Types'!A:A,'10_Master_Gem_Types'!K:K),""))</f>
        <v>0</v>
      </c>
      <c r="C135" s="9">
        <f>'01_Input_Raw_Products'!B135</f>
        <v>0</v>
      </c>
      <c r="D135" s="9">
        <f>IF(C135="","",TEXT(I135,"0.00")&amp;" Ct "&amp;IF('01_Input_Raw_Products'!F135&lt;&gt;"",'01_Input_Raw_Products'!F135,'01_Input_Raw_Products'!D135)&amp;" "&amp;'01_Input_Raw_Products'!I135)</f>
        <v>0</v>
      </c>
      <c r="E135" s="9">
        <f>IF(C135="","",D135&amp;" | GemPundit")</f>
        <v>0</v>
      </c>
      <c r="F135" s="9" cm="1">
        <f t="array" ref="F135">IF('01_Input_Raw_Products'!X135&lt;&gt;"",'01_Input_Raw_Products'!X135,IFERROR(_xlfn.XLOOKUP('01_Input_Raw_Products'!F135,'10_Master_Gem_Types'!A:A,'10_Master_Gem_Types'!O:O),LOWER(SUBSTITUTE(IF('01_Input_Raw_Products'!F135&lt;&gt;"",'01_Input_Raw_Products'!F135,'01_Input_Raw_Products'!D135)," ","-"))))</f>
        <v>0</v>
      </c>
      <c r="G135" s="9">
        <f>'01_Input_Raw_Products'!C135</f>
        <v>0</v>
      </c>
      <c r="H135" s="9" cm="1">
        <f t="array" ref="H135">IF('01_Input_Raw_Products'!H135&lt;&gt;"",'01_Input_Raw_Products'!H135,IFERROR(_xlfn.XLOOKUP('01_Input_Raw_Products'!F135,'10_Master_Gem_Types'!A:A,'10_Master_Gem_Types'!D:D),""))</f>
        <v>0</v>
      </c>
      <c r="I135" s="7">
        <f>IF('01_Input_Raw_Products'!N135&lt;&gt;"",'01_Input_Raw_Products'!N135,IF('01_Input_Raw_Products'!O135&lt;&gt;"",'01_Input_Raw_Products'!O135*0.91,""))</f>
        <v>0</v>
      </c>
      <c r="J135" s="9" cm="1">
        <f t="array" ref="J135">IFERROR(_xlfn.XLOOKUP('01_Input_Raw_Products'!F135,'10_Master_Gem_Types'!A:A,'10_Master_Gem_Types'!N:N),"")</f>
        <v>0</v>
      </c>
      <c r="K135" s="9" cm="1">
        <f t="array" ref="K135">IF('01_Input_Raw_Products'!J135&lt;&gt;"",'01_Input_Raw_Products'!J135,IFERROR(_xlfn.XLOOKUP('01_Input_Raw_Products'!F135,'10_Master_Gem_Types'!A:A,'10_Master_Gem_Types'!E:E),""))</f>
        <v>0</v>
      </c>
      <c r="L135" s="9">
        <f>'01_Input_Raw_Products'!P135</f>
        <v>0</v>
      </c>
      <c r="M135" s="9" cm="1">
        <f t="array" ref="M135">IFERROR(_xlfn.XLOOKUP('01_Input_Raw_Products'!K135,'12_Color_Mapping'!A:A,'12_Color_Mapping'!B:B),IFERROR(_xlfn.XLOOKUP('01_Input_Raw_Products'!F135,'10_Master_Gem_Types'!A:A,'10_Master_Gem_Types'!F:F),""))</f>
        <v>0</v>
      </c>
      <c r="N135" s="9">
        <f>IF(C135="","",IF('01_Input_Raw_Products'!F135&lt;&gt;"",'01_Input_Raw_Products'!F135,'01_Input_Raw_Products'!D135))</f>
        <v>0</v>
      </c>
      <c r="O135" s="9">
        <f>IF(C135="","","Catalog Automation")</f>
        <v>0</v>
      </c>
      <c r="P135" s="9">
        <f>'01_Input_Raw_Products'!U135</f>
        <v>0</v>
      </c>
      <c r="Q135" s="7">
        <f>IF('01_Input_Raw_Products'!O135&lt;&gt;"",'01_Input_Raw_Products'!O135,IF('01_Input_Raw_Products'!N135&lt;&gt;"",'01_Input_Raw_Products'!N135*1.1,""))</f>
        <v>0</v>
      </c>
      <c r="R135" s="9">
        <f>'01_Input_Raw_Products'!S135</f>
        <v>0</v>
      </c>
      <c r="S135" s="9" cm="1">
        <f t="array" ref="S135">IFERROR(_xlfn.XLOOKUP('01_Input_Raw_Products'!F135,'10_Master_Gem_Types'!A:A,'10_Master_Gem_Types'!H:H),"")</f>
        <v>0</v>
      </c>
      <c r="T135" s="8">
        <f>'01_Input_Raw_Products'!Q135</f>
        <v>0</v>
      </c>
      <c r="U135" s="8">
        <f>'01_Input_Raw_Products'!R135</f>
        <v>0</v>
      </c>
      <c r="V135" s="7">
        <f>I135</f>
        <v>0</v>
      </c>
      <c r="W135" s="9" cm="1">
        <f t="array" ref="W135">IF('01_Input_Raw_Products'!G135&lt;&gt;"",'01_Input_Raw_Products'!G135,IFERROR(_xlfn.XLOOKUP('01_Input_Raw_Products'!F135,'10_Master_Gem_Types'!A:A,'10_Master_Gem_Types'!L:L),""))</f>
        <v>0</v>
      </c>
      <c r="X135" s="9" cm="1">
        <f t="array" ref="X135">IFERROR(_xlfn.XLOOKUP('01_Input_Raw_Products'!F135,'10_Master_Gem_Types'!A:A,'10_Master_Gem_Types'!J:J),"")</f>
        <v>0</v>
      </c>
      <c r="Y135" s="9" cm="1">
        <f t="array" ref="Y135">IFERROR(_xlfn.XLOOKUP('01_Input_Raw_Products'!F135,'10_Master_Gem_Types'!A:A,'10_Master_Gem_Types'!I:I),"")</f>
        <v>0</v>
      </c>
      <c r="Z135" s="9" cm="1">
        <f t="array" ref="Z135">IFERROR(_xlfn.XLOOKUP('01_Input_Raw_Products'!L135,'13_Certification_Stickers'!A:A,'13_Certification_Stickers'!C:C),"")</f>
        <v>0</v>
      </c>
      <c r="AA135" s="9" cm="1">
        <f t="array" ref="AA135">IFERROR(_xlfn.XLOOKUP('01_Input_Raw_Products'!S135,'14_Shipping_Rules'!A:A,'14_Shipping_Rules'!B:B),"")</f>
        <v>0</v>
      </c>
      <c r="AB135" s="9" cm="1">
        <f t="array" ref="AB135">IFERROR(_xlfn.XLOOKUP('01_Input_Raw_Products'!D135,'16_Astro_Flags'!A:A,'16_Astro_Flags'!B:B),"")</f>
        <v>0</v>
      </c>
      <c r="AC135" s="9">
        <f>IF(C135="","","Catalog, Search")</f>
        <v>0</v>
      </c>
      <c r="AD135" s="9">
        <f>IF(C135="","",IF(OR(F135="",J135="",M135="",S135="",Y135=""),"Manual Review","Ready"))</f>
        <v>0</v>
      </c>
      <c r="AE135" s="9">
        <f>IF(C135="","",TEXTJOIN("; ",TRUE,IF(F135="","Missing url_key",""),IF(J135="","Missing classification",""),IF(M135="","Missing j_colour",""),IF(S135="","Missing hsn_code",""),IF(Y135="","Missing tax_class_id","")))</f>
        <v>0</v>
      </c>
    </row>
    <row r="136" spans="1:31">
      <c r="A136" s="9">
        <f>IF('01_Input_Raw_Products'!B136&lt;&gt;"",20,"")</f>
        <v>0</v>
      </c>
      <c r="B136" s="9" cm="1">
        <f t="array" ref="B136">IF('01_Input_Raw_Products'!M136&lt;&gt;"",'01_Input_Raw_Products'!M136,IFERROR(_xlfn.XLOOKUP('01_Input_Raw_Products'!F136,'10_Master_Gem_Types'!A:A,'10_Master_Gem_Types'!K:K),""))</f>
        <v>0</v>
      </c>
      <c r="C136" s="9">
        <f>'01_Input_Raw_Products'!B136</f>
        <v>0</v>
      </c>
      <c r="D136" s="9">
        <f>IF(C136="","",TEXT(I136,"0.00")&amp;" Ct "&amp;IF('01_Input_Raw_Products'!F136&lt;&gt;"",'01_Input_Raw_Products'!F136,'01_Input_Raw_Products'!D136)&amp;" "&amp;'01_Input_Raw_Products'!I136)</f>
        <v>0</v>
      </c>
      <c r="E136" s="9">
        <f>IF(C136="","",D136&amp;" | GemPundit")</f>
        <v>0</v>
      </c>
      <c r="F136" s="9" cm="1">
        <f t="array" ref="F136">IF('01_Input_Raw_Products'!X136&lt;&gt;"",'01_Input_Raw_Products'!X136,IFERROR(_xlfn.XLOOKUP('01_Input_Raw_Products'!F136,'10_Master_Gem_Types'!A:A,'10_Master_Gem_Types'!O:O),LOWER(SUBSTITUTE(IF('01_Input_Raw_Products'!F136&lt;&gt;"",'01_Input_Raw_Products'!F136,'01_Input_Raw_Products'!D136)," ","-"))))</f>
        <v>0</v>
      </c>
      <c r="G136" s="9">
        <f>'01_Input_Raw_Products'!C136</f>
        <v>0</v>
      </c>
      <c r="H136" s="9" cm="1">
        <f t="array" ref="H136">IF('01_Input_Raw_Products'!H136&lt;&gt;"",'01_Input_Raw_Products'!H136,IFERROR(_xlfn.XLOOKUP('01_Input_Raw_Products'!F136,'10_Master_Gem_Types'!A:A,'10_Master_Gem_Types'!D:D),""))</f>
        <v>0</v>
      </c>
      <c r="I136" s="7">
        <f>IF('01_Input_Raw_Products'!N136&lt;&gt;"",'01_Input_Raw_Products'!N136,IF('01_Input_Raw_Products'!O136&lt;&gt;"",'01_Input_Raw_Products'!O136*0.91,""))</f>
        <v>0</v>
      </c>
      <c r="J136" s="9" cm="1">
        <f t="array" ref="J136">IFERROR(_xlfn.XLOOKUP('01_Input_Raw_Products'!F136,'10_Master_Gem_Types'!A:A,'10_Master_Gem_Types'!N:N),"")</f>
        <v>0</v>
      </c>
      <c r="K136" s="9" cm="1">
        <f t="array" ref="K136">IF('01_Input_Raw_Products'!J136&lt;&gt;"",'01_Input_Raw_Products'!J136,IFERROR(_xlfn.XLOOKUP('01_Input_Raw_Products'!F136,'10_Master_Gem_Types'!A:A,'10_Master_Gem_Types'!E:E),""))</f>
        <v>0</v>
      </c>
      <c r="L136" s="9">
        <f>'01_Input_Raw_Products'!P136</f>
        <v>0</v>
      </c>
      <c r="M136" s="9" cm="1">
        <f t="array" ref="M136">IFERROR(_xlfn.XLOOKUP('01_Input_Raw_Products'!K136,'12_Color_Mapping'!A:A,'12_Color_Mapping'!B:B),IFERROR(_xlfn.XLOOKUP('01_Input_Raw_Products'!F136,'10_Master_Gem_Types'!A:A,'10_Master_Gem_Types'!F:F),""))</f>
        <v>0</v>
      </c>
      <c r="N136" s="9">
        <f>IF(C136="","",IF('01_Input_Raw_Products'!F136&lt;&gt;"",'01_Input_Raw_Products'!F136,'01_Input_Raw_Products'!D136))</f>
        <v>0</v>
      </c>
      <c r="O136" s="9">
        <f>IF(C136="","","Catalog Automation")</f>
        <v>0</v>
      </c>
      <c r="P136" s="9">
        <f>'01_Input_Raw_Products'!U136</f>
        <v>0</v>
      </c>
      <c r="Q136" s="7">
        <f>IF('01_Input_Raw_Products'!O136&lt;&gt;"",'01_Input_Raw_Products'!O136,IF('01_Input_Raw_Products'!N136&lt;&gt;"",'01_Input_Raw_Products'!N136*1.1,""))</f>
        <v>0</v>
      </c>
      <c r="R136" s="9">
        <f>'01_Input_Raw_Products'!S136</f>
        <v>0</v>
      </c>
      <c r="S136" s="9" cm="1">
        <f t="array" ref="S136">IFERROR(_xlfn.XLOOKUP('01_Input_Raw_Products'!F136,'10_Master_Gem_Types'!A:A,'10_Master_Gem_Types'!H:H),"")</f>
        <v>0</v>
      </c>
      <c r="T136" s="8">
        <f>'01_Input_Raw_Products'!Q136</f>
        <v>0</v>
      </c>
      <c r="U136" s="8">
        <f>'01_Input_Raw_Products'!R136</f>
        <v>0</v>
      </c>
      <c r="V136" s="7">
        <f>I136</f>
        <v>0</v>
      </c>
      <c r="W136" s="9" cm="1">
        <f t="array" ref="W136">IF('01_Input_Raw_Products'!G136&lt;&gt;"",'01_Input_Raw_Products'!G136,IFERROR(_xlfn.XLOOKUP('01_Input_Raw_Products'!F136,'10_Master_Gem_Types'!A:A,'10_Master_Gem_Types'!L:L),""))</f>
        <v>0</v>
      </c>
      <c r="X136" s="9" cm="1">
        <f t="array" ref="X136">IFERROR(_xlfn.XLOOKUP('01_Input_Raw_Products'!F136,'10_Master_Gem_Types'!A:A,'10_Master_Gem_Types'!J:J),"")</f>
        <v>0</v>
      </c>
      <c r="Y136" s="9" cm="1">
        <f t="array" ref="Y136">IFERROR(_xlfn.XLOOKUP('01_Input_Raw_Products'!F136,'10_Master_Gem_Types'!A:A,'10_Master_Gem_Types'!I:I),"")</f>
        <v>0</v>
      </c>
      <c r="Z136" s="9" cm="1">
        <f t="array" ref="Z136">IFERROR(_xlfn.XLOOKUP('01_Input_Raw_Products'!L136,'13_Certification_Stickers'!A:A,'13_Certification_Stickers'!C:C),"")</f>
        <v>0</v>
      </c>
      <c r="AA136" s="9" cm="1">
        <f t="array" ref="AA136">IFERROR(_xlfn.XLOOKUP('01_Input_Raw_Products'!S136,'14_Shipping_Rules'!A:A,'14_Shipping_Rules'!B:B),"")</f>
        <v>0</v>
      </c>
      <c r="AB136" s="9" cm="1">
        <f t="array" ref="AB136">IFERROR(_xlfn.XLOOKUP('01_Input_Raw_Products'!D136,'16_Astro_Flags'!A:A,'16_Astro_Flags'!B:B),"")</f>
        <v>0</v>
      </c>
      <c r="AC136" s="9">
        <f>IF(C136="","","Catalog, Search")</f>
        <v>0</v>
      </c>
      <c r="AD136" s="9">
        <f>IF(C136="","",IF(OR(F136="",J136="",M136="",S136="",Y136=""),"Manual Review","Ready"))</f>
        <v>0</v>
      </c>
      <c r="AE136" s="9">
        <f>IF(C136="","",TEXTJOIN("; ",TRUE,IF(F136="","Missing url_key",""),IF(J136="","Missing classification",""),IF(M136="","Missing j_colour",""),IF(S136="","Missing hsn_code",""),IF(Y136="","Missing tax_class_id","")))</f>
        <v>0</v>
      </c>
    </row>
    <row r="137" spans="1:31">
      <c r="A137" s="9">
        <f>IF('01_Input_Raw_Products'!B137&lt;&gt;"",20,"")</f>
        <v>0</v>
      </c>
      <c r="B137" s="9" cm="1">
        <f t="array" ref="B137">IF('01_Input_Raw_Products'!M137&lt;&gt;"",'01_Input_Raw_Products'!M137,IFERROR(_xlfn.XLOOKUP('01_Input_Raw_Products'!F137,'10_Master_Gem_Types'!A:A,'10_Master_Gem_Types'!K:K),""))</f>
        <v>0</v>
      </c>
      <c r="C137" s="9">
        <f>'01_Input_Raw_Products'!B137</f>
        <v>0</v>
      </c>
      <c r="D137" s="9">
        <f>IF(C137="","",TEXT(I137,"0.00")&amp;" Ct "&amp;IF('01_Input_Raw_Products'!F137&lt;&gt;"",'01_Input_Raw_Products'!F137,'01_Input_Raw_Products'!D137)&amp;" "&amp;'01_Input_Raw_Products'!I137)</f>
        <v>0</v>
      </c>
      <c r="E137" s="9">
        <f>IF(C137="","",D137&amp;" | GemPundit")</f>
        <v>0</v>
      </c>
      <c r="F137" s="9" cm="1">
        <f t="array" ref="F137">IF('01_Input_Raw_Products'!X137&lt;&gt;"",'01_Input_Raw_Products'!X137,IFERROR(_xlfn.XLOOKUP('01_Input_Raw_Products'!F137,'10_Master_Gem_Types'!A:A,'10_Master_Gem_Types'!O:O),LOWER(SUBSTITUTE(IF('01_Input_Raw_Products'!F137&lt;&gt;"",'01_Input_Raw_Products'!F137,'01_Input_Raw_Products'!D137)," ","-"))))</f>
        <v>0</v>
      </c>
      <c r="G137" s="9">
        <f>'01_Input_Raw_Products'!C137</f>
        <v>0</v>
      </c>
      <c r="H137" s="9" cm="1">
        <f t="array" ref="H137">IF('01_Input_Raw_Products'!H137&lt;&gt;"",'01_Input_Raw_Products'!H137,IFERROR(_xlfn.XLOOKUP('01_Input_Raw_Products'!F137,'10_Master_Gem_Types'!A:A,'10_Master_Gem_Types'!D:D),""))</f>
        <v>0</v>
      </c>
      <c r="I137" s="7">
        <f>IF('01_Input_Raw_Products'!N137&lt;&gt;"",'01_Input_Raw_Products'!N137,IF('01_Input_Raw_Products'!O137&lt;&gt;"",'01_Input_Raw_Products'!O137*0.91,""))</f>
        <v>0</v>
      </c>
      <c r="J137" s="9" cm="1">
        <f t="array" ref="J137">IFERROR(_xlfn.XLOOKUP('01_Input_Raw_Products'!F137,'10_Master_Gem_Types'!A:A,'10_Master_Gem_Types'!N:N),"")</f>
        <v>0</v>
      </c>
      <c r="K137" s="9" cm="1">
        <f t="array" ref="K137">IF('01_Input_Raw_Products'!J137&lt;&gt;"",'01_Input_Raw_Products'!J137,IFERROR(_xlfn.XLOOKUP('01_Input_Raw_Products'!F137,'10_Master_Gem_Types'!A:A,'10_Master_Gem_Types'!E:E),""))</f>
        <v>0</v>
      </c>
      <c r="L137" s="9">
        <f>'01_Input_Raw_Products'!P137</f>
        <v>0</v>
      </c>
      <c r="M137" s="9" cm="1">
        <f t="array" ref="M137">IFERROR(_xlfn.XLOOKUP('01_Input_Raw_Products'!K137,'12_Color_Mapping'!A:A,'12_Color_Mapping'!B:B),IFERROR(_xlfn.XLOOKUP('01_Input_Raw_Products'!F137,'10_Master_Gem_Types'!A:A,'10_Master_Gem_Types'!F:F),""))</f>
        <v>0</v>
      </c>
      <c r="N137" s="9">
        <f>IF(C137="","",IF('01_Input_Raw_Products'!F137&lt;&gt;"",'01_Input_Raw_Products'!F137,'01_Input_Raw_Products'!D137))</f>
        <v>0</v>
      </c>
      <c r="O137" s="9">
        <f>IF(C137="","","Catalog Automation")</f>
        <v>0</v>
      </c>
      <c r="P137" s="9">
        <f>'01_Input_Raw_Products'!U137</f>
        <v>0</v>
      </c>
      <c r="Q137" s="7">
        <f>IF('01_Input_Raw_Products'!O137&lt;&gt;"",'01_Input_Raw_Products'!O137,IF('01_Input_Raw_Products'!N137&lt;&gt;"",'01_Input_Raw_Products'!N137*1.1,""))</f>
        <v>0</v>
      </c>
      <c r="R137" s="9">
        <f>'01_Input_Raw_Products'!S137</f>
        <v>0</v>
      </c>
      <c r="S137" s="9" cm="1">
        <f t="array" ref="S137">IFERROR(_xlfn.XLOOKUP('01_Input_Raw_Products'!F137,'10_Master_Gem_Types'!A:A,'10_Master_Gem_Types'!H:H),"")</f>
        <v>0</v>
      </c>
      <c r="T137" s="8">
        <f>'01_Input_Raw_Products'!Q137</f>
        <v>0</v>
      </c>
      <c r="U137" s="8">
        <f>'01_Input_Raw_Products'!R137</f>
        <v>0</v>
      </c>
      <c r="V137" s="7">
        <f>I137</f>
        <v>0</v>
      </c>
      <c r="W137" s="9" cm="1">
        <f t="array" ref="W137">IF('01_Input_Raw_Products'!G137&lt;&gt;"",'01_Input_Raw_Products'!G137,IFERROR(_xlfn.XLOOKUP('01_Input_Raw_Products'!F137,'10_Master_Gem_Types'!A:A,'10_Master_Gem_Types'!L:L),""))</f>
        <v>0</v>
      </c>
      <c r="X137" s="9" cm="1">
        <f t="array" ref="X137">IFERROR(_xlfn.XLOOKUP('01_Input_Raw_Products'!F137,'10_Master_Gem_Types'!A:A,'10_Master_Gem_Types'!J:J),"")</f>
        <v>0</v>
      </c>
      <c r="Y137" s="9" cm="1">
        <f t="array" ref="Y137">IFERROR(_xlfn.XLOOKUP('01_Input_Raw_Products'!F137,'10_Master_Gem_Types'!A:A,'10_Master_Gem_Types'!I:I),"")</f>
        <v>0</v>
      </c>
      <c r="Z137" s="9" cm="1">
        <f t="array" ref="Z137">IFERROR(_xlfn.XLOOKUP('01_Input_Raw_Products'!L137,'13_Certification_Stickers'!A:A,'13_Certification_Stickers'!C:C),"")</f>
        <v>0</v>
      </c>
      <c r="AA137" s="9" cm="1">
        <f t="array" ref="AA137">IFERROR(_xlfn.XLOOKUP('01_Input_Raw_Products'!S137,'14_Shipping_Rules'!A:A,'14_Shipping_Rules'!B:B),"")</f>
        <v>0</v>
      </c>
      <c r="AB137" s="9" cm="1">
        <f t="array" ref="AB137">IFERROR(_xlfn.XLOOKUP('01_Input_Raw_Products'!D137,'16_Astro_Flags'!A:A,'16_Astro_Flags'!B:B),"")</f>
        <v>0</v>
      </c>
      <c r="AC137" s="9">
        <f>IF(C137="","","Catalog, Search")</f>
        <v>0</v>
      </c>
      <c r="AD137" s="9">
        <f>IF(C137="","",IF(OR(F137="",J137="",M137="",S137="",Y137=""),"Manual Review","Ready"))</f>
        <v>0</v>
      </c>
      <c r="AE137" s="9">
        <f>IF(C137="","",TEXTJOIN("; ",TRUE,IF(F137="","Missing url_key",""),IF(J137="","Missing classification",""),IF(M137="","Missing j_colour",""),IF(S137="","Missing hsn_code",""),IF(Y137="","Missing tax_class_id","")))</f>
        <v>0</v>
      </c>
    </row>
    <row r="138" spans="1:31">
      <c r="A138" s="9">
        <f>IF('01_Input_Raw_Products'!B138&lt;&gt;"",20,"")</f>
        <v>0</v>
      </c>
      <c r="B138" s="9" cm="1">
        <f t="array" ref="B138">IF('01_Input_Raw_Products'!M138&lt;&gt;"",'01_Input_Raw_Products'!M138,IFERROR(_xlfn.XLOOKUP('01_Input_Raw_Products'!F138,'10_Master_Gem_Types'!A:A,'10_Master_Gem_Types'!K:K),""))</f>
        <v>0</v>
      </c>
      <c r="C138" s="9">
        <f>'01_Input_Raw_Products'!B138</f>
        <v>0</v>
      </c>
      <c r="D138" s="9">
        <f>IF(C138="","",TEXT(I138,"0.00")&amp;" Ct "&amp;IF('01_Input_Raw_Products'!F138&lt;&gt;"",'01_Input_Raw_Products'!F138,'01_Input_Raw_Products'!D138)&amp;" "&amp;'01_Input_Raw_Products'!I138)</f>
        <v>0</v>
      </c>
      <c r="E138" s="9">
        <f>IF(C138="","",D138&amp;" | GemPundit")</f>
        <v>0</v>
      </c>
      <c r="F138" s="9" cm="1">
        <f t="array" ref="F138">IF('01_Input_Raw_Products'!X138&lt;&gt;"",'01_Input_Raw_Products'!X138,IFERROR(_xlfn.XLOOKUP('01_Input_Raw_Products'!F138,'10_Master_Gem_Types'!A:A,'10_Master_Gem_Types'!O:O),LOWER(SUBSTITUTE(IF('01_Input_Raw_Products'!F138&lt;&gt;"",'01_Input_Raw_Products'!F138,'01_Input_Raw_Products'!D138)," ","-"))))</f>
        <v>0</v>
      </c>
      <c r="G138" s="9">
        <f>'01_Input_Raw_Products'!C138</f>
        <v>0</v>
      </c>
      <c r="H138" s="9" cm="1">
        <f t="array" ref="H138">IF('01_Input_Raw_Products'!H138&lt;&gt;"",'01_Input_Raw_Products'!H138,IFERROR(_xlfn.XLOOKUP('01_Input_Raw_Products'!F138,'10_Master_Gem_Types'!A:A,'10_Master_Gem_Types'!D:D),""))</f>
        <v>0</v>
      </c>
      <c r="I138" s="7">
        <f>IF('01_Input_Raw_Products'!N138&lt;&gt;"",'01_Input_Raw_Products'!N138,IF('01_Input_Raw_Products'!O138&lt;&gt;"",'01_Input_Raw_Products'!O138*0.91,""))</f>
        <v>0</v>
      </c>
      <c r="J138" s="9" cm="1">
        <f t="array" ref="J138">IFERROR(_xlfn.XLOOKUP('01_Input_Raw_Products'!F138,'10_Master_Gem_Types'!A:A,'10_Master_Gem_Types'!N:N),"")</f>
        <v>0</v>
      </c>
      <c r="K138" s="9" cm="1">
        <f t="array" ref="K138">IF('01_Input_Raw_Products'!J138&lt;&gt;"",'01_Input_Raw_Products'!J138,IFERROR(_xlfn.XLOOKUP('01_Input_Raw_Products'!F138,'10_Master_Gem_Types'!A:A,'10_Master_Gem_Types'!E:E),""))</f>
        <v>0</v>
      </c>
      <c r="L138" s="9">
        <f>'01_Input_Raw_Products'!P138</f>
        <v>0</v>
      </c>
      <c r="M138" s="9" cm="1">
        <f t="array" ref="M138">IFERROR(_xlfn.XLOOKUP('01_Input_Raw_Products'!K138,'12_Color_Mapping'!A:A,'12_Color_Mapping'!B:B),IFERROR(_xlfn.XLOOKUP('01_Input_Raw_Products'!F138,'10_Master_Gem_Types'!A:A,'10_Master_Gem_Types'!F:F),""))</f>
        <v>0</v>
      </c>
      <c r="N138" s="9">
        <f>IF(C138="","",IF('01_Input_Raw_Products'!F138&lt;&gt;"",'01_Input_Raw_Products'!F138,'01_Input_Raw_Products'!D138))</f>
        <v>0</v>
      </c>
      <c r="O138" s="9">
        <f>IF(C138="","","Catalog Automation")</f>
        <v>0</v>
      </c>
      <c r="P138" s="9">
        <f>'01_Input_Raw_Products'!U138</f>
        <v>0</v>
      </c>
      <c r="Q138" s="7">
        <f>IF('01_Input_Raw_Products'!O138&lt;&gt;"",'01_Input_Raw_Products'!O138,IF('01_Input_Raw_Products'!N138&lt;&gt;"",'01_Input_Raw_Products'!N138*1.1,""))</f>
        <v>0</v>
      </c>
      <c r="R138" s="9">
        <f>'01_Input_Raw_Products'!S138</f>
        <v>0</v>
      </c>
      <c r="S138" s="9" cm="1">
        <f t="array" ref="S138">IFERROR(_xlfn.XLOOKUP('01_Input_Raw_Products'!F138,'10_Master_Gem_Types'!A:A,'10_Master_Gem_Types'!H:H),"")</f>
        <v>0</v>
      </c>
      <c r="T138" s="8">
        <f>'01_Input_Raw_Products'!Q138</f>
        <v>0</v>
      </c>
      <c r="U138" s="8">
        <f>'01_Input_Raw_Products'!R138</f>
        <v>0</v>
      </c>
      <c r="V138" s="7">
        <f>I138</f>
        <v>0</v>
      </c>
      <c r="W138" s="9" cm="1">
        <f t="array" ref="W138">IF('01_Input_Raw_Products'!G138&lt;&gt;"",'01_Input_Raw_Products'!G138,IFERROR(_xlfn.XLOOKUP('01_Input_Raw_Products'!F138,'10_Master_Gem_Types'!A:A,'10_Master_Gem_Types'!L:L),""))</f>
        <v>0</v>
      </c>
      <c r="X138" s="9" cm="1">
        <f t="array" ref="X138">IFERROR(_xlfn.XLOOKUP('01_Input_Raw_Products'!F138,'10_Master_Gem_Types'!A:A,'10_Master_Gem_Types'!J:J),"")</f>
        <v>0</v>
      </c>
      <c r="Y138" s="9" cm="1">
        <f t="array" ref="Y138">IFERROR(_xlfn.XLOOKUP('01_Input_Raw_Products'!F138,'10_Master_Gem_Types'!A:A,'10_Master_Gem_Types'!I:I),"")</f>
        <v>0</v>
      </c>
      <c r="Z138" s="9" cm="1">
        <f t="array" ref="Z138">IFERROR(_xlfn.XLOOKUP('01_Input_Raw_Products'!L138,'13_Certification_Stickers'!A:A,'13_Certification_Stickers'!C:C),"")</f>
        <v>0</v>
      </c>
      <c r="AA138" s="9" cm="1">
        <f t="array" ref="AA138">IFERROR(_xlfn.XLOOKUP('01_Input_Raw_Products'!S138,'14_Shipping_Rules'!A:A,'14_Shipping_Rules'!B:B),"")</f>
        <v>0</v>
      </c>
      <c r="AB138" s="9" cm="1">
        <f t="array" ref="AB138">IFERROR(_xlfn.XLOOKUP('01_Input_Raw_Products'!D138,'16_Astro_Flags'!A:A,'16_Astro_Flags'!B:B),"")</f>
        <v>0</v>
      </c>
      <c r="AC138" s="9">
        <f>IF(C138="","","Catalog, Search")</f>
        <v>0</v>
      </c>
      <c r="AD138" s="9">
        <f>IF(C138="","",IF(OR(F138="",J138="",M138="",S138="",Y138=""),"Manual Review","Ready"))</f>
        <v>0</v>
      </c>
      <c r="AE138" s="9">
        <f>IF(C138="","",TEXTJOIN("; ",TRUE,IF(F138="","Missing url_key",""),IF(J138="","Missing classification",""),IF(M138="","Missing j_colour",""),IF(S138="","Missing hsn_code",""),IF(Y138="","Missing tax_class_id","")))</f>
        <v>0</v>
      </c>
    </row>
    <row r="139" spans="1:31">
      <c r="A139" s="9">
        <f>IF('01_Input_Raw_Products'!B139&lt;&gt;"",20,"")</f>
        <v>0</v>
      </c>
      <c r="B139" s="9" cm="1">
        <f t="array" ref="B139">IF('01_Input_Raw_Products'!M139&lt;&gt;"",'01_Input_Raw_Products'!M139,IFERROR(_xlfn.XLOOKUP('01_Input_Raw_Products'!F139,'10_Master_Gem_Types'!A:A,'10_Master_Gem_Types'!K:K),""))</f>
        <v>0</v>
      </c>
      <c r="C139" s="9">
        <f>'01_Input_Raw_Products'!B139</f>
        <v>0</v>
      </c>
      <c r="D139" s="9">
        <f>IF(C139="","",TEXT(I139,"0.00")&amp;" Ct "&amp;IF('01_Input_Raw_Products'!F139&lt;&gt;"",'01_Input_Raw_Products'!F139,'01_Input_Raw_Products'!D139)&amp;" "&amp;'01_Input_Raw_Products'!I139)</f>
        <v>0</v>
      </c>
      <c r="E139" s="9">
        <f>IF(C139="","",D139&amp;" | GemPundit")</f>
        <v>0</v>
      </c>
      <c r="F139" s="9" cm="1">
        <f t="array" ref="F139">IF('01_Input_Raw_Products'!X139&lt;&gt;"",'01_Input_Raw_Products'!X139,IFERROR(_xlfn.XLOOKUP('01_Input_Raw_Products'!F139,'10_Master_Gem_Types'!A:A,'10_Master_Gem_Types'!O:O),LOWER(SUBSTITUTE(IF('01_Input_Raw_Products'!F139&lt;&gt;"",'01_Input_Raw_Products'!F139,'01_Input_Raw_Products'!D139)," ","-"))))</f>
        <v>0</v>
      </c>
      <c r="G139" s="9">
        <f>'01_Input_Raw_Products'!C139</f>
        <v>0</v>
      </c>
      <c r="H139" s="9" cm="1">
        <f t="array" ref="H139">IF('01_Input_Raw_Products'!H139&lt;&gt;"",'01_Input_Raw_Products'!H139,IFERROR(_xlfn.XLOOKUP('01_Input_Raw_Products'!F139,'10_Master_Gem_Types'!A:A,'10_Master_Gem_Types'!D:D),""))</f>
        <v>0</v>
      </c>
      <c r="I139" s="7">
        <f>IF('01_Input_Raw_Products'!N139&lt;&gt;"",'01_Input_Raw_Products'!N139,IF('01_Input_Raw_Products'!O139&lt;&gt;"",'01_Input_Raw_Products'!O139*0.91,""))</f>
        <v>0</v>
      </c>
      <c r="J139" s="9" cm="1">
        <f t="array" ref="J139">IFERROR(_xlfn.XLOOKUP('01_Input_Raw_Products'!F139,'10_Master_Gem_Types'!A:A,'10_Master_Gem_Types'!N:N),"")</f>
        <v>0</v>
      </c>
      <c r="K139" s="9" cm="1">
        <f t="array" ref="K139">IF('01_Input_Raw_Products'!J139&lt;&gt;"",'01_Input_Raw_Products'!J139,IFERROR(_xlfn.XLOOKUP('01_Input_Raw_Products'!F139,'10_Master_Gem_Types'!A:A,'10_Master_Gem_Types'!E:E),""))</f>
        <v>0</v>
      </c>
      <c r="L139" s="9">
        <f>'01_Input_Raw_Products'!P139</f>
        <v>0</v>
      </c>
      <c r="M139" s="9" cm="1">
        <f t="array" ref="M139">IFERROR(_xlfn.XLOOKUP('01_Input_Raw_Products'!K139,'12_Color_Mapping'!A:A,'12_Color_Mapping'!B:B),IFERROR(_xlfn.XLOOKUP('01_Input_Raw_Products'!F139,'10_Master_Gem_Types'!A:A,'10_Master_Gem_Types'!F:F),""))</f>
        <v>0</v>
      </c>
      <c r="N139" s="9">
        <f>IF(C139="","",IF('01_Input_Raw_Products'!F139&lt;&gt;"",'01_Input_Raw_Products'!F139,'01_Input_Raw_Products'!D139))</f>
        <v>0</v>
      </c>
      <c r="O139" s="9">
        <f>IF(C139="","","Catalog Automation")</f>
        <v>0</v>
      </c>
      <c r="P139" s="9">
        <f>'01_Input_Raw_Products'!U139</f>
        <v>0</v>
      </c>
      <c r="Q139" s="7">
        <f>IF('01_Input_Raw_Products'!O139&lt;&gt;"",'01_Input_Raw_Products'!O139,IF('01_Input_Raw_Products'!N139&lt;&gt;"",'01_Input_Raw_Products'!N139*1.1,""))</f>
        <v>0</v>
      </c>
      <c r="R139" s="9">
        <f>'01_Input_Raw_Products'!S139</f>
        <v>0</v>
      </c>
      <c r="S139" s="9" cm="1">
        <f t="array" ref="S139">IFERROR(_xlfn.XLOOKUP('01_Input_Raw_Products'!F139,'10_Master_Gem_Types'!A:A,'10_Master_Gem_Types'!H:H),"")</f>
        <v>0</v>
      </c>
      <c r="T139" s="8">
        <f>'01_Input_Raw_Products'!Q139</f>
        <v>0</v>
      </c>
      <c r="U139" s="8">
        <f>'01_Input_Raw_Products'!R139</f>
        <v>0</v>
      </c>
      <c r="V139" s="7">
        <f>I139</f>
        <v>0</v>
      </c>
      <c r="W139" s="9" cm="1">
        <f t="array" ref="W139">IF('01_Input_Raw_Products'!G139&lt;&gt;"",'01_Input_Raw_Products'!G139,IFERROR(_xlfn.XLOOKUP('01_Input_Raw_Products'!F139,'10_Master_Gem_Types'!A:A,'10_Master_Gem_Types'!L:L),""))</f>
        <v>0</v>
      </c>
      <c r="X139" s="9" cm="1">
        <f t="array" ref="X139">IFERROR(_xlfn.XLOOKUP('01_Input_Raw_Products'!F139,'10_Master_Gem_Types'!A:A,'10_Master_Gem_Types'!J:J),"")</f>
        <v>0</v>
      </c>
      <c r="Y139" s="9" cm="1">
        <f t="array" ref="Y139">IFERROR(_xlfn.XLOOKUP('01_Input_Raw_Products'!F139,'10_Master_Gem_Types'!A:A,'10_Master_Gem_Types'!I:I),"")</f>
        <v>0</v>
      </c>
      <c r="Z139" s="9" cm="1">
        <f t="array" ref="Z139">IFERROR(_xlfn.XLOOKUP('01_Input_Raw_Products'!L139,'13_Certification_Stickers'!A:A,'13_Certification_Stickers'!C:C),"")</f>
        <v>0</v>
      </c>
      <c r="AA139" s="9" cm="1">
        <f t="array" ref="AA139">IFERROR(_xlfn.XLOOKUP('01_Input_Raw_Products'!S139,'14_Shipping_Rules'!A:A,'14_Shipping_Rules'!B:B),"")</f>
        <v>0</v>
      </c>
      <c r="AB139" s="9" cm="1">
        <f t="array" ref="AB139">IFERROR(_xlfn.XLOOKUP('01_Input_Raw_Products'!D139,'16_Astro_Flags'!A:A,'16_Astro_Flags'!B:B),"")</f>
        <v>0</v>
      </c>
      <c r="AC139" s="9">
        <f>IF(C139="","","Catalog, Search")</f>
        <v>0</v>
      </c>
      <c r="AD139" s="9">
        <f>IF(C139="","",IF(OR(F139="",J139="",M139="",S139="",Y139=""),"Manual Review","Ready"))</f>
        <v>0</v>
      </c>
      <c r="AE139" s="9">
        <f>IF(C139="","",TEXTJOIN("; ",TRUE,IF(F139="","Missing url_key",""),IF(J139="","Missing classification",""),IF(M139="","Missing j_colour",""),IF(S139="","Missing hsn_code",""),IF(Y139="","Missing tax_class_id","")))</f>
        <v>0</v>
      </c>
    </row>
    <row r="140" spans="1:31">
      <c r="A140" s="9">
        <f>IF('01_Input_Raw_Products'!B140&lt;&gt;"",20,"")</f>
        <v>0</v>
      </c>
      <c r="B140" s="9" cm="1">
        <f t="array" ref="B140">IF('01_Input_Raw_Products'!M140&lt;&gt;"",'01_Input_Raw_Products'!M140,IFERROR(_xlfn.XLOOKUP('01_Input_Raw_Products'!F140,'10_Master_Gem_Types'!A:A,'10_Master_Gem_Types'!K:K),""))</f>
        <v>0</v>
      </c>
      <c r="C140" s="9">
        <f>'01_Input_Raw_Products'!B140</f>
        <v>0</v>
      </c>
      <c r="D140" s="9">
        <f>IF(C140="","",TEXT(I140,"0.00")&amp;" Ct "&amp;IF('01_Input_Raw_Products'!F140&lt;&gt;"",'01_Input_Raw_Products'!F140,'01_Input_Raw_Products'!D140)&amp;" "&amp;'01_Input_Raw_Products'!I140)</f>
        <v>0</v>
      </c>
      <c r="E140" s="9">
        <f>IF(C140="","",D140&amp;" | GemPundit")</f>
        <v>0</v>
      </c>
      <c r="F140" s="9" cm="1">
        <f t="array" ref="F140">IF('01_Input_Raw_Products'!X140&lt;&gt;"",'01_Input_Raw_Products'!X140,IFERROR(_xlfn.XLOOKUP('01_Input_Raw_Products'!F140,'10_Master_Gem_Types'!A:A,'10_Master_Gem_Types'!O:O),LOWER(SUBSTITUTE(IF('01_Input_Raw_Products'!F140&lt;&gt;"",'01_Input_Raw_Products'!F140,'01_Input_Raw_Products'!D140)," ","-"))))</f>
        <v>0</v>
      </c>
      <c r="G140" s="9">
        <f>'01_Input_Raw_Products'!C140</f>
        <v>0</v>
      </c>
      <c r="H140" s="9" cm="1">
        <f t="array" ref="H140">IF('01_Input_Raw_Products'!H140&lt;&gt;"",'01_Input_Raw_Products'!H140,IFERROR(_xlfn.XLOOKUP('01_Input_Raw_Products'!F140,'10_Master_Gem_Types'!A:A,'10_Master_Gem_Types'!D:D),""))</f>
        <v>0</v>
      </c>
      <c r="I140" s="7">
        <f>IF('01_Input_Raw_Products'!N140&lt;&gt;"",'01_Input_Raw_Products'!N140,IF('01_Input_Raw_Products'!O140&lt;&gt;"",'01_Input_Raw_Products'!O140*0.91,""))</f>
        <v>0</v>
      </c>
      <c r="J140" s="9" cm="1">
        <f t="array" ref="J140">IFERROR(_xlfn.XLOOKUP('01_Input_Raw_Products'!F140,'10_Master_Gem_Types'!A:A,'10_Master_Gem_Types'!N:N),"")</f>
        <v>0</v>
      </c>
      <c r="K140" s="9" cm="1">
        <f t="array" ref="K140">IF('01_Input_Raw_Products'!J140&lt;&gt;"",'01_Input_Raw_Products'!J140,IFERROR(_xlfn.XLOOKUP('01_Input_Raw_Products'!F140,'10_Master_Gem_Types'!A:A,'10_Master_Gem_Types'!E:E),""))</f>
        <v>0</v>
      </c>
      <c r="L140" s="9">
        <f>'01_Input_Raw_Products'!P140</f>
        <v>0</v>
      </c>
      <c r="M140" s="9" cm="1">
        <f t="array" ref="M140">IFERROR(_xlfn.XLOOKUP('01_Input_Raw_Products'!K140,'12_Color_Mapping'!A:A,'12_Color_Mapping'!B:B),IFERROR(_xlfn.XLOOKUP('01_Input_Raw_Products'!F140,'10_Master_Gem_Types'!A:A,'10_Master_Gem_Types'!F:F),""))</f>
        <v>0</v>
      </c>
      <c r="N140" s="9">
        <f>IF(C140="","",IF('01_Input_Raw_Products'!F140&lt;&gt;"",'01_Input_Raw_Products'!F140,'01_Input_Raw_Products'!D140))</f>
        <v>0</v>
      </c>
      <c r="O140" s="9">
        <f>IF(C140="","","Catalog Automation")</f>
        <v>0</v>
      </c>
      <c r="P140" s="9">
        <f>'01_Input_Raw_Products'!U140</f>
        <v>0</v>
      </c>
      <c r="Q140" s="7">
        <f>IF('01_Input_Raw_Products'!O140&lt;&gt;"",'01_Input_Raw_Products'!O140,IF('01_Input_Raw_Products'!N140&lt;&gt;"",'01_Input_Raw_Products'!N140*1.1,""))</f>
        <v>0</v>
      </c>
      <c r="R140" s="9">
        <f>'01_Input_Raw_Products'!S140</f>
        <v>0</v>
      </c>
      <c r="S140" s="9" cm="1">
        <f t="array" ref="S140">IFERROR(_xlfn.XLOOKUP('01_Input_Raw_Products'!F140,'10_Master_Gem_Types'!A:A,'10_Master_Gem_Types'!H:H),"")</f>
        <v>0</v>
      </c>
      <c r="T140" s="8">
        <f>'01_Input_Raw_Products'!Q140</f>
        <v>0</v>
      </c>
      <c r="U140" s="8">
        <f>'01_Input_Raw_Products'!R140</f>
        <v>0</v>
      </c>
      <c r="V140" s="7">
        <f>I140</f>
        <v>0</v>
      </c>
      <c r="W140" s="9" cm="1">
        <f t="array" ref="W140">IF('01_Input_Raw_Products'!G140&lt;&gt;"",'01_Input_Raw_Products'!G140,IFERROR(_xlfn.XLOOKUP('01_Input_Raw_Products'!F140,'10_Master_Gem_Types'!A:A,'10_Master_Gem_Types'!L:L),""))</f>
        <v>0</v>
      </c>
      <c r="X140" s="9" cm="1">
        <f t="array" ref="X140">IFERROR(_xlfn.XLOOKUP('01_Input_Raw_Products'!F140,'10_Master_Gem_Types'!A:A,'10_Master_Gem_Types'!J:J),"")</f>
        <v>0</v>
      </c>
      <c r="Y140" s="9" cm="1">
        <f t="array" ref="Y140">IFERROR(_xlfn.XLOOKUP('01_Input_Raw_Products'!F140,'10_Master_Gem_Types'!A:A,'10_Master_Gem_Types'!I:I),"")</f>
        <v>0</v>
      </c>
      <c r="Z140" s="9" cm="1">
        <f t="array" ref="Z140">IFERROR(_xlfn.XLOOKUP('01_Input_Raw_Products'!L140,'13_Certification_Stickers'!A:A,'13_Certification_Stickers'!C:C),"")</f>
        <v>0</v>
      </c>
      <c r="AA140" s="9" cm="1">
        <f t="array" ref="AA140">IFERROR(_xlfn.XLOOKUP('01_Input_Raw_Products'!S140,'14_Shipping_Rules'!A:A,'14_Shipping_Rules'!B:B),"")</f>
        <v>0</v>
      </c>
      <c r="AB140" s="9" cm="1">
        <f t="array" ref="AB140">IFERROR(_xlfn.XLOOKUP('01_Input_Raw_Products'!D140,'16_Astro_Flags'!A:A,'16_Astro_Flags'!B:B),"")</f>
        <v>0</v>
      </c>
      <c r="AC140" s="9">
        <f>IF(C140="","","Catalog, Search")</f>
        <v>0</v>
      </c>
      <c r="AD140" s="9">
        <f>IF(C140="","",IF(OR(F140="",J140="",M140="",S140="",Y140=""),"Manual Review","Ready"))</f>
        <v>0</v>
      </c>
      <c r="AE140" s="9">
        <f>IF(C140="","",TEXTJOIN("; ",TRUE,IF(F140="","Missing url_key",""),IF(J140="","Missing classification",""),IF(M140="","Missing j_colour",""),IF(S140="","Missing hsn_code",""),IF(Y140="","Missing tax_class_id","")))</f>
        <v>0</v>
      </c>
    </row>
    <row r="141" spans="1:31">
      <c r="A141" s="9">
        <f>IF('01_Input_Raw_Products'!B141&lt;&gt;"",20,"")</f>
        <v>0</v>
      </c>
      <c r="B141" s="9" cm="1">
        <f t="array" ref="B141">IF('01_Input_Raw_Products'!M141&lt;&gt;"",'01_Input_Raw_Products'!M141,IFERROR(_xlfn.XLOOKUP('01_Input_Raw_Products'!F141,'10_Master_Gem_Types'!A:A,'10_Master_Gem_Types'!K:K),""))</f>
        <v>0</v>
      </c>
      <c r="C141" s="9">
        <f>'01_Input_Raw_Products'!B141</f>
        <v>0</v>
      </c>
      <c r="D141" s="9">
        <f>IF(C141="","",TEXT(I141,"0.00")&amp;" Ct "&amp;IF('01_Input_Raw_Products'!F141&lt;&gt;"",'01_Input_Raw_Products'!F141,'01_Input_Raw_Products'!D141)&amp;" "&amp;'01_Input_Raw_Products'!I141)</f>
        <v>0</v>
      </c>
      <c r="E141" s="9">
        <f>IF(C141="","",D141&amp;" | GemPundit")</f>
        <v>0</v>
      </c>
      <c r="F141" s="9" cm="1">
        <f t="array" ref="F141">IF('01_Input_Raw_Products'!X141&lt;&gt;"",'01_Input_Raw_Products'!X141,IFERROR(_xlfn.XLOOKUP('01_Input_Raw_Products'!F141,'10_Master_Gem_Types'!A:A,'10_Master_Gem_Types'!O:O),LOWER(SUBSTITUTE(IF('01_Input_Raw_Products'!F141&lt;&gt;"",'01_Input_Raw_Products'!F141,'01_Input_Raw_Products'!D141)," ","-"))))</f>
        <v>0</v>
      </c>
      <c r="G141" s="9">
        <f>'01_Input_Raw_Products'!C141</f>
        <v>0</v>
      </c>
      <c r="H141" s="9" cm="1">
        <f t="array" ref="H141">IF('01_Input_Raw_Products'!H141&lt;&gt;"",'01_Input_Raw_Products'!H141,IFERROR(_xlfn.XLOOKUP('01_Input_Raw_Products'!F141,'10_Master_Gem_Types'!A:A,'10_Master_Gem_Types'!D:D),""))</f>
        <v>0</v>
      </c>
      <c r="I141" s="7">
        <f>IF('01_Input_Raw_Products'!N141&lt;&gt;"",'01_Input_Raw_Products'!N141,IF('01_Input_Raw_Products'!O141&lt;&gt;"",'01_Input_Raw_Products'!O141*0.91,""))</f>
        <v>0</v>
      </c>
      <c r="J141" s="9" cm="1">
        <f t="array" ref="J141">IFERROR(_xlfn.XLOOKUP('01_Input_Raw_Products'!F141,'10_Master_Gem_Types'!A:A,'10_Master_Gem_Types'!N:N),"")</f>
        <v>0</v>
      </c>
      <c r="K141" s="9" cm="1">
        <f t="array" ref="K141">IF('01_Input_Raw_Products'!J141&lt;&gt;"",'01_Input_Raw_Products'!J141,IFERROR(_xlfn.XLOOKUP('01_Input_Raw_Products'!F141,'10_Master_Gem_Types'!A:A,'10_Master_Gem_Types'!E:E),""))</f>
        <v>0</v>
      </c>
      <c r="L141" s="9">
        <f>'01_Input_Raw_Products'!P141</f>
        <v>0</v>
      </c>
      <c r="M141" s="9" cm="1">
        <f t="array" ref="M141">IFERROR(_xlfn.XLOOKUP('01_Input_Raw_Products'!K141,'12_Color_Mapping'!A:A,'12_Color_Mapping'!B:B),IFERROR(_xlfn.XLOOKUP('01_Input_Raw_Products'!F141,'10_Master_Gem_Types'!A:A,'10_Master_Gem_Types'!F:F),""))</f>
        <v>0</v>
      </c>
      <c r="N141" s="9">
        <f>IF(C141="","",IF('01_Input_Raw_Products'!F141&lt;&gt;"",'01_Input_Raw_Products'!F141,'01_Input_Raw_Products'!D141))</f>
        <v>0</v>
      </c>
      <c r="O141" s="9">
        <f>IF(C141="","","Catalog Automation")</f>
        <v>0</v>
      </c>
      <c r="P141" s="9">
        <f>'01_Input_Raw_Products'!U141</f>
        <v>0</v>
      </c>
      <c r="Q141" s="7">
        <f>IF('01_Input_Raw_Products'!O141&lt;&gt;"",'01_Input_Raw_Products'!O141,IF('01_Input_Raw_Products'!N141&lt;&gt;"",'01_Input_Raw_Products'!N141*1.1,""))</f>
        <v>0</v>
      </c>
      <c r="R141" s="9">
        <f>'01_Input_Raw_Products'!S141</f>
        <v>0</v>
      </c>
      <c r="S141" s="9" cm="1">
        <f t="array" ref="S141">IFERROR(_xlfn.XLOOKUP('01_Input_Raw_Products'!F141,'10_Master_Gem_Types'!A:A,'10_Master_Gem_Types'!H:H),"")</f>
        <v>0</v>
      </c>
      <c r="T141" s="8">
        <f>'01_Input_Raw_Products'!Q141</f>
        <v>0</v>
      </c>
      <c r="U141" s="8">
        <f>'01_Input_Raw_Products'!R141</f>
        <v>0</v>
      </c>
      <c r="V141" s="7">
        <f>I141</f>
        <v>0</v>
      </c>
      <c r="W141" s="9" cm="1">
        <f t="array" ref="W141">IF('01_Input_Raw_Products'!G141&lt;&gt;"",'01_Input_Raw_Products'!G141,IFERROR(_xlfn.XLOOKUP('01_Input_Raw_Products'!F141,'10_Master_Gem_Types'!A:A,'10_Master_Gem_Types'!L:L),""))</f>
        <v>0</v>
      </c>
      <c r="X141" s="9" cm="1">
        <f t="array" ref="X141">IFERROR(_xlfn.XLOOKUP('01_Input_Raw_Products'!F141,'10_Master_Gem_Types'!A:A,'10_Master_Gem_Types'!J:J),"")</f>
        <v>0</v>
      </c>
      <c r="Y141" s="9" cm="1">
        <f t="array" ref="Y141">IFERROR(_xlfn.XLOOKUP('01_Input_Raw_Products'!F141,'10_Master_Gem_Types'!A:A,'10_Master_Gem_Types'!I:I),"")</f>
        <v>0</v>
      </c>
      <c r="Z141" s="9" cm="1">
        <f t="array" ref="Z141">IFERROR(_xlfn.XLOOKUP('01_Input_Raw_Products'!L141,'13_Certification_Stickers'!A:A,'13_Certification_Stickers'!C:C),"")</f>
        <v>0</v>
      </c>
      <c r="AA141" s="9" cm="1">
        <f t="array" ref="AA141">IFERROR(_xlfn.XLOOKUP('01_Input_Raw_Products'!S141,'14_Shipping_Rules'!A:A,'14_Shipping_Rules'!B:B),"")</f>
        <v>0</v>
      </c>
      <c r="AB141" s="9" cm="1">
        <f t="array" ref="AB141">IFERROR(_xlfn.XLOOKUP('01_Input_Raw_Products'!D141,'16_Astro_Flags'!A:A,'16_Astro_Flags'!B:B),"")</f>
        <v>0</v>
      </c>
      <c r="AC141" s="9">
        <f>IF(C141="","","Catalog, Search")</f>
        <v>0</v>
      </c>
      <c r="AD141" s="9">
        <f>IF(C141="","",IF(OR(F141="",J141="",M141="",S141="",Y141=""),"Manual Review","Ready"))</f>
        <v>0</v>
      </c>
      <c r="AE141" s="9">
        <f>IF(C141="","",TEXTJOIN("; ",TRUE,IF(F141="","Missing url_key",""),IF(J141="","Missing classification",""),IF(M141="","Missing j_colour",""),IF(S141="","Missing hsn_code",""),IF(Y141="","Missing tax_class_id","")))</f>
        <v>0</v>
      </c>
    </row>
    <row r="142" spans="1:31">
      <c r="A142" s="9">
        <f>IF('01_Input_Raw_Products'!B142&lt;&gt;"",20,"")</f>
        <v>0</v>
      </c>
      <c r="B142" s="9" cm="1">
        <f t="array" ref="B142">IF('01_Input_Raw_Products'!M142&lt;&gt;"",'01_Input_Raw_Products'!M142,IFERROR(_xlfn.XLOOKUP('01_Input_Raw_Products'!F142,'10_Master_Gem_Types'!A:A,'10_Master_Gem_Types'!K:K),""))</f>
        <v>0</v>
      </c>
      <c r="C142" s="9">
        <f>'01_Input_Raw_Products'!B142</f>
        <v>0</v>
      </c>
      <c r="D142" s="9">
        <f>IF(C142="","",TEXT(I142,"0.00")&amp;" Ct "&amp;IF('01_Input_Raw_Products'!F142&lt;&gt;"",'01_Input_Raw_Products'!F142,'01_Input_Raw_Products'!D142)&amp;" "&amp;'01_Input_Raw_Products'!I142)</f>
        <v>0</v>
      </c>
      <c r="E142" s="9">
        <f>IF(C142="","",D142&amp;" | GemPundit")</f>
        <v>0</v>
      </c>
      <c r="F142" s="9" cm="1">
        <f t="array" ref="F142">IF('01_Input_Raw_Products'!X142&lt;&gt;"",'01_Input_Raw_Products'!X142,IFERROR(_xlfn.XLOOKUP('01_Input_Raw_Products'!F142,'10_Master_Gem_Types'!A:A,'10_Master_Gem_Types'!O:O),LOWER(SUBSTITUTE(IF('01_Input_Raw_Products'!F142&lt;&gt;"",'01_Input_Raw_Products'!F142,'01_Input_Raw_Products'!D142)," ","-"))))</f>
        <v>0</v>
      </c>
      <c r="G142" s="9">
        <f>'01_Input_Raw_Products'!C142</f>
        <v>0</v>
      </c>
      <c r="H142" s="9" cm="1">
        <f t="array" ref="H142">IF('01_Input_Raw_Products'!H142&lt;&gt;"",'01_Input_Raw_Products'!H142,IFERROR(_xlfn.XLOOKUP('01_Input_Raw_Products'!F142,'10_Master_Gem_Types'!A:A,'10_Master_Gem_Types'!D:D),""))</f>
        <v>0</v>
      </c>
      <c r="I142" s="7">
        <f>IF('01_Input_Raw_Products'!N142&lt;&gt;"",'01_Input_Raw_Products'!N142,IF('01_Input_Raw_Products'!O142&lt;&gt;"",'01_Input_Raw_Products'!O142*0.91,""))</f>
        <v>0</v>
      </c>
      <c r="J142" s="9" cm="1">
        <f t="array" ref="J142">IFERROR(_xlfn.XLOOKUP('01_Input_Raw_Products'!F142,'10_Master_Gem_Types'!A:A,'10_Master_Gem_Types'!N:N),"")</f>
        <v>0</v>
      </c>
      <c r="K142" s="9" cm="1">
        <f t="array" ref="K142">IF('01_Input_Raw_Products'!J142&lt;&gt;"",'01_Input_Raw_Products'!J142,IFERROR(_xlfn.XLOOKUP('01_Input_Raw_Products'!F142,'10_Master_Gem_Types'!A:A,'10_Master_Gem_Types'!E:E),""))</f>
        <v>0</v>
      </c>
      <c r="L142" s="9">
        <f>'01_Input_Raw_Products'!P142</f>
        <v>0</v>
      </c>
      <c r="M142" s="9" cm="1">
        <f t="array" ref="M142">IFERROR(_xlfn.XLOOKUP('01_Input_Raw_Products'!K142,'12_Color_Mapping'!A:A,'12_Color_Mapping'!B:B),IFERROR(_xlfn.XLOOKUP('01_Input_Raw_Products'!F142,'10_Master_Gem_Types'!A:A,'10_Master_Gem_Types'!F:F),""))</f>
        <v>0</v>
      </c>
      <c r="N142" s="9">
        <f>IF(C142="","",IF('01_Input_Raw_Products'!F142&lt;&gt;"",'01_Input_Raw_Products'!F142,'01_Input_Raw_Products'!D142))</f>
        <v>0</v>
      </c>
      <c r="O142" s="9">
        <f>IF(C142="","","Catalog Automation")</f>
        <v>0</v>
      </c>
      <c r="P142" s="9">
        <f>'01_Input_Raw_Products'!U142</f>
        <v>0</v>
      </c>
      <c r="Q142" s="7">
        <f>IF('01_Input_Raw_Products'!O142&lt;&gt;"",'01_Input_Raw_Products'!O142,IF('01_Input_Raw_Products'!N142&lt;&gt;"",'01_Input_Raw_Products'!N142*1.1,""))</f>
        <v>0</v>
      </c>
      <c r="R142" s="9">
        <f>'01_Input_Raw_Products'!S142</f>
        <v>0</v>
      </c>
      <c r="S142" s="9" cm="1">
        <f t="array" ref="S142">IFERROR(_xlfn.XLOOKUP('01_Input_Raw_Products'!F142,'10_Master_Gem_Types'!A:A,'10_Master_Gem_Types'!H:H),"")</f>
        <v>0</v>
      </c>
      <c r="T142" s="8">
        <f>'01_Input_Raw_Products'!Q142</f>
        <v>0</v>
      </c>
      <c r="U142" s="8">
        <f>'01_Input_Raw_Products'!R142</f>
        <v>0</v>
      </c>
      <c r="V142" s="7">
        <f>I142</f>
        <v>0</v>
      </c>
      <c r="W142" s="9" cm="1">
        <f t="array" ref="W142">IF('01_Input_Raw_Products'!G142&lt;&gt;"",'01_Input_Raw_Products'!G142,IFERROR(_xlfn.XLOOKUP('01_Input_Raw_Products'!F142,'10_Master_Gem_Types'!A:A,'10_Master_Gem_Types'!L:L),""))</f>
        <v>0</v>
      </c>
      <c r="X142" s="9" cm="1">
        <f t="array" ref="X142">IFERROR(_xlfn.XLOOKUP('01_Input_Raw_Products'!F142,'10_Master_Gem_Types'!A:A,'10_Master_Gem_Types'!J:J),"")</f>
        <v>0</v>
      </c>
      <c r="Y142" s="9" cm="1">
        <f t="array" ref="Y142">IFERROR(_xlfn.XLOOKUP('01_Input_Raw_Products'!F142,'10_Master_Gem_Types'!A:A,'10_Master_Gem_Types'!I:I),"")</f>
        <v>0</v>
      </c>
      <c r="Z142" s="9" cm="1">
        <f t="array" ref="Z142">IFERROR(_xlfn.XLOOKUP('01_Input_Raw_Products'!L142,'13_Certification_Stickers'!A:A,'13_Certification_Stickers'!C:C),"")</f>
        <v>0</v>
      </c>
      <c r="AA142" s="9" cm="1">
        <f t="array" ref="AA142">IFERROR(_xlfn.XLOOKUP('01_Input_Raw_Products'!S142,'14_Shipping_Rules'!A:A,'14_Shipping_Rules'!B:B),"")</f>
        <v>0</v>
      </c>
      <c r="AB142" s="9" cm="1">
        <f t="array" ref="AB142">IFERROR(_xlfn.XLOOKUP('01_Input_Raw_Products'!D142,'16_Astro_Flags'!A:A,'16_Astro_Flags'!B:B),"")</f>
        <v>0</v>
      </c>
      <c r="AC142" s="9">
        <f>IF(C142="","","Catalog, Search")</f>
        <v>0</v>
      </c>
      <c r="AD142" s="9">
        <f>IF(C142="","",IF(OR(F142="",J142="",M142="",S142="",Y142=""),"Manual Review","Ready"))</f>
        <v>0</v>
      </c>
      <c r="AE142" s="9">
        <f>IF(C142="","",TEXTJOIN("; ",TRUE,IF(F142="","Missing url_key",""),IF(J142="","Missing classification",""),IF(M142="","Missing j_colour",""),IF(S142="","Missing hsn_code",""),IF(Y142="","Missing tax_class_id","")))</f>
        <v>0</v>
      </c>
    </row>
    <row r="143" spans="1:31">
      <c r="A143" s="9">
        <f>IF('01_Input_Raw_Products'!B143&lt;&gt;"",20,"")</f>
        <v>0</v>
      </c>
      <c r="B143" s="9" cm="1">
        <f t="array" ref="B143">IF('01_Input_Raw_Products'!M143&lt;&gt;"",'01_Input_Raw_Products'!M143,IFERROR(_xlfn.XLOOKUP('01_Input_Raw_Products'!F143,'10_Master_Gem_Types'!A:A,'10_Master_Gem_Types'!K:K),""))</f>
        <v>0</v>
      </c>
      <c r="C143" s="9">
        <f>'01_Input_Raw_Products'!B143</f>
        <v>0</v>
      </c>
      <c r="D143" s="9">
        <f>IF(C143="","",TEXT(I143,"0.00")&amp;" Ct "&amp;IF('01_Input_Raw_Products'!F143&lt;&gt;"",'01_Input_Raw_Products'!F143,'01_Input_Raw_Products'!D143)&amp;" "&amp;'01_Input_Raw_Products'!I143)</f>
        <v>0</v>
      </c>
      <c r="E143" s="9">
        <f>IF(C143="","",D143&amp;" | GemPundit")</f>
        <v>0</v>
      </c>
      <c r="F143" s="9" cm="1">
        <f t="array" ref="F143">IF('01_Input_Raw_Products'!X143&lt;&gt;"",'01_Input_Raw_Products'!X143,IFERROR(_xlfn.XLOOKUP('01_Input_Raw_Products'!F143,'10_Master_Gem_Types'!A:A,'10_Master_Gem_Types'!O:O),LOWER(SUBSTITUTE(IF('01_Input_Raw_Products'!F143&lt;&gt;"",'01_Input_Raw_Products'!F143,'01_Input_Raw_Products'!D143)," ","-"))))</f>
        <v>0</v>
      </c>
      <c r="G143" s="9">
        <f>'01_Input_Raw_Products'!C143</f>
        <v>0</v>
      </c>
      <c r="H143" s="9" cm="1">
        <f t="array" ref="H143">IF('01_Input_Raw_Products'!H143&lt;&gt;"",'01_Input_Raw_Products'!H143,IFERROR(_xlfn.XLOOKUP('01_Input_Raw_Products'!F143,'10_Master_Gem_Types'!A:A,'10_Master_Gem_Types'!D:D),""))</f>
        <v>0</v>
      </c>
      <c r="I143" s="7">
        <f>IF('01_Input_Raw_Products'!N143&lt;&gt;"",'01_Input_Raw_Products'!N143,IF('01_Input_Raw_Products'!O143&lt;&gt;"",'01_Input_Raw_Products'!O143*0.91,""))</f>
        <v>0</v>
      </c>
      <c r="J143" s="9" cm="1">
        <f t="array" ref="J143">IFERROR(_xlfn.XLOOKUP('01_Input_Raw_Products'!F143,'10_Master_Gem_Types'!A:A,'10_Master_Gem_Types'!N:N),"")</f>
        <v>0</v>
      </c>
      <c r="K143" s="9" cm="1">
        <f t="array" ref="K143">IF('01_Input_Raw_Products'!J143&lt;&gt;"",'01_Input_Raw_Products'!J143,IFERROR(_xlfn.XLOOKUP('01_Input_Raw_Products'!F143,'10_Master_Gem_Types'!A:A,'10_Master_Gem_Types'!E:E),""))</f>
        <v>0</v>
      </c>
      <c r="L143" s="9">
        <f>'01_Input_Raw_Products'!P143</f>
        <v>0</v>
      </c>
      <c r="M143" s="9" cm="1">
        <f t="array" ref="M143">IFERROR(_xlfn.XLOOKUP('01_Input_Raw_Products'!K143,'12_Color_Mapping'!A:A,'12_Color_Mapping'!B:B),IFERROR(_xlfn.XLOOKUP('01_Input_Raw_Products'!F143,'10_Master_Gem_Types'!A:A,'10_Master_Gem_Types'!F:F),""))</f>
        <v>0</v>
      </c>
      <c r="N143" s="9">
        <f>IF(C143="","",IF('01_Input_Raw_Products'!F143&lt;&gt;"",'01_Input_Raw_Products'!F143,'01_Input_Raw_Products'!D143))</f>
        <v>0</v>
      </c>
      <c r="O143" s="9">
        <f>IF(C143="","","Catalog Automation")</f>
        <v>0</v>
      </c>
      <c r="P143" s="9">
        <f>'01_Input_Raw_Products'!U143</f>
        <v>0</v>
      </c>
      <c r="Q143" s="7">
        <f>IF('01_Input_Raw_Products'!O143&lt;&gt;"",'01_Input_Raw_Products'!O143,IF('01_Input_Raw_Products'!N143&lt;&gt;"",'01_Input_Raw_Products'!N143*1.1,""))</f>
        <v>0</v>
      </c>
      <c r="R143" s="9">
        <f>'01_Input_Raw_Products'!S143</f>
        <v>0</v>
      </c>
      <c r="S143" s="9" cm="1">
        <f t="array" ref="S143">IFERROR(_xlfn.XLOOKUP('01_Input_Raw_Products'!F143,'10_Master_Gem_Types'!A:A,'10_Master_Gem_Types'!H:H),"")</f>
        <v>0</v>
      </c>
      <c r="T143" s="8">
        <f>'01_Input_Raw_Products'!Q143</f>
        <v>0</v>
      </c>
      <c r="U143" s="8">
        <f>'01_Input_Raw_Products'!R143</f>
        <v>0</v>
      </c>
      <c r="V143" s="7">
        <f>I143</f>
        <v>0</v>
      </c>
      <c r="W143" s="9" cm="1">
        <f t="array" ref="W143">IF('01_Input_Raw_Products'!G143&lt;&gt;"",'01_Input_Raw_Products'!G143,IFERROR(_xlfn.XLOOKUP('01_Input_Raw_Products'!F143,'10_Master_Gem_Types'!A:A,'10_Master_Gem_Types'!L:L),""))</f>
        <v>0</v>
      </c>
      <c r="X143" s="9" cm="1">
        <f t="array" ref="X143">IFERROR(_xlfn.XLOOKUP('01_Input_Raw_Products'!F143,'10_Master_Gem_Types'!A:A,'10_Master_Gem_Types'!J:J),"")</f>
        <v>0</v>
      </c>
      <c r="Y143" s="9" cm="1">
        <f t="array" ref="Y143">IFERROR(_xlfn.XLOOKUP('01_Input_Raw_Products'!F143,'10_Master_Gem_Types'!A:A,'10_Master_Gem_Types'!I:I),"")</f>
        <v>0</v>
      </c>
      <c r="Z143" s="9" cm="1">
        <f t="array" ref="Z143">IFERROR(_xlfn.XLOOKUP('01_Input_Raw_Products'!L143,'13_Certification_Stickers'!A:A,'13_Certification_Stickers'!C:C),"")</f>
        <v>0</v>
      </c>
      <c r="AA143" s="9" cm="1">
        <f t="array" ref="AA143">IFERROR(_xlfn.XLOOKUP('01_Input_Raw_Products'!S143,'14_Shipping_Rules'!A:A,'14_Shipping_Rules'!B:B),"")</f>
        <v>0</v>
      </c>
      <c r="AB143" s="9" cm="1">
        <f t="array" ref="AB143">IFERROR(_xlfn.XLOOKUP('01_Input_Raw_Products'!D143,'16_Astro_Flags'!A:A,'16_Astro_Flags'!B:B),"")</f>
        <v>0</v>
      </c>
      <c r="AC143" s="9">
        <f>IF(C143="","","Catalog, Search")</f>
        <v>0</v>
      </c>
      <c r="AD143" s="9">
        <f>IF(C143="","",IF(OR(F143="",J143="",M143="",S143="",Y143=""),"Manual Review","Ready"))</f>
        <v>0</v>
      </c>
      <c r="AE143" s="9">
        <f>IF(C143="","",TEXTJOIN("; ",TRUE,IF(F143="","Missing url_key",""),IF(J143="","Missing classification",""),IF(M143="","Missing j_colour",""),IF(S143="","Missing hsn_code",""),IF(Y143="","Missing tax_class_id","")))</f>
        <v>0</v>
      </c>
    </row>
    <row r="144" spans="1:31">
      <c r="A144" s="9">
        <f>IF('01_Input_Raw_Products'!B144&lt;&gt;"",20,"")</f>
        <v>0</v>
      </c>
      <c r="B144" s="9" cm="1">
        <f t="array" ref="B144">IF('01_Input_Raw_Products'!M144&lt;&gt;"",'01_Input_Raw_Products'!M144,IFERROR(_xlfn.XLOOKUP('01_Input_Raw_Products'!F144,'10_Master_Gem_Types'!A:A,'10_Master_Gem_Types'!K:K),""))</f>
        <v>0</v>
      </c>
      <c r="C144" s="9">
        <f>'01_Input_Raw_Products'!B144</f>
        <v>0</v>
      </c>
      <c r="D144" s="9">
        <f>IF(C144="","",TEXT(I144,"0.00")&amp;" Ct "&amp;IF('01_Input_Raw_Products'!F144&lt;&gt;"",'01_Input_Raw_Products'!F144,'01_Input_Raw_Products'!D144)&amp;" "&amp;'01_Input_Raw_Products'!I144)</f>
        <v>0</v>
      </c>
      <c r="E144" s="9">
        <f>IF(C144="","",D144&amp;" | GemPundit")</f>
        <v>0</v>
      </c>
      <c r="F144" s="9" cm="1">
        <f t="array" ref="F144">IF('01_Input_Raw_Products'!X144&lt;&gt;"",'01_Input_Raw_Products'!X144,IFERROR(_xlfn.XLOOKUP('01_Input_Raw_Products'!F144,'10_Master_Gem_Types'!A:A,'10_Master_Gem_Types'!O:O),LOWER(SUBSTITUTE(IF('01_Input_Raw_Products'!F144&lt;&gt;"",'01_Input_Raw_Products'!F144,'01_Input_Raw_Products'!D144)," ","-"))))</f>
        <v>0</v>
      </c>
      <c r="G144" s="9">
        <f>'01_Input_Raw_Products'!C144</f>
        <v>0</v>
      </c>
      <c r="H144" s="9" cm="1">
        <f t="array" ref="H144">IF('01_Input_Raw_Products'!H144&lt;&gt;"",'01_Input_Raw_Products'!H144,IFERROR(_xlfn.XLOOKUP('01_Input_Raw_Products'!F144,'10_Master_Gem_Types'!A:A,'10_Master_Gem_Types'!D:D),""))</f>
        <v>0</v>
      </c>
      <c r="I144" s="7">
        <f>IF('01_Input_Raw_Products'!N144&lt;&gt;"",'01_Input_Raw_Products'!N144,IF('01_Input_Raw_Products'!O144&lt;&gt;"",'01_Input_Raw_Products'!O144*0.91,""))</f>
        <v>0</v>
      </c>
      <c r="J144" s="9" cm="1">
        <f t="array" ref="J144">IFERROR(_xlfn.XLOOKUP('01_Input_Raw_Products'!F144,'10_Master_Gem_Types'!A:A,'10_Master_Gem_Types'!N:N),"")</f>
        <v>0</v>
      </c>
      <c r="K144" s="9" cm="1">
        <f t="array" ref="K144">IF('01_Input_Raw_Products'!J144&lt;&gt;"",'01_Input_Raw_Products'!J144,IFERROR(_xlfn.XLOOKUP('01_Input_Raw_Products'!F144,'10_Master_Gem_Types'!A:A,'10_Master_Gem_Types'!E:E),""))</f>
        <v>0</v>
      </c>
      <c r="L144" s="9">
        <f>'01_Input_Raw_Products'!P144</f>
        <v>0</v>
      </c>
      <c r="M144" s="9" cm="1">
        <f t="array" ref="M144">IFERROR(_xlfn.XLOOKUP('01_Input_Raw_Products'!K144,'12_Color_Mapping'!A:A,'12_Color_Mapping'!B:B),IFERROR(_xlfn.XLOOKUP('01_Input_Raw_Products'!F144,'10_Master_Gem_Types'!A:A,'10_Master_Gem_Types'!F:F),""))</f>
        <v>0</v>
      </c>
      <c r="N144" s="9">
        <f>IF(C144="","",IF('01_Input_Raw_Products'!F144&lt;&gt;"",'01_Input_Raw_Products'!F144,'01_Input_Raw_Products'!D144))</f>
        <v>0</v>
      </c>
      <c r="O144" s="9">
        <f>IF(C144="","","Catalog Automation")</f>
        <v>0</v>
      </c>
      <c r="P144" s="9">
        <f>'01_Input_Raw_Products'!U144</f>
        <v>0</v>
      </c>
      <c r="Q144" s="7">
        <f>IF('01_Input_Raw_Products'!O144&lt;&gt;"",'01_Input_Raw_Products'!O144,IF('01_Input_Raw_Products'!N144&lt;&gt;"",'01_Input_Raw_Products'!N144*1.1,""))</f>
        <v>0</v>
      </c>
      <c r="R144" s="9">
        <f>'01_Input_Raw_Products'!S144</f>
        <v>0</v>
      </c>
      <c r="S144" s="9" cm="1">
        <f t="array" ref="S144">IFERROR(_xlfn.XLOOKUP('01_Input_Raw_Products'!F144,'10_Master_Gem_Types'!A:A,'10_Master_Gem_Types'!H:H),"")</f>
        <v>0</v>
      </c>
      <c r="T144" s="8">
        <f>'01_Input_Raw_Products'!Q144</f>
        <v>0</v>
      </c>
      <c r="U144" s="8">
        <f>'01_Input_Raw_Products'!R144</f>
        <v>0</v>
      </c>
      <c r="V144" s="7">
        <f>I144</f>
        <v>0</v>
      </c>
      <c r="W144" s="9" cm="1">
        <f t="array" ref="W144">IF('01_Input_Raw_Products'!G144&lt;&gt;"",'01_Input_Raw_Products'!G144,IFERROR(_xlfn.XLOOKUP('01_Input_Raw_Products'!F144,'10_Master_Gem_Types'!A:A,'10_Master_Gem_Types'!L:L),""))</f>
        <v>0</v>
      </c>
      <c r="X144" s="9" cm="1">
        <f t="array" ref="X144">IFERROR(_xlfn.XLOOKUP('01_Input_Raw_Products'!F144,'10_Master_Gem_Types'!A:A,'10_Master_Gem_Types'!J:J),"")</f>
        <v>0</v>
      </c>
      <c r="Y144" s="9" cm="1">
        <f t="array" ref="Y144">IFERROR(_xlfn.XLOOKUP('01_Input_Raw_Products'!F144,'10_Master_Gem_Types'!A:A,'10_Master_Gem_Types'!I:I),"")</f>
        <v>0</v>
      </c>
      <c r="Z144" s="9" cm="1">
        <f t="array" ref="Z144">IFERROR(_xlfn.XLOOKUP('01_Input_Raw_Products'!L144,'13_Certification_Stickers'!A:A,'13_Certification_Stickers'!C:C),"")</f>
        <v>0</v>
      </c>
      <c r="AA144" s="9" cm="1">
        <f t="array" ref="AA144">IFERROR(_xlfn.XLOOKUP('01_Input_Raw_Products'!S144,'14_Shipping_Rules'!A:A,'14_Shipping_Rules'!B:B),"")</f>
        <v>0</v>
      </c>
      <c r="AB144" s="9" cm="1">
        <f t="array" ref="AB144">IFERROR(_xlfn.XLOOKUP('01_Input_Raw_Products'!D144,'16_Astro_Flags'!A:A,'16_Astro_Flags'!B:B),"")</f>
        <v>0</v>
      </c>
      <c r="AC144" s="9">
        <f>IF(C144="","","Catalog, Search")</f>
        <v>0</v>
      </c>
      <c r="AD144" s="9">
        <f>IF(C144="","",IF(OR(F144="",J144="",M144="",S144="",Y144=""),"Manual Review","Ready"))</f>
        <v>0</v>
      </c>
      <c r="AE144" s="9">
        <f>IF(C144="","",TEXTJOIN("; ",TRUE,IF(F144="","Missing url_key",""),IF(J144="","Missing classification",""),IF(M144="","Missing j_colour",""),IF(S144="","Missing hsn_code",""),IF(Y144="","Missing tax_class_id","")))</f>
        <v>0</v>
      </c>
    </row>
    <row r="145" spans="1:31">
      <c r="A145" s="9">
        <f>IF('01_Input_Raw_Products'!B145&lt;&gt;"",20,"")</f>
        <v>0</v>
      </c>
      <c r="B145" s="9" cm="1">
        <f t="array" ref="B145">IF('01_Input_Raw_Products'!M145&lt;&gt;"",'01_Input_Raw_Products'!M145,IFERROR(_xlfn.XLOOKUP('01_Input_Raw_Products'!F145,'10_Master_Gem_Types'!A:A,'10_Master_Gem_Types'!K:K),""))</f>
        <v>0</v>
      </c>
      <c r="C145" s="9">
        <f>'01_Input_Raw_Products'!B145</f>
        <v>0</v>
      </c>
      <c r="D145" s="9">
        <f>IF(C145="","",TEXT(I145,"0.00")&amp;" Ct "&amp;IF('01_Input_Raw_Products'!F145&lt;&gt;"",'01_Input_Raw_Products'!F145,'01_Input_Raw_Products'!D145)&amp;" "&amp;'01_Input_Raw_Products'!I145)</f>
        <v>0</v>
      </c>
      <c r="E145" s="9">
        <f>IF(C145="","",D145&amp;" | GemPundit")</f>
        <v>0</v>
      </c>
      <c r="F145" s="9" cm="1">
        <f t="array" ref="F145">IF('01_Input_Raw_Products'!X145&lt;&gt;"",'01_Input_Raw_Products'!X145,IFERROR(_xlfn.XLOOKUP('01_Input_Raw_Products'!F145,'10_Master_Gem_Types'!A:A,'10_Master_Gem_Types'!O:O),LOWER(SUBSTITUTE(IF('01_Input_Raw_Products'!F145&lt;&gt;"",'01_Input_Raw_Products'!F145,'01_Input_Raw_Products'!D145)," ","-"))))</f>
        <v>0</v>
      </c>
      <c r="G145" s="9">
        <f>'01_Input_Raw_Products'!C145</f>
        <v>0</v>
      </c>
      <c r="H145" s="9" cm="1">
        <f t="array" ref="H145">IF('01_Input_Raw_Products'!H145&lt;&gt;"",'01_Input_Raw_Products'!H145,IFERROR(_xlfn.XLOOKUP('01_Input_Raw_Products'!F145,'10_Master_Gem_Types'!A:A,'10_Master_Gem_Types'!D:D),""))</f>
        <v>0</v>
      </c>
      <c r="I145" s="7">
        <f>IF('01_Input_Raw_Products'!N145&lt;&gt;"",'01_Input_Raw_Products'!N145,IF('01_Input_Raw_Products'!O145&lt;&gt;"",'01_Input_Raw_Products'!O145*0.91,""))</f>
        <v>0</v>
      </c>
      <c r="J145" s="9" cm="1">
        <f t="array" ref="J145">IFERROR(_xlfn.XLOOKUP('01_Input_Raw_Products'!F145,'10_Master_Gem_Types'!A:A,'10_Master_Gem_Types'!N:N),"")</f>
        <v>0</v>
      </c>
      <c r="K145" s="9" cm="1">
        <f t="array" ref="K145">IF('01_Input_Raw_Products'!J145&lt;&gt;"",'01_Input_Raw_Products'!J145,IFERROR(_xlfn.XLOOKUP('01_Input_Raw_Products'!F145,'10_Master_Gem_Types'!A:A,'10_Master_Gem_Types'!E:E),""))</f>
        <v>0</v>
      </c>
      <c r="L145" s="9">
        <f>'01_Input_Raw_Products'!P145</f>
        <v>0</v>
      </c>
      <c r="M145" s="9" cm="1">
        <f t="array" ref="M145">IFERROR(_xlfn.XLOOKUP('01_Input_Raw_Products'!K145,'12_Color_Mapping'!A:A,'12_Color_Mapping'!B:B),IFERROR(_xlfn.XLOOKUP('01_Input_Raw_Products'!F145,'10_Master_Gem_Types'!A:A,'10_Master_Gem_Types'!F:F),""))</f>
        <v>0</v>
      </c>
      <c r="N145" s="9">
        <f>IF(C145="","",IF('01_Input_Raw_Products'!F145&lt;&gt;"",'01_Input_Raw_Products'!F145,'01_Input_Raw_Products'!D145))</f>
        <v>0</v>
      </c>
      <c r="O145" s="9">
        <f>IF(C145="","","Catalog Automation")</f>
        <v>0</v>
      </c>
      <c r="P145" s="9">
        <f>'01_Input_Raw_Products'!U145</f>
        <v>0</v>
      </c>
      <c r="Q145" s="7">
        <f>IF('01_Input_Raw_Products'!O145&lt;&gt;"",'01_Input_Raw_Products'!O145,IF('01_Input_Raw_Products'!N145&lt;&gt;"",'01_Input_Raw_Products'!N145*1.1,""))</f>
        <v>0</v>
      </c>
      <c r="R145" s="9">
        <f>'01_Input_Raw_Products'!S145</f>
        <v>0</v>
      </c>
      <c r="S145" s="9" cm="1">
        <f t="array" ref="S145">IFERROR(_xlfn.XLOOKUP('01_Input_Raw_Products'!F145,'10_Master_Gem_Types'!A:A,'10_Master_Gem_Types'!H:H),"")</f>
        <v>0</v>
      </c>
      <c r="T145" s="8">
        <f>'01_Input_Raw_Products'!Q145</f>
        <v>0</v>
      </c>
      <c r="U145" s="8">
        <f>'01_Input_Raw_Products'!R145</f>
        <v>0</v>
      </c>
      <c r="V145" s="7">
        <f>I145</f>
        <v>0</v>
      </c>
      <c r="W145" s="9" cm="1">
        <f t="array" ref="W145">IF('01_Input_Raw_Products'!G145&lt;&gt;"",'01_Input_Raw_Products'!G145,IFERROR(_xlfn.XLOOKUP('01_Input_Raw_Products'!F145,'10_Master_Gem_Types'!A:A,'10_Master_Gem_Types'!L:L),""))</f>
        <v>0</v>
      </c>
      <c r="X145" s="9" cm="1">
        <f t="array" ref="X145">IFERROR(_xlfn.XLOOKUP('01_Input_Raw_Products'!F145,'10_Master_Gem_Types'!A:A,'10_Master_Gem_Types'!J:J),"")</f>
        <v>0</v>
      </c>
      <c r="Y145" s="9" cm="1">
        <f t="array" ref="Y145">IFERROR(_xlfn.XLOOKUP('01_Input_Raw_Products'!F145,'10_Master_Gem_Types'!A:A,'10_Master_Gem_Types'!I:I),"")</f>
        <v>0</v>
      </c>
      <c r="Z145" s="9" cm="1">
        <f t="array" ref="Z145">IFERROR(_xlfn.XLOOKUP('01_Input_Raw_Products'!L145,'13_Certification_Stickers'!A:A,'13_Certification_Stickers'!C:C),"")</f>
        <v>0</v>
      </c>
      <c r="AA145" s="9" cm="1">
        <f t="array" ref="AA145">IFERROR(_xlfn.XLOOKUP('01_Input_Raw_Products'!S145,'14_Shipping_Rules'!A:A,'14_Shipping_Rules'!B:B),"")</f>
        <v>0</v>
      </c>
      <c r="AB145" s="9" cm="1">
        <f t="array" ref="AB145">IFERROR(_xlfn.XLOOKUP('01_Input_Raw_Products'!D145,'16_Astro_Flags'!A:A,'16_Astro_Flags'!B:B),"")</f>
        <v>0</v>
      </c>
      <c r="AC145" s="9">
        <f>IF(C145="","","Catalog, Search")</f>
        <v>0</v>
      </c>
      <c r="AD145" s="9">
        <f>IF(C145="","",IF(OR(F145="",J145="",M145="",S145="",Y145=""),"Manual Review","Ready"))</f>
        <v>0</v>
      </c>
      <c r="AE145" s="9">
        <f>IF(C145="","",TEXTJOIN("; ",TRUE,IF(F145="","Missing url_key",""),IF(J145="","Missing classification",""),IF(M145="","Missing j_colour",""),IF(S145="","Missing hsn_code",""),IF(Y145="","Missing tax_class_id","")))</f>
        <v>0</v>
      </c>
    </row>
    <row r="146" spans="1:31">
      <c r="A146" s="9">
        <f>IF('01_Input_Raw_Products'!B146&lt;&gt;"",20,"")</f>
        <v>0</v>
      </c>
      <c r="B146" s="9" cm="1">
        <f t="array" ref="B146">IF('01_Input_Raw_Products'!M146&lt;&gt;"",'01_Input_Raw_Products'!M146,IFERROR(_xlfn.XLOOKUP('01_Input_Raw_Products'!F146,'10_Master_Gem_Types'!A:A,'10_Master_Gem_Types'!K:K),""))</f>
        <v>0</v>
      </c>
      <c r="C146" s="9">
        <f>'01_Input_Raw_Products'!B146</f>
        <v>0</v>
      </c>
      <c r="D146" s="9">
        <f>IF(C146="","",TEXT(I146,"0.00")&amp;" Ct "&amp;IF('01_Input_Raw_Products'!F146&lt;&gt;"",'01_Input_Raw_Products'!F146,'01_Input_Raw_Products'!D146)&amp;" "&amp;'01_Input_Raw_Products'!I146)</f>
        <v>0</v>
      </c>
      <c r="E146" s="9">
        <f>IF(C146="","",D146&amp;" | GemPundit")</f>
        <v>0</v>
      </c>
      <c r="F146" s="9" cm="1">
        <f t="array" ref="F146">IF('01_Input_Raw_Products'!X146&lt;&gt;"",'01_Input_Raw_Products'!X146,IFERROR(_xlfn.XLOOKUP('01_Input_Raw_Products'!F146,'10_Master_Gem_Types'!A:A,'10_Master_Gem_Types'!O:O),LOWER(SUBSTITUTE(IF('01_Input_Raw_Products'!F146&lt;&gt;"",'01_Input_Raw_Products'!F146,'01_Input_Raw_Products'!D146)," ","-"))))</f>
        <v>0</v>
      </c>
      <c r="G146" s="9">
        <f>'01_Input_Raw_Products'!C146</f>
        <v>0</v>
      </c>
      <c r="H146" s="9" cm="1">
        <f t="array" ref="H146">IF('01_Input_Raw_Products'!H146&lt;&gt;"",'01_Input_Raw_Products'!H146,IFERROR(_xlfn.XLOOKUP('01_Input_Raw_Products'!F146,'10_Master_Gem_Types'!A:A,'10_Master_Gem_Types'!D:D),""))</f>
        <v>0</v>
      </c>
      <c r="I146" s="7">
        <f>IF('01_Input_Raw_Products'!N146&lt;&gt;"",'01_Input_Raw_Products'!N146,IF('01_Input_Raw_Products'!O146&lt;&gt;"",'01_Input_Raw_Products'!O146*0.91,""))</f>
        <v>0</v>
      </c>
      <c r="J146" s="9" cm="1">
        <f t="array" ref="J146">IFERROR(_xlfn.XLOOKUP('01_Input_Raw_Products'!F146,'10_Master_Gem_Types'!A:A,'10_Master_Gem_Types'!N:N),"")</f>
        <v>0</v>
      </c>
      <c r="K146" s="9" cm="1">
        <f t="array" ref="K146">IF('01_Input_Raw_Products'!J146&lt;&gt;"",'01_Input_Raw_Products'!J146,IFERROR(_xlfn.XLOOKUP('01_Input_Raw_Products'!F146,'10_Master_Gem_Types'!A:A,'10_Master_Gem_Types'!E:E),""))</f>
        <v>0</v>
      </c>
      <c r="L146" s="9">
        <f>'01_Input_Raw_Products'!P146</f>
        <v>0</v>
      </c>
      <c r="M146" s="9" cm="1">
        <f t="array" ref="M146">IFERROR(_xlfn.XLOOKUP('01_Input_Raw_Products'!K146,'12_Color_Mapping'!A:A,'12_Color_Mapping'!B:B),IFERROR(_xlfn.XLOOKUP('01_Input_Raw_Products'!F146,'10_Master_Gem_Types'!A:A,'10_Master_Gem_Types'!F:F),""))</f>
        <v>0</v>
      </c>
      <c r="N146" s="9">
        <f>IF(C146="","",IF('01_Input_Raw_Products'!F146&lt;&gt;"",'01_Input_Raw_Products'!F146,'01_Input_Raw_Products'!D146))</f>
        <v>0</v>
      </c>
      <c r="O146" s="9">
        <f>IF(C146="","","Catalog Automation")</f>
        <v>0</v>
      </c>
      <c r="P146" s="9">
        <f>'01_Input_Raw_Products'!U146</f>
        <v>0</v>
      </c>
      <c r="Q146" s="7">
        <f>IF('01_Input_Raw_Products'!O146&lt;&gt;"",'01_Input_Raw_Products'!O146,IF('01_Input_Raw_Products'!N146&lt;&gt;"",'01_Input_Raw_Products'!N146*1.1,""))</f>
        <v>0</v>
      </c>
      <c r="R146" s="9">
        <f>'01_Input_Raw_Products'!S146</f>
        <v>0</v>
      </c>
      <c r="S146" s="9" cm="1">
        <f t="array" ref="S146">IFERROR(_xlfn.XLOOKUP('01_Input_Raw_Products'!F146,'10_Master_Gem_Types'!A:A,'10_Master_Gem_Types'!H:H),"")</f>
        <v>0</v>
      </c>
      <c r="T146" s="8">
        <f>'01_Input_Raw_Products'!Q146</f>
        <v>0</v>
      </c>
      <c r="U146" s="8">
        <f>'01_Input_Raw_Products'!R146</f>
        <v>0</v>
      </c>
      <c r="V146" s="7">
        <f>I146</f>
        <v>0</v>
      </c>
      <c r="W146" s="9" cm="1">
        <f t="array" ref="W146">IF('01_Input_Raw_Products'!G146&lt;&gt;"",'01_Input_Raw_Products'!G146,IFERROR(_xlfn.XLOOKUP('01_Input_Raw_Products'!F146,'10_Master_Gem_Types'!A:A,'10_Master_Gem_Types'!L:L),""))</f>
        <v>0</v>
      </c>
      <c r="X146" s="9" cm="1">
        <f t="array" ref="X146">IFERROR(_xlfn.XLOOKUP('01_Input_Raw_Products'!F146,'10_Master_Gem_Types'!A:A,'10_Master_Gem_Types'!J:J),"")</f>
        <v>0</v>
      </c>
      <c r="Y146" s="9" cm="1">
        <f t="array" ref="Y146">IFERROR(_xlfn.XLOOKUP('01_Input_Raw_Products'!F146,'10_Master_Gem_Types'!A:A,'10_Master_Gem_Types'!I:I),"")</f>
        <v>0</v>
      </c>
      <c r="Z146" s="9" cm="1">
        <f t="array" ref="Z146">IFERROR(_xlfn.XLOOKUP('01_Input_Raw_Products'!L146,'13_Certification_Stickers'!A:A,'13_Certification_Stickers'!C:C),"")</f>
        <v>0</v>
      </c>
      <c r="AA146" s="9" cm="1">
        <f t="array" ref="AA146">IFERROR(_xlfn.XLOOKUP('01_Input_Raw_Products'!S146,'14_Shipping_Rules'!A:A,'14_Shipping_Rules'!B:B),"")</f>
        <v>0</v>
      </c>
      <c r="AB146" s="9" cm="1">
        <f t="array" ref="AB146">IFERROR(_xlfn.XLOOKUP('01_Input_Raw_Products'!D146,'16_Astro_Flags'!A:A,'16_Astro_Flags'!B:B),"")</f>
        <v>0</v>
      </c>
      <c r="AC146" s="9">
        <f>IF(C146="","","Catalog, Search")</f>
        <v>0</v>
      </c>
      <c r="AD146" s="9">
        <f>IF(C146="","",IF(OR(F146="",J146="",M146="",S146="",Y146=""),"Manual Review","Ready"))</f>
        <v>0</v>
      </c>
      <c r="AE146" s="9">
        <f>IF(C146="","",TEXTJOIN("; ",TRUE,IF(F146="","Missing url_key",""),IF(J146="","Missing classification",""),IF(M146="","Missing j_colour",""),IF(S146="","Missing hsn_code",""),IF(Y146="","Missing tax_class_id","")))</f>
        <v>0</v>
      </c>
    </row>
    <row r="147" spans="1:31">
      <c r="A147" s="9">
        <f>IF('01_Input_Raw_Products'!B147&lt;&gt;"",20,"")</f>
        <v>0</v>
      </c>
      <c r="B147" s="9" cm="1">
        <f t="array" ref="B147">IF('01_Input_Raw_Products'!M147&lt;&gt;"",'01_Input_Raw_Products'!M147,IFERROR(_xlfn.XLOOKUP('01_Input_Raw_Products'!F147,'10_Master_Gem_Types'!A:A,'10_Master_Gem_Types'!K:K),""))</f>
        <v>0</v>
      </c>
      <c r="C147" s="9">
        <f>'01_Input_Raw_Products'!B147</f>
        <v>0</v>
      </c>
      <c r="D147" s="9">
        <f>IF(C147="","",TEXT(I147,"0.00")&amp;" Ct "&amp;IF('01_Input_Raw_Products'!F147&lt;&gt;"",'01_Input_Raw_Products'!F147,'01_Input_Raw_Products'!D147)&amp;" "&amp;'01_Input_Raw_Products'!I147)</f>
        <v>0</v>
      </c>
      <c r="E147" s="9">
        <f>IF(C147="","",D147&amp;" | GemPundit")</f>
        <v>0</v>
      </c>
      <c r="F147" s="9" cm="1">
        <f t="array" ref="F147">IF('01_Input_Raw_Products'!X147&lt;&gt;"",'01_Input_Raw_Products'!X147,IFERROR(_xlfn.XLOOKUP('01_Input_Raw_Products'!F147,'10_Master_Gem_Types'!A:A,'10_Master_Gem_Types'!O:O),LOWER(SUBSTITUTE(IF('01_Input_Raw_Products'!F147&lt;&gt;"",'01_Input_Raw_Products'!F147,'01_Input_Raw_Products'!D147)," ","-"))))</f>
        <v>0</v>
      </c>
      <c r="G147" s="9">
        <f>'01_Input_Raw_Products'!C147</f>
        <v>0</v>
      </c>
      <c r="H147" s="9" cm="1">
        <f t="array" ref="H147">IF('01_Input_Raw_Products'!H147&lt;&gt;"",'01_Input_Raw_Products'!H147,IFERROR(_xlfn.XLOOKUP('01_Input_Raw_Products'!F147,'10_Master_Gem_Types'!A:A,'10_Master_Gem_Types'!D:D),""))</f>
        <v>0</v>
      </c>
      <c r="I147" s="7">
        <f>IF('01_Input_Raw_Products'!N147&lt;&gt;"",'01_Input_Raw_Products'!N147,IF('01_Input_Raw_Products'!O147&lt;&gt;"",'01_Input_Raw_Products'!O147*0.91,""))</f>
        <v>0</v>
      </c>
      <c r="J147" s="9" cm="1">
        <f t="array" ref="J147">IFERROR(_xlfn.XLOOKUP('01_Input_Raw_Products'!F147,'10_Master_Gem_Types'!A:A,'10_Master_Gem_Types'!N:N),"")</f>
        <v>0</v>
      </c>
      <c r="K147" s="9" cm="1">
        <f t="array" ref="K147">IF('01_Input_Raw_Products'!J147&lt;&gt;"",'01_Input_Raw_Products'!J147,IFERROR(_xlfn.XLOOKUP('01_Input_Raw_Products'!F147,'10_Master_Gem_Types'!A:A,'10_Master_Gem_Types'!E:E),""))</f>
        <v>0</v>
      </c>
      <c r="L147" s="9">
        <f>'01_Input_Raw_Products'!P147</f>
        <v>0</v>
      </c>
      <c r="M147" s="9" cm="1">
        <f t="array" ref="M147">IFERROR(_xlfn.XLOOKUP('01_Input_Raw_Products'!K147,'12_Color_Mapping'!A:A,'12_Color_Mapping'!B:B),IFERROR(_xlfn.XLOOKUP('01_Input_Raw_Products'!F147,'10_Master_Gem_Types'!A:A,'10_Master_Gem_Types'!F:F),""))</f>
        <v>0</v>
      </c>
      <c r="N147" s="9">
        <f>IF(C147="","",IF('01_Input_Raw_Products'!F147&lt;&gt;"",'01_Input_Raw_Products'!F147,'01_Input_Raw_Products'!D147))</f>
        <v>0</v>
      </c>
      <c r="O147" s="9">
        <f>IF(C147="","","Catalog Automation")</f>
        <v>0</v>
      </c>
      <c r="P147" s="9">
        <f>'01_Input_Raw_Products'!U147</f>
        <v>0</v>
      </c>
      <c r="Q147" s="7">
        <f>IF('01_Input_Raw_Products'!O147&lt;&gt;"",'01_Input_Raw_Products'!O147,IF('01_Input_Raw_Products'!N147&lt;&gt;"",'01_Input_Raw_Products'!N147*1.1,""))</f>
        <v>0</v>
      </c>
      <c r="R147" s="9">
        <f>'01_Input_Raw_Products'!S147</f>
        <v>0</v>
      </c>
      <c r="S147" s="9" cm="1">
        <f t="array" ref="S147">IFERROR(_xlfn.XLOOKUP('01_Input_Raw_Products'!F147,'10_Master_Gem_Types'!A:A,'10_Master_Gem_Types'!H:H),"")</f>
        <v>0</v>
      </c>
      <c r="T147" s="8">
        <f>'01_Input_Raw_Products'!Q147</f>
        <v>0</v>
      </c>
      <c r="U147" s="8">
        <f>'01_Input_Raw_Products'!R147</f>
        <v>0</v>
      </c>
      <c r="V147" s="7">
        <f>I147</f>
        <v>0</v>
      </c>
      <c r="W147" s="9" cm="1">
        <f t="array" ref="W147">IF('01_Input_Raw_Products'!G147&lt;&gt;"",'01_Input_Raw_Products'!G147,IFERROR(_xlfn.XLOOKUP('01_Input_Raw_Products'!F147,'10_Master_Gem_Types'!A:A,'10_Master_Gem_Types'!L:L),""))</f>
        <v>0</v>
      </c>
      <c r="X147" s="9" cm="1">
        <f t="array" ref="X147">IFERROR(_xlfn.XLOOKUP('01_Input_Raw_Products'!F147,'10_Master_Gem_Types'!A:A,'10_Master_Gem_Types'!J:J),"")</f>
        <v>0</v>
      </c>
      <c r="Y147" s="9" cm="1">
        <f t="array" ref="Y147">IFERROR(_xlfn.XLOOKUP('01_Input_Raw_Products'!F147,'10_Master_Gem_Types'!A:A,'10_Master_Gem_Types'!I:I),"")</f>
        <v>0</v>
      </c>
      <c r="Z147" s="9" cm="1">
        <f t="array" ref="Z147">IFERROR(_xlfn.XLOOKUP('01_Input_Raw_Products'!L147,'13_Certification_Stickers'!A:A,'13_Certification_Stickers'!C:C),"")</f>
        <v>0</v>
      </c>
      <c r="AA147" s="9" cm="1">
        <f t="array" ref="AA147">IFERROR(_xlfn.XLOOKUP('01_Input_Raw_Products'!S147,'14_Shipping_Rules'!A:A,'14_Shipping_Rules'!B:B),"")</f>
        <v>0</v>
      </c>
      <c r="AB147" s="9" cm="1">
        <f t="array" ref="AB147">IFERROR(_xlfn.XLOOKUP('01_Input_Raw_Products'!D147,'16_Astro_Flags'!A:A,'16_Astro_Flags'!B:B),"")</f>
        <v>0</v>
      </c>
      <c r="AC147" s="9">
        <f>IF(C147="","","Catalog, Search")</f>
        <v>0</v>
      </c>
      <c r="AD147" s="9">
        <f>IF(C147="","",IF(OR(F147="",J147="",M147="",S147="",Y147=""),"Manual Review","Ready"))</f>
        <v>0</v>
      </c>
      <c r="AE147" s="9">
        <f>IF(C147="","",TEXTJOIN("; ",TRUE,IF(F147="","Missing url_key",""),IF(J147="","Missing classification",""),IF(M147="","Missing j_colour",""),IF(S147="","Missing hsn_code",""),IF(Y147="","Missing tax_class_id","")))</f>
        <v>0</v>
      </c>
    </row>
    <row r="148" spans="1:31">
      <c r="A148" s="9">
        <f>IF('01_Input_Raw_Products'!B148&lt;&gt;"",20,"")</f>
        <v>0</v>
      </c>
      <c r="B148" s="9" cm="1">
        <f t="array" ref="B148">IF('01_Input_Raw_Products'!M148&lt;&gt;"",'01_Input_Raw_Products'!M148,IFERROR(_xlfn.XLOOKUP('01_Input_Raw_Products'!F148,'10_Master_Gem_Types'!A:A,'10_Master_Gem_Types'!K:K),""))</f>
        <v>0</v>
      </c>
      <c r="C148" s="9">
        <f>'01_Input_Raw_Products'!B148</f>
        <v>0</v>
      </c>
      <c r="D148" s="9">
        <f>IF(C148="","",TEXT(I148,"0.00")&amp;" Ct "&amp;IF('01_Input_Raw_Products'!F148&lt;&gt;"",'01_Input_Raw_Products'!F148,'01_Input_Raw_Products'!D148)&amp;" "&amp;'01_Input_Raw_Products'!I148)</f>
        <v>0</v>
      </c>
      <c r="E148" s="9">
        <f>IF(C148="","",D148&amp;" | GemPundit")</f>
        <v>0</v>
      </c>
      <c r="F148" s="9" cm="1">
        <f t="array" ref="F148">IF('01_Input_Raw_Products'!X148&lt;&gt;"",'01_Input_Raw_Products'!X148,IFERROR(_xlfn.XLOOKUP('01_Input_Raw_Products'!F148,'10_Master_Gem_Types'!A:A,'10_Master_Gem_Types'!O:O),LOWER(SUBSTITUTE(IF('01_Input_Raw_Products'!F148&lt;&gt;"",'01_Input_Raw_Products'!F148,'01_Input_Raw_Products'!D148)," ","-"))))</f>
        <v>0</v>
      </c>
      <c r="G148" s="9">
        <f>'01_Input_Raw_Products'!C148</f>
        <v>0</v>
      </c>
      <c r="H148" s="9" cm="1">
        <f t="array" ref="H148">IF('01_Input_Raw_Products'!H148&lt;&gt;"",'01_Input_Raw_Products'!H148,IFERROR(_xlfn.XLOOKUP('01_Input_Raw_Products'!F148,'10_Master_Gem_Types'!A:A,'10_Master_Gem_Types'!D:D),""))</f>
        <v>0</v>
      </c>
      <c r="I148" s="7">
        <f>IF('01_Input_Raw_Products'!N148&lt;&gt;"",'01_Input_Raw_Products'!N148,IF('01_Input_Raw_Products'!O148&lt;&gt;"",'01_Input_Raw_Products'!O148*0.91,""))</f>
        <v>0</v>
      </c>
      <c r="J148" s="9" cm="1">
        <f t="array" ref="J148">IFERROR(_xlfn.XLOOKUP('01_Input_Raw_Products'!F148,'10_Master_Gem_Types'!A:A,'10_Master_Gem_Types'!N:N),"")</f>
        <v>0</v>
      </c>
      <c r="K148" s="9" cm="1">
        <f t="array" ref="K148">IF('01_Input_Raw_Products'!J148&lt;&gt;"",'01_Input_Raw_Products'!J148,IFERROR(_xlfn.XLOOKUP('01_Input_Raw_Products'!F148,'10_Master_Gem_Types'!A:A,'10_Master_Gem_Types'!E:E),""))</f>
        <v>0</v>
      </c>
      <c r="L148" s="9">
        <f>'01_Input_Raw_Products'!P148</f>
        <v>0</v>
      </c>
      <c r="M148" s="9" cm="1">
        <f t="array" ref="M148">IFERROR(_xlfn.XLOOKUP('01_Input_Raw_Products'!K148,'12_Color_Mapping'!A:A,'12_Color_Mapping'!B:B),IFERROR(_xlfn.XLOOKUP('01_Input_Raw_Products'!F148,'10_Master_Gem_Types'!A:A,'10_Master_Gem_Types'!F:F),""))</f>
        <v>0</v>
      </c>
      <c r="N148" s="9">
        <f>IF(C148="","",IF('01_Input_Raw_Products'!F148&lt;&gt;"",'01_Input_Raw_Products'!F148,'01_Input_Raw_Products'!D148))</f>
        <v>0</v>
      </c>
      <c r="O148" s="9">
        <f>IF(C148="","","Catalog Automation")</f>
        <v>0</v>
      </c>
      <c r="P148" s="9">
        <f>'01_Input_Raw_Products'!U148</f>
        <v>0</v>
      </c>
      <c r="Q148" s="7">
        <f>IF('01_Input_Raw_Products'!O148&lt;&gt;"",'01_Input_Raw_Products'!O148,IF('01_Input_Raw_Products'!N148&lt;&gt;"",'01_Input_Raw_Products'!N148*1.1,""))</f>
        <v>0</v>
      </c>
      <c r="R148" s="9">
        <f>'01_Input_Raw_Products'!S148</f>
        <v>0</v>
      </c>
      <c r="S148" s="9" cm="1">
        <f t="array" ref="S148">IFERROR(_xlfn.XLOOKUP('01_Input_Raw_Products'!F148,'10_Master_Gem_Types'!A:A,'10_Master_Gem_Types'!H:H),"")</f>
        <v>0</v>
      </c>
      <c r="T148" s="8">
        <f>'01_Input_Raw_Products'!Q148</f>
        <v>0</v>
      </c>
      <c r="U148" s="8">
        <f>'01_Input_Raw_Products'!R148</f>
        <v>0</v>
      </c>
      <c r="V148" s="7">
        <f>I148</f>
        <v>0</v>
      </c>
      <c r="W148" s="9" cm="1">
        <f t="array" ref="W148">IF('01_Input_Raw_Products'!G148&lt;&gt;"",'01_Input_Raw_Products'!G148,IFERROR(_xlfn.XLOOKUP('01_Input_Raw_Products'!F148,'10_Master_Gem_Types'!A:A,'10_Master_Gem_Types'!L:L),""))</f>
        <v>0</v>
      </c>
      <c r="X148" s="9" cm="1">
        <f t="array" ref="X148">IFERROR(_xlfn.XLOOKUP('01_Input_Raw_Products'!F148,'10_Master_Gem_Types'!A:A,'10_Master_Gem_Types'!J:J),"")</f>
        <v>0</v>
      </c>
      <c r="Y148" s="9" cm="1">
        <f t="array" ref="Y148">IFERROR(_xlfn.XLOOKUP('01_Input_Raw_Products'!F148,'10_Master_Gem_Types'!A:A,'10_Master_Gem_Types'!I:I),"")</f>
        <v>0</v>
      </c>
      <c r="Z148" s="9" cm="1">
        <f t="array" ref="Z148">IFERROR(_xlfn.XLOOKUP('01_Input_Raw_Products'!L148,'13_Certification_Stickers'!A:A,'13_Certification_Stickers'!C:C),"")</f>
        <v>0</v>
      </c>
      <c r="AA148" s="9" cm="1">
        <f t="array" ref="AA148">IFERROR(_xlfn.XLOOKUP('01_Input_Raw_Products'!S148,'14_Shipping_Rules'!A:A,'14_Shipping_Rules'!B:B),"")</f>
        <v>0</v>
      </c>
      <c r="AB148" s="9" cm="1">
        <f t="array" ref="AB148">IFERROR(_xlfn.XLOOKUP('01_Input_Raw_Products'!D148,'16_Astro_Flags'!A:A,'16_Astro_Flags'!B:B),"")</f>
        <v>0</v>
      </c>
      <c r="AC148" s="9">
        <f>IF(C148="","","Catalog, Search")</f>
        <v>0</v>
      </c>
      <c r="AD148" s="9">
        <f>IF(C148="","",IF(OR(F148="",J148="",M148="",S148="",Y148=""),"Manual Review","Ready"))</f>
        <v>0</v>
      </c>
      <c r="AE148" s="9">
        <f>IF(C148="","",TEXTJOIN("; ",TRUE,IF(F148="","Missing url_key",""),IF(J148="","Missing classification",""),IF(M148="","Missing j_colour",""),IF(S148="","Missing hsn_code",""),IF(Y148="","Missing tax_class_id","")))</f>
        <v>0</v>
      </c>
    </row>
    <row r="149" spans="1:31">
      <c r="A149" s="9">
        <f>IF('01_Input_Raw_Products'!B149&lt;&gt;"",20,"")</f>
        <v>0</v>
      </c>
      <c r="B149" s="9" cm="1">
        <f t="array" ref="B149">IF('01_Input_Raw_Products'!M149&lt;&gt;"",'01_Input_Raw_Products'!M149,IFERROR(_xlfn.XLOOKUP('01_Input_Raw_Products'!F149,'10_Master_Gem_Types'!A:A,'10_Master_Gem_Types'!K:K),""))</f>
        <v>0</v>
      </c>
      <c r="C149" s="9">
        <f>'01_Input_Raw_Products'!B149</f>
        <v>0</v>
      </c>
      <c r="D149" s="9">
        <f>IF(C149="","",TEXT(I149,"0.00")&amp;" Ct "&amp;IF('01_Input_Raw_Products'!F149&lt;&gt;"",'01_Input_Raw_Products'!F149,'01_Input_Raw_Products'!D149)&amp;" "&amp;'01_Input_Raw_Products'!I149)</f>
        <v>0</v>
      </c>
      <c r="E149" s="9">
        <f>IF(C149="","",D149&amp;" | GemPundit")</f>
        <v>0</v>
      </c>
      <c r="F149" s="9" cm="1">
        <f t="array" ref="F149">IF('01_Input_Raw_Products'!X149&lt;&gt;"",'01_Input_Raw_Products'!X149,IFERROR(_xlfn.XLOOKUP('01_Input_Raw_Products'!F149,'10_Master_Gem_Types'!A:A,'10_Master_Gem_Types'!O:O),LOWER(SUBSTITUTE(IF('01_Input_Raw_Products'!F149&lt;&gt;"",'01_Input_Raw_Products'!F149,'01_Input_Raw_Products'!D149)," ","-"))))</f>
        <v>0</v>
      </c>
      <c r="G149" s="9">
        <f>'01_Input_Raw_Products'!C149</f>
        <v>0</v>
      </c>
      <c r="H149" s="9" cm="1">
        <f t="array" ref="H149">IF('01_Input_Raw_Products'!H149&lt;&gt;"",'01_Input_Raw_Products'!H149,IFERROR(_xlfn.XLOOKUP('01_Input_Raw_Products'!F149,'10_Master_Gem_Types'!A:A,'10_Master_Gem_Types'!D:D),""))</f>
        <v>0</v>
      </c>
      <c r="I149" s="7">
        <f>IF('01_Input_Raw_Products'!N149&lt;&gt;"",'01_Input_Raw_Products'!N149,IF('01_Input_Raw_Products'!O149&lt;&gt;"",'01_Input_Raw_Products'!O149*0.91,""))</f>
        <v>0</v>
      </c>
      <c r="J149" s="9" cm="1">
        <f t="array" ref="J149">IFERROR(_xlfn.XLOOKUP('01_Input_Raw_Products'!F149,'10_Master_Gem_Types'!A:A,'10_Master_Gem_Types'!N:N),"")</f>
        <v>0</v>
      </c>
      <c r="K149" s="9" cm="1">
        <f t="array" ref="K149">IF('01_Input_Raw_Products'!J149&lt;&gt;"",'01_Input_Raw_Products'!J149,IFERROR(_xlfn.XLOOKUP('01_Input_Raw_Products'!F149,'10_Master_Gem_Types'!A:A,'10_Master_Gem_Types'!E:E),""))</f>
        <v>0</v>
      </c>
      <c r="L149" s="9">
        <f>'01_Input_Raw_Products'!P149</f>
        <v>0</v>
      </c>
      <c r="M149" s="9" cm="1">
        <f t="array" ref="M149">IFERROR(_xlfn.XLOOKUP('01_Input_Raw_Products'!K149,'12_Color_Mapping'!A:A,'12_Color_Mapping'!B:B),IFERROR(_xlfn.XLOOKUP('01_Input_Raw_Products'!F149,'10_Master_Gem_Types'!A:A,'10_Master_Gem_Types'!F:F),""))</f>
        <v>0</v>
      </c>
      <c r="N149" s="9">
        <f>IF(C149="","",IF('01_Input_Raw_Products'!F149&lt;&gt;"",'01_Input_Raw_Products'!F149,'01_Input_Raw_Products'!D149))</f>
        <v>0</v>
      </c>
      <c r="O149" s="9">
        <f>IF(C149="","","Catalog Automation")</f>
        <v>0</v>
      </c>
      <c r="P149" s="9">
        <f>'01_Input_Raw_Products'!U149</f>
        <v>0</v>
      </c>
      <c r="Q149" s="7">
        <f>IF('01_Input_Raw_Products'!O149&lt;&gt;"",'01_Input_Raw_Products'!O149,IF('01_Input_Raw_Products'!N149&lt;&gt;"",'01_Input_Raw_Products'!N149*1.1,""))</f>
        <v>0</v>
      </c>
      <c r="R149" s="9">
        <f>'01_Input_Raw_Products'!S149</f>
        <v>0</v>
      </c>
      <c r="S149" s="9" cm="1">
        <f t="array" ref="S149">IFERROR(_xlfn.XLOOKUP('01_Input_Raw_Products'!F149,'10_Master_Gem_Types'!A:A,'10_Master_Gem_Types'!H:H),"")</f>
        <v>0</v>
      </c>
      <c r="T149" s="8">
        <f>'01_Input_Raw_Products'!Q149</f>
        <v>0</v>
      </c>
      <c r="U149" s="8">
        <f>'01_Input_Raw_Products'!R149</f>
        <v>0</v>
      </c>
      <c r="V149" s="7">
        <f>I149</f>
        <v>0</v>
      </c>
      <c r="W149" s="9" cm="1">
        <f t="array" ref="W149">IF('01_Input_Raw_Products'!G149&lt;&gt;"",'01_Input_Raw_Products'!G149,IFERROR(_xlfn.XLOOKUP('01_Input_Raw_Products'!F149,'10_Master_Gem_Types'!A:A,'10_Master_Gem_Types'!L:L),""))</f>
        <v>0</v>
      </c>
      <c r="X149" s="9" cm="1">
        <f t="array" ref="X149">IFERROR(_xlfn.XLOOKUP('01_Input_Raw_Products'!F149,'10_Master_Gem_Types'!A:A,'10_Master_Gem_Types'!J:J),"")</f>
        <v>0</v>
      </c>
      <c r="Y149" s="9" cm="1">
        <f t="array" ref="Y149">IFERROR(_xlfn.XLOOKUP('01_Input_Raw_Products'!F149,'10_Master_Gem_Types'!A:A,'10_Master_Gem_Types'!I:I),"")</f>
        <v>0</v>
      </c>
      <c r="Z149" s="9" cm="1">
        <f t="array" ref="Z149">IFERROR(_xlfn.XLOOKUP('01_Input_Raw_Products'!L149,'13_Certification_Stickers'!A:A,'13_Certification_Stickers'!C:C),"")</f>
        <v>0</v>
      </c>
      <c r="AA149" s="9" cm="1">
        <f t="array" ref="AA149">IFERROR(_xlfn.XLOOKUP('01_Input_Raw_Products'!S149,'14_Shipping_Rules'!A:A,'14_Shipping_Rules'!B:B),"")</f>
        <v>0</v>
      </c>
      <c r="AB149" s="9" cm="1">
        <f t="array" ref="AB149">IFERROR(_xlfn.XLOOKUP('01_Input_Raw_Products'!D149,'16_Astro_Flags'!A:A,'16_Astro_Flags'!B:B),"")</f>
        <v>0</v>
      </c>
      <c r="AC149" s="9">
        <f>IF(C149="","","Catalog, Search")</f>
        <v>0</v>
      </c>
      <c r="AD149" s="9">
        <f>IF(C149="","",IF(OR(F149="",J149="",M149="",S149="",Y149=""),"Manual Review","Ready"))</f>
        <v>0</v>
      </c>
      <c r="AE149" s="9">
        <f>IF(C149="","",TEXTJOIN("; ",TRUE,IF(F149="","Missing url_key",""),IF(J149="","Missing classification",""),IF(M149="","Missing j_colour",""),IF(S149="","Missing hsn_code",""),IF(Y149="","Missing tax_class_id","")))</f>
        <v>0</v>
      </c>
    </row>
    <row r="150" spans="1:31">
      <c r="A150" s="9">
        <f>IF('01_Input_Raw_Products'!B150&lt;&gt;"",20,"")</f>
        <v>0</v>
      </c>
      <c r="B150" s="9" cm="1">
        <f t="array" ref="B150">IF('01_Input_Raw_Products'!M150&lt;&gt;"",'01_Input_Raw_Products'!M150,IFERROR(_xlfn.XLOOKUP('01_Input_Raw_Products'!F150,'10_Master_Gem_Types'!A:A,'10_Master_Gem_Types'!K:K),""))</f>
        <v>0</v>
      </c>
      <c r="C150" s="9">
        <f>'01_Input_Raw_Products'!B150</f>
        <v>0</v>
      </c>
      <c r="D150" s="9">
        <f>IF(C150="","",TEXT(I150,"0.00")&amp;" Ct "&amp;IF('01_Input_Raw_Products'!F150&lt;&gt;"",'01_Input_Raw_Products'!F150,'01_Input_Raw_Products'!D150)&amp;" "&amp;'01_Input_Raw_Products'!I150)</f>
        <v>0</v>
      </c>
      <c r="E150" s="9">
        <f>IF(C150="","",D150&amp;" | GemPundit")</f>
        <v>0</v>
      </c>
      <c r="F150" s="9" cm="1">
        <f t="array" ref="F150">IF('01_Input_Raw_Products'!X150&lt;&gt;"",'01_Input_Raw_Products'!X150,IFERROR(_xlfn.XLOOKUP('01_Input_Raw_Products'!F150,'10_Master_Gem_Types'!A:A,'10_Master_Gem_Types'!O:O),LOWER(SUBSTITUTE(IF('01_Input_Raw_Products'!F150&lt;&gt;"",'01_Input_Raw_Products'!F150,'01_Input_Raw_Products'!D150)," ","-"))))</f>
        <v>0</v>
      </c>
      <c r="G150" s="9">
        <f>'01_Input_Raw_Products'!C150</f>
        <v>0</v>
      </c>
      <c r="H150" s="9" cm="1">
        <f t="array" ref="H150">IF('01_Input_Raw_Products'!H150&lt;&gt;"",'01_Input_Raw_Products'!H150,IFERROR(_xlfn.XLOOKUP('01_Input_Raw_Products'!F150,'10_Master_Gem_Types'!A:A,'10_Master_Gem_Types'!D:D),""))</f>
        <v>0</v>
      </c>
      <c r="I150" s="7">
        <f>IF('01_Input_Raw_Products'!N150&lt;&gt;"",'01_Input_Raw_Products'!N150,IF('01_Input_Raw_Products'!O150&lt;&gt;"",'01_Input_Raw_Products'!O150*0.91,""))</f>
        <v>0</v>
      </c>
      <c r="J150" s="9" cm="1">
        <f t="array" ref="J150">IFERROR(_xlfn.XLOOKUP('01_Input_Raw_Products'!F150,'10_Master_Gem_Types'!A:A,'10_Master_Gem_Types'!N:N),"")</f>
        <v>0</v>
      </c>
      <c r="K150" s="9" cm="1">
        <f t="array" ref="K150">IF('01_Input_Raw_Products'!J150&lt;&gt;"",'01_Input_Raw_Products'!J150,IFERROR(_xlfn.XLOOKUP('01_Input_Raw_Products'!F150,'10_Master_Gem_Types'!A:A,'10_Master_Gem_Types'!E:E),""))</f>
        <v>0</v>
      </c>
      <c r="L150" s="9">
        <f>'01_Input_Raw_Products'!P150</f>
        <v>0</v>
      </c>
      <c r="M150" s="9" cm="1">
        <f t="array" ref="M150">IFERROR(_xlfn.XLOOKUP('01_Input_Raw_Products'!K150,'12_Color_Mapping'!A:A,'12_Color_Mapping'!B:B),IFERROR(_xlfn.XLOOKUP('01_Input_Raw_Products'!F150,'10_Master_Gem_Types'!A:A,'10_Master_Gem_Types'!F:F),""))</f>
        <v>0</v>
      </c>
      <c r="N150" s="9">
        <f>IF(C150="","",IF('01_Input_Raw_Products'!F150&lt;&gt;"",'01_Input_Raw_Products'!F150,'01_Input_Raw_Products'!D150))</f>
        <v>0</v>
      </c>
      <c r="O150" s="9">
        <f>IF(C150="","","Catalog Automation")</f>
        <v>0</v>
      </c>
      <c r="P150" s="9">
        <f>'01_Input_Raw_Products'!U150</f>
        <v>0</v>
      </c>
      <c r="Q150" s="7">
        <f>IF('01_Input_Raw_Products'!O150&lt;&gt;"",'01_Input_Raw_Products'!O150,IF('01_Input_Raw_Products'!N150&lt;&gt;"",'01_Input_Raw_Products'!N150*1.1,""))</f>
        <v>0</v>
      </c>
      <c r="R150" s="9">
        <f>'01_Input_Raw_Products'!S150</f>
        <v>0</v>
      </c>
      <c r="S150" s="9" cm="1">
        <f t="array" ref="S150">IFERROR(_xlfn.XLOOKUP('01_Input_Raw_Products'!F150,'10_Master_Gem_Types'!A:A,'10_Master_Gem_Types'!H:H),"")</f>
        <v>0</v>
      </c>
      <c r="T150" s="8">
        <f>'01_Input_Raw_Products'!Q150</f>
        <v>0</v>
      </c>
      <c r="U150" s="8">
        <f>'01_Input_Raw_Products'!R150</f>
        <v>0</v>
      </c>
      <c r="V150" s="7">
        <f>I150</f>
        <v>0</v>
      </c>
      <c r="W150" s="9" cm="1">
        <f t="array" ref="W150">IF('01_Input_Raw_Products'!G150&lt;&gt;"",'01_Input_Raw_Products'!G150,IFERROR(_xlfn.XLOOKUP('01_Input_Raw_Products'!F150,'10_Master_Gem_Types'!A:A,'10_Master_Gem_Types'!L:L),""))</f>
        <v>0</v>
      </c>
      <c r="X150" s="9" cm="1">
        <f t="array" ref="X150">IFERROR(_xlfn.XLOOKUP('01_Input_Raw_Products'!F150,'10_Master_Gem_Types'!A:A,'10_Master_Gem_Types'!J:J),"")</f>
        <v>0</v>
      </c>
      <c r="Y150" s="9" cm="1">
        <f t="array" ref="Y150">IFERROR(_xlfn.XLOOKUP('01_Input_Raw_Products'!F150,'10_Master_Gem_Types'!A:A,'10_Master_Gem_Types'!I:I),"")</f>
        <v>0</v>
      </c>
      <c r="Z150" s="9" cm="1">
        <f t="array" ref="Z150">IFERROR(_xlfn.XLOOKUP('01_Input_Raw_Products'!L150,'13_Certification_Stickers'!A:A,'13_Certification_Stickers'!C:C),"")</f>
        <v>0</v>
      </c>
      <c r="AA150" s="9" cm="1">
        <f t="array" ref="AA150">IFERROR(_xlfn.XLOOKUP('01_Input_Raw_Products'!S150,'14_Shipping_Rules'!A:A,'14_Shipping_Rules'!B:B),"")</f>
        <v>0</v>
      </c>
      <c r="AB150" s="9" cm="1">
        <f t="array" ref="AB150">IFERROR(_xlfn.XLOOKUP('01_Input_Raw_Products'!D150,'16_Astro_Flags'!A:A,'16_Astro_Flags'!B:B),"")</f>
        <v>0</v>
      </c>
      <c r="AC150" s="9">
        <f>IF(C150="","","Catalog, Search")</f>
        <v>0</v>
      </c>
      <c r="AD150" s="9">
        <f>IF(C150="","",IF(OR(F150="",J150="",M150="",S150="",Y150=""),"Manual Review","Ready"))</f>
        <v>0</v>
      </c>
      <c r="AE150" s="9">
        <f>IF(C150="","",TEXTJOIN("; ",TRUE,IF(F150="","Missing url_key",""),IF(J150="","Missing classification",""),IF(M150="","Missing j_colour",""),IF(S150="","Missing hsn_code",""),IF(Y150="","Missing tax_class_id","")))</f>
        <v>0</v>
      </c>
    </row>
    <row r="151" spans="1:31">
      <c r="A151" s="9">
        <f>IF('01_Input_Raw_Products'!B151&lt;&gt;"",20,"")</f>
        <v>0</v>
      </c>
      <c r="B151" s="9" cm="1">
        <f t="array" ref="B151">IF('01_Input_Raw_Products'!M151&lt;&gt;"",'01_Input_Raw_Products'!M151,IFERROR(_xlfn.XLOOKUP('01_Input_Raw_Products'!F151,'10_Master_Gem_Types'!A:A,'10_Master_Gem_Types'!K:K),""))</f>
        <v>0</v>
      </c>
      <c r="C151" s="9">
        <f>'01_Input_Raw_Products'!B151</f>
        <v>0</v>
      </c>
      <c r="D151" s="9">
        <f>IF(C151="","",TEXT(I151,"0.00")&amp;" Ct "&amp;IF('01_Input_Raw_Products'!F151&lt;&gt;"",'01_Input_Raw_Products'!F151,'01_Input_Raw_Products'!D151)&amp;" "&amp;'01_Input_Raw_Products'!I151)</f>
        <v>0</v>
      </c>
      <c r="E151" s="9">
        <f>IF(C151="","",D151&amp;" | GemPundit")</f>
        <v>0</v>
      </c>
      <c r="F151" s="9" cm="1">
        <f t="array" ref="F151">IF('01_Input_Raw_Products'!X151&lt;&gt;"",'01_Input_Raw_Products'!X151,IFERROR(_xlfn.XLOOKUP('01_Input_Raw_Products'!F151,'10_Master_Gem_Types'!A:A,'10_Master_Gem_Types'!O:O),LOWER(SUBSTITUTE(IF('01_Input_Raw_Products'!F151&lt;&gt;"",'01_Input_Raw_Products'!F151,'01_Input_Raw_Products'!D151)," ","-"))))</f>
        <v>0</v>
      </c>
      <c r="G151" s="9">
        <f>'01_Input_Raw_Products'!C151</f>
        <v>0</v>
      </c>
      <c r="H151" s="9" cm="1">
        <f t="array" ref="H151">IF('01_Input_Raw_Products'!H151&lt;&gt;"",'01_Input_Raw_Products'!H151,IFERROR(_xlfn.XLOOKUP('01_Input_Raw_Products'!F151,'10_Master_Gem_Types'!A:A,'10_Master_Gem_Types'!D:D),""))</f>
        <v>0</v>
      </c>
      <c r="I151" s="7">
        <f>IF('01_Input_Raw_Products'!N151&lt;&gt;"",'01_Input_Raw_Products'!N151,IF('01_Input_Raw_Products'!O151&lt;&gt;"",'01_Input_Raw_Products'!O151*0.91,""))</f>
        <v>0</v>
      </c>
      <c r="J151" s="9" cm="1">
        <f t="array" ref="J151">IFERROR(_xlfn.XLOOKUP('01_Input_Raw_Products'!F151,'10_Master_Gem_Types'!A:A,'10_Master_Gem_Types'!N:N),"")</f>
        <v>0</v>
      </c>
      <c r="K151" s="9" cm="1">
        <f t="array" ref="K151">IF('01_Input_Raw_Products'!J151&lt;&gt;"",'01_Input_Raw_Products'!J151,IFERROR(_xlfn.XLOOKUP('01_Input_Raw_Products'!F151,'10_Master_Gem_Types'!A:A,'10_Master_Gem_Types'!E:E),""))</f>
        <v>0</v>
      </c>
      <c r="L151" s="9">
        <f>'01_Input_Raw_Products'!P151</f>
        <v>0</v>
      </c>
      <c r="M151" s="9" cm="1">
        <f t="array" ref="M151">IFERROR(_xlfn.XLOOKUP('01_Input_Raw_Products'!K151,'12_Color_Mapping'!A:A,'12_Color_Mapping'!B:B),IFERROR(_xlfn.XLOOKUP('01_Input_Raw_Products'!F151,'10_Master_Gem_Types'!A:A,'10_Master_Gem_Types'!F:F),""))</f>
        <v>0</v>
      </c>
      <c r="N151" s="9">
        <f>IF(C151="","",IF('01_Input_Raw_Products'!F151&lt;&gt;"",'01_Input_Raw_Products'!F151,'01_Input_Raw_Products'!D151))</f>
        <v>0</v>
      </c>
      <c r="O151" s="9">
        <f>IF(C151="","","Catalog Automation")</f>
        <v>0</v>
      </c>
      <c r="P151" s="9">
        <f>'01_Input_Raw_Products'!U151</f>
        <v>0</v>
      </c>
      <c r="Q151" s="7">
        <f>IF('01_Input_Raw_Products'!O151&lt;&gt;"",'01_Input_Raw_Products'!O151,IF('01_Input_Raw_Products'!N151&lt;&gt;"",'01_Input_Raw_Products'!N151*1.1,""))</f>
        <v>0</v>
      </c>
      <c r="R151" s="9">
        <f>'01_Input_Raw_Products'!S151</f>
        <v>0</v>
      </c>
      <c r="S151" s="9" cm="1">
        <f t="array" ref="S151">IFERROR(_xlfn.XLOOKUP('01_Input_Raw_Products'!F151,'10_Master_Gem_Types'!A:A,'10_Master_Gem_Types'!H:H),"")</f>
        <v>0</v>
      </c>
      <c r="T151" s="8">
        <f>'01_Input_Raw_Products'!Q151</f>
        <v>0</v>
      </c>
      <c r="U151" s="8">
        <f>'01_Input_Raw_Products'!R151</f>
        <v>0</v>
      </c>
      <c r="V151" s="7">
        <f>I151</f>
        <v>0</v>
      </c>
      <c r="W151" s="9" cm="1">
        <f t="array" ref="W151">IF('01_Input_Raw_Products'!G151&lt;&gt;"",'01_Input_Raw_Products'!G151,IFERROR(_xlfn.XLOOKUP('01_Input_Raw_Products'!F151,'10_Master_Gem_Types'!A:A,'10_Master_Gem_Types'!L:L),""))</f>
        <v>0</v>
      </c>
      <c r="X151" s="9" cm="1">
        <f t="array" ref="X151">IFERROR(_xlfn.XLOOKUP('01_Input_Raw_Products'!F151,'10_Master_Gem_Types'!A:A,'10_Master_Gem_Types'!J:J),"")</f>
        <v>0</v>
      </c>
      <c r="Y151" s="9" cm="1">
        <f t="array" ref="Y151">IFERROR(_xlfn.XLOOKUP('01_Input_Raw_Products'!F151,'10_Master_Gem_Types'!A:A,'10_Master_Gem_Types'!I:I),"")</f>
        <v>0</v>
      </c>
      <c r="Z151" s="9" cm="1">
        <f t="array" ref="Z151">IFERROR(_xlfn.XLOOKUP('01_Input_Raw_Products'!L151,'13_Certification_Stickers'!A:A,'13_Certification_Stickers'!C:C),"")</f>
        <v>0</v>
      </c>
      <c r="AA151" s="9" cm="1">
        <f t="array" ref="AA151">IFERROR(_xlfn.XLOOKUP('01_Input_Raw_Products'!S151,'14_Shipping_Rules'!A:A,'14_Shipping_Rules'!B:B),"")</f>
        <v>0</v>
      </c>
      <c r="AB151" s="9" cm="1">
        <f t="array" ref="AB151">IFERROR(_xlfn.XLOOKUP('01_Input_Raw_Products'!D151,'16_Astro_Flags'!A:A,'16_Astro_Flags'!B:B),"")</f>
        <v>0</v>
      </c>
      <c r="AC151" s="9">
        <f>IF(C151="","","Catalog, Search")</f>
        <v>0</v>
      </c>
      <c r="AD151" s="9">
        <f>IF(C151="","",IF(OR(F151="",J151="",M151="",S151="",Y151=""),"Manual Review","Ready"))</f>
        <v>0</v>
      </c>
      <c r="AE151" s="9">
        <f>IF(C151="","",TEXTJOIN("; ",TRUE,IF(F151="","Missing url_key",""),IF(J151="","Missing classification",""),IF(M151="","Missing j_colour",""),IF(S151="","Missing hsn_code",""),IF(Y151="","Missing tax_class_id","")))</f>
        <v>0</v>
      </c>
    </row>
    <row r="152" spans="1:31">
      <c r="A152" s="9">
        <f>IF('01_Input_Raw_Products'!B152&lt;&gt;"",20,"")</f>
        <v>0</v>
      </c>
      <c r="B152" s="9" cm="1">
        <f t="array" ref="B152">IF('01_Input_Raw_Products'!M152&lt;&gt;"",'01_Input_Raw_Products'!M152,IFERROR(_xlfn.XLOOKUP('01_Input_Raw_Products'!F152,'10_Master_Gem_Types'!A:A,'10_Master_Gem_Types'!K:K),""))</f>
        <v>0</v>
      </c>
      <c r="C152" s="9">
        <f>'01_Input_Raw_Products'!B152</f>
        <v>0</v>
      </c>
      <c r="D152" s="9">
        <f>IF(C152="","",TEXT(I152,"0.00")&amp;" Ct "&amp;IF('01_Input_Raw_Products'!F152&lt;&gt;"",'01_Input_Raw_Products'!F152,'01_Input_Raw_Products'!D152)&amp;" "&amp;'01_Input_Raw_Products'!I152)</f>
        <v>0</v>
      </c>
      <c r="E152" s="9">
        <f>IF(C152="","",D152&amp;" | GemPundit")</f>
        <v>0</v>
      </c>
      <c r="F152" s="9" cm="1">
        <f t="array" ref="F152">IF('01_Input_Raw_Products'!X152&lt;&gt;"",'01_Input_Raw_Products'!X152,IFERROR(_xlfn.XLOOKUP('01_Input_Raw_Products'!F152,'10_Master_Gem_Types'!A:A,'10_Master_Gem_Types'!O:O),LOWER(SUBSTITUTE(IF('01_Input_Raw_Products'!F152&lt;&gt;"",'01_Input_Raw_Products'!F152,'01_Input_Raw_Products'!D152)," ","-"))))</f>
        <v>0</v>
      </c>
      <c r="G152" s="9">
        <f>'01_Input_Raw_Products'!C152</f>
        <v>0</v>
      </c>
      <c r="H152" s="9" cm="1">
        <f t="array" ref="H152">IF('01_Input_Raw_Products'!H152&lt;&gt;"",'01_Input_Raw_Products'!H152,IFERROR(_xlfn.XLOOKUP('01_Input_Raw_Products'!F152,'10_Master_Gem_Types'!A:A,'10_Master_Gem_Types'!D:D),""))</f>
        <v>0</v>
      </c>
      <c r="I152" s="7">
        <f>IF('01_Input_Raw_Products'!N152&lt;&gt;"",'01_Input_Raw_Products'!N152,IF('01_Input_Raw_Products'!O152&lt;&gt;"",'01_Input_Raw_Products'!O152*0.91,""))</f>
        <v>0</v>
      </c>
      <c r="J152" s="9" cm="1">
        <f t="array" ref="J152">IFERROR(_xlfn.XLOOKUP('01_Input_Raw_Products'!F152,'10_Master_Gem_Types'!A:A,'10_Master_Gem_Types'!N:N),"")</f>
        <v>0</v>
      </c>
      <c r="K152" s="9" cm="1">
        <f t="array" ref="K152">IF('01_Input_Raw_Products'!J152&lt;&gt;"",'01_Input_Raw_Products'!J152,IFERROR(_xlfn.XLOOKUP('01_Input_Raw_Products'!F152,'10_Master_Gem_Types'!A:A,'10_Master_Gem_Types'!E:E),""))</f>
        <v>0</v>
      </c>
      <c r="L152" s="9">
        <f>'01_Input_Raw_Products'!P152</f>
        <v>0</v>
      </c>
      <c r="M152" s="9" cm="1">
        <f t="array" ref="M152">IFERROR(_xlfn.XLOOKUP('01_Input_Raw_Products'!K152,'12_Color_Mapping'!A:A,'12_Color_Mapping'!B:B),IFERROR(_xlfn.XLOOKUP('01_Input_Raw_Products'!F152,'10_Master_Gem_Types'!A:A,'10_Master_Gem_Types'!F:F),""))</f>
        <v>0</v>
      </c>
      <c r="N152" s="9">
        <f>IF(C152="","",IF('01_Input_Raw_Products'!F152&lt;&gt;"",'01_Input_Raw_Products'!F152,'01_Input_Raw_Products'!D152))</f>
        <v>0</v>
      </c>
      <c r="O152" s="9">
        <f>IF(C152="","","Catalog Automation")</f>
        <v>0</v>
      </c>
      <c r="P152" s="9">
        <f>'01_Input_Raw_Products'!U152</f>
        <v>0</v>
      </c>
      <c r="Q152" s="7">
        <f>IF('01_Input_Raw_Products'!O152&lt;&gt;"",'01_Input_Raw_Products'!O152,IF('01_Input_Raw_Products'!N152&lt;&gt;"",'01_Input_Raw_Products'!N152*1.1,""))</f>
        <v>0</v>
      </c>
      <c r="R152" s="9">
        <f>'01_Input_Raw_Products'!S152</f>
        <v>0</v>
      </c>
      <c r="S152" s="9" cm="1">
        <f t="array" ref="S152">IFERROR(_xlfn.XLOOKUP('01_Input_Raw_Products'!F152,'10_Master_Gem_Types'!A:A,'10_Master_Gem_Types'!H:H),"")</f>
        <v>0</v>
      </c>
      <c r="T152" s="8">
        <f>'01_Input_Raw_Products'!Q152</f>
        <v>0</v>
      </c>
      <c r="U152" s="8">
        <f>'01_Input_Raw_Products'!R152</f>
        <v>0</v>
      </c>
      <c r="V152" s="7">
        <f>I152</f>
        <v>0</v>
      </c>
      <c r="W152" s="9" cm="1">
        <f t="array" ref="W152">IF('01_Input_Raw_Products'!G152&lt;&gt;"",'01_Input_Raw_Products'!G152,IFERROR(_xlfn.XLOOKUP('01_Input_Raw_Products'!F152,'10_Master_Gem_Types'!A:A,'10_Master_Gem_Types'!L:L),""))</f>
        <v>0</v>
      </c>
      <c r="X152" s="9" cm="1">
        <f t="array" ref="X152">IFERROR(_xlfn.XLOOKUP('01_Input_Raw_Products'!F152,'10_Master_Gem_Types'!A:A,'10_Master_Gem_Types'!J:J),"")</f>
        <v>0</v>
      </c>
      <c r="Y152" s="9" cm="1">
        <f t="array" ref="Y152">IFERROR(_xlfn.XLOOKUP('01_Input_Raw_Products'!F152,'10_Master_Gem_Types'!A:A,'10_Master_Gem_Types'!I:I),"")</f>
        <v>0</v>
      </c>
      <c r="Z152" s="9" cm="1">
        <f t="array" ref="Z152">IFERROR(_xlfn.XLOOKUP('01_Input_Raw_Products'!L152,'13_Certification_Stickers'!A:A,'13_Certification_Stickers'!C:C),"")</f>
        <v>0</v>
      </c>
      <c r="AA152" s="9" cm="1">
        <f t="array" ref="AA152">IFERROR(_xlfn.XLOOKUP('01_Input_Raw_Products'!S152,'14_Shipping_Rules'!A:A,'14_Shipping_Rules'!B:B),"")</f>
        <v>0</v>
      </c>
      <c r="AB152" s="9" cm="1">
        <f t="array" ref="AB152">IFERROR(_xlfn.XLOOKUP('01_Input_Raw_Products'!D152,'16_Astro_Flags'!A:A,'16_Astro_Flags'!B:B),"")</f>
        <v>0</v>
      </c>
      <c r="AC152" s="9">
        <f>IF(C152="","","Catalog, Search")</f>
        <v>0</v>
      </c>
      <c r="AD152" s="9">
        <f>IF(C152="","",IF(OR(F152="",J152="",M152="",S152="",Y152=""),"Manual Review","Ready"))</f>
        <v>0</v>
      </c>
      <c r="AE152" s="9">
        <f>IF(C152="","",TEXTJOIN("; ",TRUE,IF(F152="","Missing url_key",""),IF(J152="","Missing classification",""),IF(M152="","Missing j_colour",""),IF(S152="","Missing hsn_code",""),IF(Y152="","Missing tax_class_id","")))</f>
        <v>0</v>
      </c>
    </row>
    <row r="153" spans="1:31">
      <c r="A153" s="9">
        <f>IF('01_Input_Raw_Products'!B153&lt;&gt;"",20,"")</f>
        <v>0</v>
      </c>
      <c r="B153" s="9" cm="1">
        <f t="array" ref="B153">IF('01_Input_Raw_Products'!M153&lt;&gt;"",'01_Input_Raw_Products'!M153,IFERROR(_xlfn.XLOOKUP('01_Input_Raw_Products'!F153,'10_Master_Gem_Types'!A:A,'10_Master_Gem_Types'!K:K),""))</f>
        <v>0</v>
      </c>
      <c r="C153" s="9">
        <f>'01_Input_Raw_Products'!B153</f>
        <v>0</v>
      </c>
      <c r="D153" s="9">
        <f>IF(C153="","",TEXT(I153,"0.00")&amp;" Ct "&amp;IF('01_Input_Raw_Products'!F153&lt;&gt;"",'01_Input_Raw_Products'!F153,'01_Input_Raw_Products'!D153)&amp;" "&amp;'01_Input_Raw_Products'!I153)</f>
        <v>0</v>
      </c>
      <c r="E153" s="9">
        <f>IF(C153="","",D153&amp;" | GemPundit")</f>
        <v>0</v>
      </c>
      <c r="F153" s="9" cm="1">
        <f t="array" ref="F153">IF('01_Input_Raw_Products'!X153&lt;&gt;"",'01_Input_Raw_Products'!X153,IFERROR(_xlfn.XLOOKUP('01_Input_Raw_Products'!F153,'10_Master_Gem_Types'!A:A,'10_Master_Gem_Types'!O:O),LOWER(SUBSTITUTE(IF('01_Input_Raw_Products'!F153&lt;&gt;"",'01_Input_Raw_Products'!F153,'01_Input_Raw_Products'!D153)," ","-"))))</f>
        <v>0</v>
      </c>
      <c r="G153" s="9">
        <f>'01_Input_Raw_Products'!C153</f>
        <v>0</v>
      </c>
      <c r="H153" s="9" cm="1">
        <f t="array" ref="H153">IF('01_Input_Raw_Products'!H153&lt;&gt;"",'01_Input_Raw_Products'!H153,IFERROR(_xlfn.XLOOKUP('01_Input_Raw_Products'!F153,'10_Master_Gem_Types'!A:A,'10_Master_Gem_Types'!D:D),""))</f>
        <v>0</v>
      </c>
      <c r="I153" s="7">
        <f>IF('01_Input_Raw_Products'!N153&lt;&gt;"",'01_Input_Raw_Products'!N153,IF('01_Input_Raw_Products'!O153&lt;&gt;"",'01_Input_Raw_Products'!O153*0.91,""))</f>
        <v>0</v>
      </c>
      <c r="J153" s="9" cm="1">
        <f t="array" ref="J153">IFERROR(_xlfn.XLOOKUP('01_Input_Raw_Products'!F153,'10_Master_Gem_Types'!A:A,'10_Master_Gem_Types'!N:N),"")</f>
        <v>0</v>
      </c>
      <c r="K153" s="9" cm="1">
        <f t="array" ref="K153">IF('01_Input_Raw_Products'!J153&lt;&gt;"",'01_Input_Raw_Products'!J153,IFERROR(_xlfn.XLOOKUP('01_Input_Raw_Products'!F153,'10_Master_Gem_Types'!A:A,'10_Master_Gem_Types'!E:E),""))</f>
        <v>0</v>
      </c>
      <c r="L153" s="9">
        <f>'01_Input_Raw_Products'!P153</f>
        <v>0</v>
      </c>
      <c r="M153" s="9" cm="1">
        <f t="array" ref="M153">IFERROR(_xlfn.XLOOKUP('01_Input_Raw_Products'!K153,'12_Color_Mapping'!A:A,'12_Color_Mapping'!B:B),IFERROR(_xlfn.XLOOKUP('01_Input_Raw_Products'!F153,'10_Master_Gem_Types'!A:A,'10_Master_Gem_Types'!F:F),""))</f>
        <v>0</v>
      </c>
      <c r="N153" s="9">
        <f>IF(C153="","",IF('01_Input_Raw_Products'!F153&lt;&gt;"",'01_Input_Raw_Products'!F153,'01_Input_Raw_Products'!D153))</f>
        <v>0</v>
      </c>
      <c r="O153" s="9">
        <f>IF(C153="","","Catalog Automation")</f>
        <v>0</v>
      </c>
      <c r="P153" s="9">
        <f>'01_Input_Raw_Products'!U153</f>
        <v>0</v>
      </c>
      <c r="Q153" s="7">
        <f>IF('01_Input_Raw_Products'!O153&lt;&gt;"",'01_Input_Raw_Products'!O153,IF('01_Input_Raw_Products'!N153&lt;&gt;"",'01_Input_Raw_Products'!N153*1.1,""))</f>
        <v>0</v>
      </c>
      <c r="R153" s="9">
        <f>'01_Input_Raw_Products'!S153</f>
        <v>0</v>
      </c>
      <c r="S153" s="9" cm="1">
        <f t="array" ref="S153">IFERROR(_xlfn.XLOOKUP('01_Input_Raw_Products'!F153,'10_Master_Gem_Types'!A:A,'10_Master_Gem_Types'!H:H),"")</f>
        <v>0</v>
      </c>
      <c r="T153" s="8">
        <f>'01_Input_Raw_Products'!Q153</f>
        <v>0</v>
      </c>
      <c r="U153" s="8">
        <f>'01_Input_Raw_Products'!R153</f>
        <v>0</v>
      </c>
      <c r="V153" s="7">
        <f>I153</f>
        <v>0</v>
      </c>
      <c r="W153" s="9" cm="1">
        <f t="array" ref="W153">IF('01_Input_Raw_Products'!G153&lt;&gt;"",'01_Input_Raw_Products'!G153,IFERROR(_xlfn.XLOOKUP('01_Input_Raw_Products'!F153,'10_Master_Gem_Types'!A:A,'10_Master_Gem_Types'!L:L),""))</f>
        <v>0</v>
      </c>
      <c r="X153" s="9" cm="1">
        <f t="array" ref="X153">IFERROR(_xlfn.XLOOKUP('01_Input_Raw_Products'!F153,'10_Master_Gem_Types'!A:A,'10_Master_Gem_Types'!J:J),"")</f>
        <v>0</v>
      </c>
      <c r="Y153" s="9" cm="1">
        <f t="array" ref="Y153">IFERROR(_xlfn.XLOOKUP('01_Input_Raw_Products'!F153,'10_Master_Gem_Types'!A:A,'10_Master_Gem_Types'!I:I),"")</f>
        <v>0</v>
      </c>
      <c r="Z153" s="9" cm="1">
        <f t="array" ref="Z153">IFERROR(_xlfn.XLOOKUP('01_Input_Raw_Products'!L153,'13_Certification_Stickers'!A:A,'13_Certification_Stickers'!C:C),"")</f>
        <v>0</v>
      </c>
      <c r="AA153" s="9" cm="1">
        <f t="array" ref="AA153">IFERROR(_xlfn.XLOOKUP('01_Input_Raw_Products'!S153,'14_Shipping_Rules'!A:A,'14_Shipping_Rules'!B:B),"")</f>
        <v>0</v>
      </c>
      <c r="AB153" s="9" cm="1">
        <f t="array" ref="AB153">IFERROR(_xlfn.XLOOKUP('01_Input_Raw_Products'!D153,'16_Astro_Flags'!A:A,'16_Astro_Flags'!B:B),"")</f>
        <v>0</v>
      </c>
      <c r="AC153" s="9">
        <f>IF(C153="","","Catalog, Search")</f>
        <v>0</v>
      </c>
      <c r="AD153" s="9">
        <f>IF(C153="","",IF(OR(F153="",J153="",M153="",S153="",Y153=""),"Manual Review","Ready"))</f>
        <v>0</v>
      </c>
      <c r="AE153" s="9">
        <f>IF(C153="","",TEXTJOIN("; ",TRUE,IF(F153="","Missing url_key",""),IF(J153="","Missing classification",""),IF(M153="","Missing j_colour",""),IF(S153="","Missing hsn_code",""),IF(Y153="","Missing tax_class_id","")))</f>
        <v>0</v>
      </c>
    </row>
    <row r="154" spans="1:31">
      <c r="A154" s="9">
        <f>IF('01_Input_Raw_Products'!B154&lt;&gt;"",20,"")</f>
        <v>0</v>
      </c>
      <c r="B154" s="9" cm="1">
        <f t="array" ref="B154">IF('01_Input_Raw_Products'!M154&lt;&gt;"",'01_Input_Raw_Products'!M154,IFERROR(_xlfn.XLOOKUP('01_Input_Raw_Products'!F154,'10_Master_Gem_Types'!A:A,'10_Master_Gem_Types'!K:K),""))</f>
        <v>0</v>
      </c>
      <c r="C154" s="9">
        <f>'01_Input_Raw_Products'!B154</f>
        <v>0</v>
      </c>
      <c r="D154" s="9">
        <f>IF(C154="","",TEXT(I154,"0.00")&amp;" Ct "&amp;IF('01_Input_Raw_Products'!F154&lt;&gt;"",'01_Input_Raw_Products'!F154,'01_Input_Raw_Products'!D154)&amp;" "&amp;'01_Input_Raw_Products'!I154)</f>
        <v>0</v>
      </c>
      <c r="E154" s="9">
        <f>IF(C154="","",D154&amp;" | GemPundit")</f>
        <v>0</v>
      </c>
      <c r="F154" s="9" cm="1">
        <f t="array" ref="F154">IF('01_Input_Raw_Products'!X154&lt;&gt;"",'01_Input_Raw_Products'!X154,IFERROR(_xlfn.XLOOKUP('01_Input_Raw_Products'!F154,'10_Master_Gem_Types'!A:A,'10_Master_Gem_Types'!O:O),LOWER(SUBSTITUTE(IF('01_Input_Raw_Products'!F154&lt;&gt;"",'01_Input_Raw_Products'!F154,'01_Input_Raw_Products'!D154)," ","-"))))</f>
        <v>0</v>
      </c>
      <c r="G154" s="9">
        <f>'01_Input_Raw_Products'!C154</f>
        <v>0</v>
      </c>
      <c r="H154" s="9" cm="1">
        <f t="array" ref="H154">IF('01_Input_Raw_Products'!H154&lt;&gt;"",'01_Input_Raw_Products'!H154,IFERROR(_xlfn.XLOOKUP('01_Input_Raw_Products'!F154,'10_Master_Gem_Types'!A:A,'10_Master_Gem_Types'!D:D),""))</f>
        <v>0</v>
      </c>
      <c r="I154" s="7">
        <f>IF('01_Input_Raw_Products'!N154&lt;&gt;"",'01_Input_Raw_Products'!N154,IF('01_Input_Raw_Products'!O154&lt;&gt;"",'01_Input_Raw_Products'!O154*0.91,""))</f>
        <v>0</v>
      </c>
      <c r="J154" s="9" cm="1">
        <f t="array" ref="J154">IFERROR(_xlfn.XLOOKUP('01_Input_Raw_Products'!F154,'10_Master_Gem_Types'!A:A,'10_Master_Gem_Types'!N:N),"")</f>
        <v>0</v>
      </c>
      <c r="K154" s="9" cm="1">
        <f t="array" ref="K154">IF('01_Input_Raw_Products'!J154&lt;&gt;"",'01_Input_Raw_Products'!J154,IFERROR(_xlfn.XLOOKUP('01_Input_Raw_Products'!F154,'10_Master_Gem_Types'!A:A,'10_Master_Gem_Types'!E:E),""))</f>
        <v>0</v>
      </c>
      <c r="L154" s="9">
        <f>'01_Input_Raw_Products'!P154</f>
        <v>0</v>
      </c>
      <c r="M154" s="9" cm="1">
        <f t="array" ref="M154">IFERROR(_xlfn.XLOOKUP('01_Input_Raw_Products'!K154,'12_Color_Mapping'!A:A,'12_Color_Mapping'!B:B),IFERROR(_xlfn.XLOOKUP('01_Input_Raw_Products'!F154,'10_Master_Gem_Types'!A:A,'10_Master_Gem_Types'!F:F),""))</f>
        <v>0</v>
      </c>
      <c r="N154" s="9">
        <f>IF(C154="","",IF('01_Input_Raw_Products'!F154&lt;&gt;"",'01_Input_Raw_Products'!F154,'01_Input_Raw_Products'!D154))</f>
        <v>0</v>
      </c>
      <c r="O154" s="9">
        <f>IF(C154="","","Catalog Automation")</f>
        <v>0</v>
      </c>
      <c r="P154" s="9">
        <f>'01_Input_Raw_Products'!U154</f>
        <v>0</v>
      </c>
      <c r="Q154" s="7">
        <f>IF('01_Input_Raw_Products'!O154&lt;&gt;"",'01_Input_Raw_Products'!O154,IF('01_Input_Raw_Products'!N154&lt;&gt;"",'01_Input_Raw_Products'!N154*1.1,""))</f>
        <v>0</v>
      </c>
      <c r="R154" s="9">
        <f>'01_Input_Raw_Products'!S154</f>
        <v>0</v>
      </c>
      <c r="S154" s="9" cm="1">
        <f t="array" ref="S154">IFERROR(_xlfn.XLOOKUP('01_Input_Raw_Products'!F154,'10_Master_Gem_Types'!A:A,'10_Master_Gem_Types'!H:H),"")</f>
        <v>0</v>
      </c>
      <c r="T154" s="8">
        <f>'01_Input_Raw_Products'!Q154</f>
        <v>0</v>
      </c>
      <c r="U154" s="8">
        <f>'01_Input_Raw_Products'!R154</f>
        <v>0</v>
      </c>
      <c r="V154" s="7">
        <f>I154</f>
        <v>0</v>
      </c>
      <c r="W154" s="9" cm="1">
        <f t="array" ref="W154">IF('01_Input_Raw_Products'!G154&lt;&gt;"",'01_Input_Raw_Products'!G154,IFERROR(_xlfn.XLOOKUP('01_Input_Raw_Products'!F154,'10_Master_Gem_Types'!A:A,'10_Master_Gem_Types'!L:L),""))</f>
        <v>0</v>
      </c>
      <c r="X154" s="9" cm="1">
        <f t="array" ref="X154">IFERROR(_xlfn.XLOOKUP('01_Input_Raw_Products'!F154,'10_Master_Gem_Types'!A:A,'10_Master_Gem_Types'!J:J),"")</f>
        <v>0</v>
      </c>
      <c r="Y154" s="9" cm="1">
        <f t="array" ref="Y154">IFERROR(_xlfn.XLOOKUP('01_Input_Raw_Products'!F154,'10_Master_Gem_Types'!A:A,'10_Master_Gem_Types'!I:I),"")</f>
        <v>0</v>
      </c>
      <c r="Z154" s="9" cm="1">
        <f t="array" ref="Z154">IFERROR(_xlfn.XLOOKUP('01_Input_Raw_Products'!L154,'13_Certification_Stickers'!A:A,'13_Certification_Stickers'!C:C),"")</f>
        <v>0</v>
      </c>
      <c r="AA154" s="9" cm="1">
        <f t="array" ref="AA154">IFERROR(_xlfn.XLOOKUP('01_Input_Raw_Products'!S154,'14_Shipping_Rules'!A:A,'14_Shipping_Rules'!B:B),"")</f>
        <v>0</v>
      </c>
      <c r="AB154" s="9" cm="1">
        <f t="array" ref="AB154">IFERROR(_xlfn.XLOOKUP('01_Input_Raw_Products'!D154,'16_Astro_Flags'!A:A,'16_Astro_Flags'!B:B),"")</f>
        <v>0</v>
      </c>
      <c r="AC154" s="9">
        <f>IF(C154="","","Catalog, Search")</f>
        <v>0</v>
      </c>
      <c r="AD154" s="9">
        <f>IF(C154="","",IF(OR(F154="",J154="",M154="",S154="",Y154=""),"Manual Review","Ready"))</f>
        <v>0</v>
      </c>
      <c r="AE154" s="9">
        <f>IF(C154="","",TEXTJOIN("; ",TRUE,IF(F154="","Missing url_key",""),IF(J154="","Missing classification",""),IF(M154="","Missing j_colour",""),IF(S154="","Missing hsn_code",""),IF(Y154="","Missing tax_class_id","")))</f>
        <v>0</v>
      </c>
    </row>
    <row r="155" spans="1:31">
      <c r="A155" s="9">
        <f>IF('01_Input_Raw_Products'!B155&lt;&gt;"",20,"")</f>
        <v>0</v>
      </c>
      <c r="B155" s="9" cm="1">
        <f t="array" ref="B155">IF('01_Input_Raw_Products'!M155&lt;&gt;"",'01_Input_Raw_Products'!M155,IFERROR(_xlfn.XLOOKUP('01_Input_Raw_Products'!F155,'10_Master_Gem_Types'!A:A,'10_Master_Gem_Types'!K:K),""))</f>
        <v>0</v>
      </c>
      <c r="C155" s="9">
        <f>'01_Input_Raw_Products'!B155</f>
        <v>0</v>
      </c>
      <c r="D155" s="9">
        <f>IF(C155="","",TEXT(I155,"0.00")&amp;" Ct "&amp;IF('01_Input_Raw_Products'!F155&lt;&gt;"",'01_Input_Raw_Products'!F155,'01_Input_Raw_Products'!D155)&amp;" "&amp;'01_Input_Raw_Products'!I155)</f>
        <v>0</v>
      </c>
      <c r="E155" s="9">
        <f>IF(C155="","",D155&amp;" | GemPundit")</f>
        <v>0</v>
      </c>
      <c r="F155" s="9" cm="1">
        <f t="array" ref="F155">IF('01_Input_Raw_Products'!X155&lt;&gt;"",'01_Input_Raw_Products'!X155,IFERROR(_xlfn.XLOOKUP('01_Input_Raw_Products'!F155,'10_Master_Gem_Types'!A:A,'10_Master_Gem_Types'!O:O),LOWER(SUBSTITUTE(IF('01_Input_Raw_Products'!F155&lt;&gt;"",'01_Input_Raw_Products'!F155,'01_Input_Raw_Products'!D155)," ","-"))))</f>
        <v>0</v>
      </c>
      <c r="G155" s="9">
        <f>'01_Input_Raw_Products'!C155</f>
        <v>0</v>
      </c>
      <c r="H155" s="9" cm="1">
        <f t="array" ref="H155">IF('01_Input_Raw_Products'!H155&lt;&gt;"",'01_Input_Raw_Products'!H155,IFERROR(_xlfn.XLOOKUP('01_Input_Raw_Products'!F155,'10_Master_Gem_Types'!A:A,'10_Master_Gem_Types'!D:D),""))</f>
        <v>0</v>
      </c>
      <c r="I155" s="7">
        <f>IF('01_Input_Raw_Products'!N155&lt;&gt;"",'01_Input_Raw_Products'!N155,IF('01_Input_Raw_Products'!O155&lt;&gt;"",'01_Input_Raw_Products'!O155*0.91,""))</f>
        <v>0</v>
      </c>
      <c r="J155" s="9" cm="1">
        <f t="array" ref="J155">IFERROR(_xlfn.XLOOKUP('01_Input_Raw_Products'!F155,'10_Master_Gem_Types'!A:A,'10_Master_Gem_Types'!N:N),"")</f>
        <v>0</v>
      </c>
      <c r="K155" s="9" cm="1">
        <f t="array" ref="K155">IF('01_Input_Raw_Products'!J155&lt;&gt;"",'01_Input_Raw_Products'!J155,IFERROR(_xlfn.XLOOKUP('01_Input_Raw_Products'!F155,'10_Master_Gem_Types'!A:A,'10_Master_Gem_Types'!E:E),""))</f>
        <v>0</v>
      </c>
      <c r="L155" s="9">
        <f>'01_Input_Raw_Products'!P155</f>
        <v>0</v>
      </c>
      <c r="M155" s="9" cm="1">
        <f t="array" ref="M155">IFERROR(_xlfn.XLOOKUP('01_Input_Raw_Products'!K155,'12_Color_Mapping'!A:A,'12_Color_Mapping'!B:B),IFERROR(_xlfn.XLOOKUP('01_Input_Raw_Products'!F155,'10_Master_Gem_Types'!A:A,'10_Master_Gem_Types'!F:F),""))</f>
        <v>0</v>
      </c>
      <c r="N155" s="9">
        <f>IF(C155="","",IF('01_Input_Raw_Products'!F155&lt;&gt;"",'01_Input_Raw_Products'!F155,'01_Input_Raw_Products'!D155))</f>
        <v>0</v>
      </c>
      <c r="O155" s="9">
        <f>IF(C155="","","Catalog Automation")</f>
        <v>0</v>
      </c>
      <c r="P155" s="9">
        <f>'01_Input_Raw_Products'!U155</f>
        <v>0</v>
      </c>
      <c r="Q155" s="7">
        <f>IF('01_Input_Raw_Products'!O155&lt;&gt;"",'01_Input_Raw_Products'!O155,IF('01_Input_Raw_Products'!N155&lt;&gt;"",'01_Input_Raw_Products'!N155*1.1,""))</f>
        <v>0</v>
      </c>
      <c r="R155" s="9">
        <f>'01_Input_Raw_Products'!S155</f>
        <v>0</v>
      </c>
      <c r="S155" s="9" cm="1">
        <f t="array" ref="S155">IFERROR(_xlfn.XLOOKUP('01_Input_Raw_Products'!F155,'10_Master_Gem_Types'!A:A,'10_Master_Gem_Types'!H:H),"")</f>
        <v>0</v>
      </c>
      <c r="T155" s="8">
        <f>'01_Input_Raw_Products'!Q155</f>
        <v>0</v>
      </c>
      <c r="U155" s="8">
        <f>'01_Input_Raw_Products'!R155</f>
        <v>0</v>
      </c>
      <c r="V155" s="7">
        <f>I155</f>
        <v>0</v>
      </c>
      <c r="W155" s="9" cm="1">
        <f t="array" ref="W155">IF('01_Input_Raw_Products'!G155&lt;&gt;"",'01_Input_Raw_Products'!G155,IFERROR(_xlfn.XLOOKUP('01_Input_Raw_Products'!F155,'10_Master_Gem_Types'!A:A,'10_Master_Gem_Types'!L:L),""))</f>
        <v>0</v>
      </c>
      <c r="X155" s="9" cm="1">
        <f t="array" ref="X155">IFERROR(_xlfn.XLOOKUP('01_Input_Raw_Products'!F155,'10_Master_Gem_Types'!A:A,'10_Master_Gem_Types'!J:J),"")</f>
        <v>0</v>
      </c>
      <c r="Y155" s="9" cm="1">
        <f t="array" ref="Y155">IFERROR(_xlfn.XLOOKUP('01_Input_Raw_Products'!F155,'10_Master_Gem_Types'!A:A,'10_Master_Gem_Types'!I:I),"")</f>
        <v>0</v>
      </c>
      <c r="Z155" s="9" cm="1">
        <f t="array" ref="Z155">IFERROR(_xlfn.XLOOKUP('01_Input_Raw_Products'!L155,'13_Certification_Stickers'!A:A,'13_Certification_Stickers'!C:C),"")</f>
        <v>0</v>
      </c>
      <c r="AA155" s="9" cm="1">
        <f t="array" ref="AA155">IFERROR(_xlfn.XLOOKUP('01_Input_Raw_Products'!S155,'14_Shipping_Rules'!A:A,'14_Shipping_Rules'!B:B),"")</f>
        <v>0</v>
      </c>
      <c r="AB155" s="9" cm="1">
        <f t="array" ref="AB155">IFERROR(_xlfn.XLOOKUP('01_Input_Raw_Products'!D155,'16_Astro_Flags'!A:A,'16_Astro_Flags'!B:B),"")</f>
        <v>0</v>
      </c>
      <c r="AC155" s="9">
        <f>IF(C155="","","Catalog, Search")</f>
        <v>0</v>
      </c>
      <c r="AD155" s="9">
        <f>IF(C155="","",IF(OR(F155="",J155="",M155="",S155="",Y155=""),"Manual Review","Ready"))</f>
        <v>0</v>
      </c>
      <c r="AE155" s="9">
        <f>IF(C155="","",TEXTJOIN("; ",TRUE,IF(F155="","Missing url_key",""),IF(J155="","Missing classification",""),IF(M155="","Missing j_colour",""),IF(S155="","Missing hsn_code",""),IF(Y155="","Missing tax_class_id","")))</f>
        <v>0</v>
      </c>
    </row>
    <row r="156" spans="1:31">
      <c r="A156" s="9">
        <f>IF('01_Input_Raw_Products'!B156&lt;&gt;"",20,"")</f>
        <v>0</v>
      </c>
      <c r="B156" s="9" cm="1">
        <f t="array" ref="B156">IF('01_Input_Raw_Products'!M156&lt;&gt;"",'01_Input_Raw_Products'!M156,IFERROR(_xlfn.XLOOKUP('01_Input_Raw_Products'!F156,'10_Master_Gem_Types'!A:A,'10_Master_Gem_Types'!K:K),""))</f>
        <v>0</v>
      </c>
      <c r="C156" s="9">
        <f>'01_Input_Raw_Products'!B156</f>
        <v>0</v>
      </c>
      <c r="D156" s="9">
        <f>IF(C156="","",TEXT(I156,"0.00")&amp;" Ct "&amp;IF('01_Input_Raw_Products'!F156&lt;&gt;"",'01_Input_Raw_Products'!F156,'01_Input_Raw_Products'!D156)&amp;" "&amp;'01_Input_Raw_Products'!I156)</f>
        <v>0</v>
      </c>
      <c r="E156" s="9">
        <f>IF(C156="","",D156&amp;" | GemPundit")</f>
        <v>0</v>
      </c>
      <c r="F156" s="9" cm="1">
        <f t="array" ref="F156">IF('01_Input_Raw_Products'!X156&lt;&gt;"",'01_Input_Raw_Products'!X156,IFERROR(_xlfn.XLOOKUP('01_Input_Raw_Products'!F156,'10_Master_Gem_Types'!A:A,'10_Master_Gem_Types'!O:O),LOWER(SUBSTITUTE(IF('01_Input_Raw_Products'!F156&lt;&gt;"",'01_Input_Raw_Products'!F156,'01_Input_Raw_Products'!D156)," ","-"))))</f>
        <v>0</v>
      </c>
      <c r="G156" s="9">
        <f>'01_Input_Raw_Products'!C156</f>
        <v>0</v>
      </c>
      <c r="H156" s="9" cm="1">
        <f t="array" ref="H156">IF('01_Input_Raw_Products'!H156&lt;&gt;"",'01_Input_Raw_Products'!H156,IFERROR(_xlfn.XLOOKUP('01_Input_Raw_Products'!F156,'10_Master_Gem_Types'!A:A,'10_Master_Gem_Types'!D:D),""))</f>
        <v>0</v>
      </c>
      <c r="I156" s="7">
        <f>IF('01_Input_Raw_Products'!N156&lt;&gt;"",'01_Input_Raw_Products'!N156,IF('01_Input_Raw_Products'!O156&lt;&gt;"",'01_Input_Raw_Products'!O156*0.91,""))</f>
        <v>0</v>
      </c>
      <c r="J156" s="9" cm="1">
        <f t="array" ref="J156">IFERROR(_xlfn.XLOOKUP('01_Input_Raw_Products'!F156,'10_Master_Gem_Types'!A:A,'10_Master_Gem_Types'!N:N),"")</f>
        <v>0</v>
      </c>
      <c r="K156" s="9" cm="1">
        <f t="array" ref="K156">IF('01_Input_Raw_Products'!J156&lt;&gt;"",'01_Input_Raw_Products'!J156,IFERROR(_xlfn.XLOOKUP('01_Input_Raw_Products'!F156,'10_Master_Gem_Types'!A:A,'10_Master_Gem_Types'!E:E),""))</f>
        <v>0</v>
      </c>
      <c r="L156" s="9">
        <f>'01_Input_Raw_Products'!P156</f>
        <v>0</v>
      </c>
      <c r="M156" s="9" cm="1">
        <f t="array" ref="M156">IFERROR(_xlfn.XLOOKUP('01_Input_Raw_Products'!K156,'12_Color_Mapping'!A:A,'12_Color_Mapping'!B:B),IFERROR(_xlfn.XLOOKUP('01_Input_Raw_Products'!F156,'10_Master_Gem_Types'!A:A,'10_Master_Gem_Types'!F:F),""))</f>
        <v>0</v>
      </c>
      <c r="N156" s="9">
        <f>IF(C156="","",IF('01_Input_Raw_Products'!F156&lt;&gt;"",'01_Input_Raw_Products'!F156,'01_Input_Raw_Products'!D156))</f>
        <v>0</v>
      </c>
      <c r="O156" s="9">
        <f>IF(C156="","","Catalog Automation")</f>
        <v>0</v>
      </c>
      <c r="P156" s="9">
        <f>'01_Input_Raw_Products'!U156</f>
        <v>0</v>
      </c>
      <c r="Q156" s="7">
        <f>IF('01_Input_Raw_Products'!O156&lt;&gt;"",'01_Input_Raw_Products'!O156,IF('01_Input_Raw_Products'!N156&lt;&gt;"",'01_Input_Raw_Products'!N156*1.1,""))</f>
        <v>0</v>
      </c>
      <c r="R156" s="9">
        <f>'01_Input_Raw_Products'!S156</f>
        <v>0</v>
      </c>
      <c r="S156" s="9" cm="1">
        <f t="array" ref="S156">IFERROR(_xlfn.XLOOKUP('01_Input_Raw_Products'!F156,'10_Master_Gem_Types'!A:A,'10_Master_Gem_Types'!H:H),"")</f>
        <v>0</v>
      </c>
      <c r="T156" s="8">
        <f>'01_Input_Raw_Products'!Q156</f>
        <v>0</v>
      </c>
      <c r="U156" s="8">
        <f>'01_Input_Raw_Products'!R156</f>
        <v>0</v>
      </c>
      <c r="V156" s="7">
        <f>I156</f>
        <v>0</v>
      </c>
      <c r="W156" s="9" cm="1">
        <f t="array" ref="W156">IF('01_Input_Raw_Products'!G156&lt;&gt;"",'01_Input_Raw_Products'!G156,IFERROR(_xlfn.XLOOKUP('01_Input_Raw_Products'!F156,'10_Master_Gem_Types'!A:A,'10_Master_Gem_Types'!L:L),""))</f>
        <v>0</v>
      </c>
      <c r="X156" s="9" cm="1">
        <f t="array" ref="X156">IFERROR(_xlfn.XLOOKUP('01_Input_Raw_Products'!F156,'10_Master_Gem_Types'!A:A,'10_Master_Gem_Types'!J:J),"")</f>
        <v>0</v>
      </c>
      <c r="Y156" s="9" cm="1">
        <f t="array" ref="Y156">IFERROR(_xlfn.XLOOKUP('01_Input_Raw_Products'!F156,'10_Master_Gem_Types'!A:A,'10_Master_Gem_Types'!I:I),"")</f>
        <v>0</v>
      </c>
      <c r="Z156" s="9" cm="1">
        <f t="array" ref="Z156">IFERROR(_xlfn.XLOOKUP('01_Input_Raw_Products'!L156,'13_Certification_Stickers'!A:A,'13_Certification_Stickers'!C:C),"")</f>
        <v>0</v>
      </c>
      <c r="AA156" s="9" cm="1">
        <f t="array" ref="AA156">IFERROR(_xlfn.XLOOKUP('01_Input_Raw_Products'!S156,'14_Shipping_Rules'!A:A,'14_Shipping_Rules'!B:B),"")</f>
        <v>0</v>
      </c>
      <c r="AB156" s="9" cm="1">
        <f t="array" ref="AB156">IFERROR(_xlfn.XLOOKUP('01_Input_Raw_Products'!D156,'16_Astro_Flags'!A:A,'16_Astro_Flags'!B:B),"")</f>
        <v>0</v>
      </c>
      <c r="AC156" s="9">
        <f>IF(C156="","","Catalog, Search")</f>
        <v>0</v>
      </c>
      <c r="AD156" s="9">
        <f>IF(C156="","",IF(OR(F156="",J156="",M156="",S156="",Y156=""),"Manual Review","Ready"))</f>
        <v>0</v>
      </c>
      <c r="AE156" s="9">
        <f>IF(C156="","",TEXTJOIN("; ",TRUE,IF(F156="","Missing url_key",""),IF(J156="","Missing classification",""),IF(M156="","Missing j_colour",""),IF(S156="","Missing hsn_code",""),IF(Y156="","Missing tax_class_id","")))</f>
        <v>0</v>
      </c>
    </row>
    <row r="157" spans="1:31">
      <c r="A157" s="9">
        <f>IF('01_Input_Raw_Products'!B157&lt;&gt;"",20,"")</f>
        <v>0</v>
      </c>
      <c r="B157" s="9" cm="1">
        <f t="array" ref="B157">IF('01_Input_Raw_Products'!M157&lt;&gt;"",'01_Input_Raw_Products'!M157,IFERROR(_xlfn.XLOOKUP('01_Input_Raw_Products'!F157,'10_Master_Gem_Types'!A:A,'10_Master_Gem_Types'!K:K),""))</f>
        <v>0</v>
      </c>
      <c r="C157" s="9">
        <f>'01_Input_Raw_Products'!B157</f>
        <v>0</v>
      </c>
      <c r="D157" s="9">
        <f>IF(C157="","",TEXT(I157,"0.00")&amp;" Ct "&amp;IF('01_Input_Raw_Products'!F157&lt;&gt;"",'01_Input_Raw_Products'!F157,'01_Input_Raw_Products'!D157)&amp;" "&amp;'01_Input_Raw_Products'!I157)</f>
        <v>0</v>
      </c>
      <c r="E157" s="9">
        <f>IF(C157="","",D157&amp;" | GemPundit")</f>
        <v>0</v>
      </c>
      <c r="F157" s="9" cm="1">
        <f t="array" ref="F157">IF('01_Input_Raw_Products'!X157&lt;&gt;"",'01_Input_Raw_Products'!X157,IFERROR(_xlfn.XLOOKUP('01_Input_Raw_Products'!F157,'10_Master_Gem_Types'!A:A,'10_Master_Gem_Types'!O:O),LOWER(SUBSTITUTE(IF('01_Input_Raw_Products'!F157&lt;&gt;"",'01_Input_Raw_Products'!F157,'01_Input_Raw_Products'!D157)," ","-"))))</f>
        <v>0</v>
      </c>
      <c r="G157" s="9">
        <f>'01_Input_Raw_Products'!C157</f>
        <v>0</v>
      </c>
      <c r="H157" s="9" cm="1">
        <f t="array" ref="H157">IF('01_Input_Raw_Products'!H157&lt;&gt;"",'01_Input_Raw_Products'!H157,IFERROR(_xlfn.XLOOKUP('01_Input_Raw_Products'!F157,'10_Master_Gem_Types'!A:A,'10_Master_Gem_Types'!D:D),""))</f>
        <v>0</v>
      </c>
      <c r="I157" s="7">
        <f>IF('01_Input_Raw_Products'!N157&lt;&gt;"",'01_Input_Raw_Products'!N157,IF('01_Input_Raw_Products'!O157&lt;&gt;"",'01_Input_Raw_Products'!O157*0.91,""))</f>
        <v>0</v>
      </c>
      <c r="J157" s="9" cm="1">
        <f t="array" ref="J157">IFERROR(_xlfn.XLOOKUP('01_Input_Raw_Products'!F157,'10_Master_Gem_Types'!A:A,'10_Master_Gem_Types'!N:N),"")</f>
        <v>0</v>
      </c>
      <c r="K157" s="9" cm="1">
        <f t="array" ref="K157">IF('01_Input_Raw_Products'!J157&lt;&gt;"",'01_Input_Raw_Products'!J157,IFERROR(_xlfn.XLOOKUP('01_Input_Raw_Products'!F157,'10_Master_Gem_Types'!A:A,'10_Master_Gem_Types'!E:E),""))</f>
        <v>0</v>
      </c>
      <c r="L157" s="9">
        <f>'01_Input_Raw_Products'!P157</f>
        <v>0</v>
      </c>
      <c r="M157" s="9" cm="1">
        <f t="array" ref="M157">IFERROR(_xlfn.XLOOKUP('01_Input_Raw_Products'!K157,'12_Color_Mapping'!A:A,'12_Color_Mapping'!B:B),IFERROR(_xlfn.XLOOKUP('01_Input_Raw_Products'!F157,'10_Master_Gem_Types'!A:A,'10_Master_Gem_Types'!F:F),""))</f>
        <v>0</v>
      </c>
      <c r="N157" s="9">
        <f>IF(C157="","",IF('01_Input_Raw_Products'!F157&lt;&gt;"",'01_Input_Raw_Products'!F157,'01_Input_Raw_Products'!D157))</f>
        <v>0</v>
      </c>
      <c r="O157" s="9">
        <f>IF(C157="","","Catalog Automation")</f>
        <v>0</v>
      </c>
      <c r="P157" s="9">
        <f>'01_Input_Raw_Products'!U157</f>
        <v>0</v>
      </c>
      <c r="Q157" s="7">
        <f>IF('01_Input_Raw_Products'!O157&lt;&gt;"",'01_Input_Raw_Products'!O157,IF('01_Input_Raw_Products'!N157&lt;&gt;"",'01_Input_Raw_Products'!N157*1.1,""))</f>
        <v>0</v>
      </c>
      <c r="R157" s="9">
        <f>'01_Input_Raw_Products'!S157</f>
        <v>0</v>
      </c>
      <c r="S157" s="9" cm="1">
        <f t="array" ref="S157">IFERROR(_xlfn.XLOOKUP('01_Input_Raw_Products'!F157,'10_Master_Gem_Types'!A:A,'10_Master_Gem_Types'!H:H),"")</f>
        <v>0</v>
      </c>
      <c r="T157" s="8">
        <f>'01_Input_Raw_Products'!Q157</f>
        <v>0</v>
      </c>
      <c r="U157" s="8">
        <f>'01_Input_Raw_Products'!R157</f>
        <v>0</v>
      </c>
      <c r="V157" s="7">
        <f>I157</f>
        <v>0</v>
      </c>
      <c r="W157" s="9" cm="1">
        <f t="array" ref="W157">IF('01_Input_Raw_Products'!G157&lt;&gt;"",'01_Input_Raw_Products'!G157,IFERROR(_xlfn.XLOOKUP('01_Input_Raw_Products'!F157,'10_Master_Gem_Types'!A:A,'10_Master_Gem_Types'!L:L),""))</f>
        <v>0</v>
      </c>
      <c r="X157" s="9" cm="1">
        <f t="array" ref="X157">IFERROR(_xlfn.XLOOKUP('01_Input_Raw_Products'!F157,'10_Master_Gem_Types'!A:A,'10_Master_Gem_Types'!J:J),"")</f>
        <v>0</v>
      </c>
      <c r="Y157" s="9" cm="1">
        <f t="array" ref="Y157">IFERROR(_xlfn.XLOOKUP('01_Input_Raw_Products'!F157,'10_Master_Gem_Types'!A:A,'10_Master_Gem_Types'!I:I),"")</f>
        <v>0</v>
      </c>
      <c r="Z157" s="9" cm="1">
        <f t="array" ref="Z157">IFERROR(_xlfn.XLOOKUP('01_Input_Raw_Products'!L157,'13_Certification_Stickers'!A:A,'13_Certification_Stickers'!C:C),"")</f>
        <v>0</v>
      </c>
      <c r="AA157" s="9" cm="1">
        <f t="array" ref="AA157">IFERROR(_xlfn.XLOOKUP('01_Input_Raw_Products'!S157,'14_Shipping_Rules'!A:A,'14_Shipping_Rules'!B:B),"")</f>
        <v>0</v>
      </c>
      <c r="AB157" s="9" cm="1">
        <f t="array" ref="AB157">IFERROR(_xlfn.XLOOKUP('01_Input_Raw_Products'!D157,'16_Astro_Flags'!A:A,'16_Astro_Flags'!B:B),"")</f>
        <v>0</v>
      </c>
      <c r="AC157" s="9">
        <f>IF(C157="","","Catalog, Search")</f>
        <v>0</v>
      </c>
      <c r="AD157" s="9">
        <f>IF(C157="","",IF(OR(F157="",J157="",M157="",S157="",Y157=""),"Manual Review","Ready"))</f>
        <v>0</v>
      </c>
      <c r="AE157" s="9">
        <f>IF(C157="","",TEXTJOIN("; ",TRUE,IF(F157="","Missing url_key",""),IF(J157="","Missing classification",""),IF(M157="","Missing j_colour",""),IF(S157="","Missing hsn_code",""),IF(Y157="","Missing tax_class_id","")))</f>
        <v>0</v>
      </c>
    </row>
    <row r="158" spans="1:31">
      <c r="A158" s="9">
        <f>IF('01_Input_Raw_Products'!B158&lt;&gt;"",20,"")</f>
        <v>0</v>
      </c>
      <c r="B158" s="9" cm="1">
        <f t="array" ref="B158">IF('01_Input_Raw_Products'!M158&lt;&gt;"",'01_Input_Raw_Products'!M158,IFERROR(_xlfn.XLOOKUP('01_Input_Raw_Products'!F158,'10_Master_Gem_Types'!A:A,'10_Master_Gem_Types'!K:K),""))</f>
        <v>0</v>
      </c>
      <c r="C158" s="9">
        <f>'01_Input_Raw_Products'!B158</f>
        <v>0</v>
      </c>
      <c r="D158" s="9">
        <f>IF(C158="","",TEXT(I158,"0.00")&amp;" Ct "&amp;IF('01_Input_Raw_Products'!F158&lt;&gt;"",'01_Input_Raw_Products'!F158,'01_Input_Raw_Products'!D158)&amp;" "&amp;'01_Input_Raw_Products'!I158)</f>
        <v>0</v>
      </c>
      <c r="E158" s="9">
        <f>IF(C158="","",D158&amp;" | GemPundit")</f>
        <v>0</v>
      </c>
      <c r="F158" s="9" cm="1">
        <f t="array" ref="F158">IF('01_Input_Raw_Products'!X158&lt;&gt;"",'01_Input_Raw_Products'!X158,IFERROR(_xlfn.XLOOKUP('01_Input_Raw_Products'!F158,'10_Master_Gem_Types'!A:A,'10_Master_Gem_Types'!O:O),LOWER(SUBSTITUTE(IF('01_Input_Raw_Products'!F158&lt;&gt;"",'01_Input_Raw_Products'!F158,'01_Input_Raw_Products'!D158)," ","-"))))</f>
        <v>0</v>
      </c>
      <c r="G158" s="9">
        <f>'01_Input_Raw_Products'!C158</f>
        <v>0</v>
      </c>
      <c r="H158" s="9" cm="1">
        <f t="array" ref="H158">IF('01_Input_Raw_Products'!H158&lt;&gt;"",'01_Input_Raw_Products'!H158,IFERROR(_xlfn.XLOOKUP('01_Input_Raw_Products'!F158,'10_Master_Gem_Types'!A:A,'10_Master_Gem_Types'!D:D),""))</f>
        <v>0</v>
      </c>
      <c r="I158" s="7">
        <f>IF('01_Input_Raw_Products'!N158&lt;&gt;"",'01_Input_Raw_Products'!N158,IF('01_Input_Raw_Products'!O158&lt;&gt;"",'01_Input_Raw_Products'!O158*0.91,""))</f>
        <v>0</v>
      </c>
      <c r="J158" s="9" cm="1">
        <f t="array" ref="J158">IFERROR(_xlfn.XLOOKUP('01_Input_Raw_Products'!F158,'10_Master_Gem_Types'!A:A,'10_Master_Gem_Types'!N:N),"")</f>
        <v>0</v>
      </c>
      <c r="K158" s="9" cm="1">
        <f t="array" ref="K158">IF('01_Input_Raw_Products'!J158&lt;&gt;"",'01_Input_Raw_Products'!J158,IFERROR(_xlfn.XLOOKUP('01_Input_Raw_Products'!F158,'10_Master_Gem_Types'!A:A,'10_Master_Gem_Types'!E:E),""))</f>
        <v>0</v>
      </c>
      <c r="L158" s="9">
        <f>'01_Input_Raw_Products'!P158</f>
        <v>0</v>
      </c>
      <c r="M158" s="9" cm="1">
        <f t="array" ref="M158">IFERROR(_xlfn.XLOOKUP('01_Input_Raw_Products'!K158,'12_Color_Mapping'!A:A,'12_Color_Mapping'!B:B),IFERROR(_xlfn.XLOOKUP('01_Input_Raw_Products'!F158,'10_Master_Gem_Types'!A:A,'10_Master_Gem_Types'!F:F),""))</f>
        <v>0</v>
      </c>
      <c r="N158" s="9">
        <f>IF(C158="","",IF('01_Input_Raw_Products'!F158&lt;&gt;"",'01_Input_Raw_Products'!F158,'01_Input_Raw_Products'!D158))</f>
        <v>0</v>
      </c>
      <c r="O158" s="9">
        <f>IF(C158="","","Catalog Automation")</f>
        <v>0</v>
      </c>
      <c r="P158" s="9">
        <f>'01_Input_Raw_Products'!U158</f>
        <v>0</v>
      </c>
      <c r="Q158" s="7">
        <f>IF('01_Input_Raw_Products'!O158&lt;&gt;"",'01_Input_Raw_Products'!O158,IF('01_Input_Raw_Products'!N158&lt;&gt;"",'01_Input_Raw_Products'!N158*1.1,""))</f>
        <v>0</v>
      </c>
      <c r="R158" s="9">
        <f>'01_Input_Raw_Products'!S158</f>
        <v>0</v>
      </c>
      <c r="S158" s="9" cm="1">
        <f t="array" ref="S158">IFERROR(_xlfn.XLOOKUP('01_Input_Raw_Products'!F158,'10_Master_Gem_Types'!A:A,'10_Master_Gem_Types'!H:H),"")</f>
        <v>0</v>
      </c>
      <c r="T158" s="8">
        <f>'01_Input_Raw_Products'!Q158</f>
        <v>0</v>
      </c>
      <c r="U158" s="8">
        <f>'01_Input_Raw_Products'!R158</f>
        <v>0</v>
      </c>
      <c r="V158" s="7">
        <f>I158</f>
        <v>0</v>
      </c>
      <c r="W158" s="9" cm="1">
        <f t="array" ref="W158">IF('01_Input_Raw_Products'!G158&lt;&gt;"",'01_Input_Raw_Products'!G158,IFERROR(_xlfn.XLOOKUP('01_Input_Raw_Products'!F158,'10_Master_Gem_Types'!A:A,'10_Master_Gem_Types'!L:L),""))</f>
        <v>0</v>
      </c>
      <c r="X158" s="9" cm="1">
        <f t="array" ref="X158">IFERROR(_xlfn.XLOOKUP('01_Input_Raw_Products'!F158,'10_Master_Gem_Types'!A:A,'10_Master_Gem_Types'!J:J),"")</f>
        <v>0</v>
      </c>
      <c r="Y158" s="9" cm="1">
        <f t="array" ref="Y158">IFERROR(_xlfn.XLOOKUP('01_Input_Raw_Products'!F158,'10_Master_Gem_Types'!A:A,'10_Master_Gem_Types'!I:I),"")</f>
        <v>0</v>
      </c>
      <c r="Z158" s="9" cm="1">
        <f t="array" ref="Z158">IFERROR(_xlfn.XLOOKUP('01_Input_Raw_Products'!L158,'13_Certification_Stickers'!A:A,'13_Certification_Stickers'!C:C),"")</f>
        <v>0</v>
      </c>
      <c r="AA158" s="9" cm="1">
        <f t="array" ref="AA158">IFERROR(_xlfn.XLOOKUP('01_Input_Raw_Products'!S158,'14_Shipping_Rules'!A:A,'14_Shipping_Rules'!B:B),"")</f>
        <v>0</v>
      </c>
      <c r="AB158" s="9" cm="1">
        <f t="array" ref="AB158">IFERROR(_xlfn.XLOOKUP('01_Input_Raw_Products'!D158,'16_Astro_Flags'!A:A,'16_Astro_Flags'!B:B),"")</f>
        <v>0</v>
      </c>
      <c r="AC158" s="9">
        <f>IF(C158="","","Catalog, Search")</f>
        <v>0</v>
      </c>
      <c r="AD158" s="9">
        <f>IF(C158="","",IF(OR(F158="",J158="",M158="",S158="",Y158=""),"Manual Review","Ready"))</f>
        <v>0</v>
      </c>
      <c r="AE158" s="9">
        <f>IF(C158="","",TEXTJOIN("; ",TRUE,IF(F158="","Missing url_key",""),IF(J158="","Missing classification",""),IF(M158="","Missing j_colour",""),IF(S158="","Missing hsn_code",""),IF(Y158="","Missing tax_class_id","")))</f>
        <v>0</v>
      </c>
    </row>
    <row r="159" spans="1:31">
      <c r="A159" s="9">
        <f>IF('01_Input_Raw_Products'!B159&lt;&gt;"",20,"")</f>
        <v>0</v>
      </c>
      <c r="B159" s="9" cm="1">
        <f t="array" ref="B159">IF('01_Input_Raw_Products'!M159&lt;&gt;"",'01_Input_Raw_Products'!M159,IFERROR(_xlfn.XLOOKUP('01_Input_Raw_Products'!F159,'10_Master_Gem_Types'!A:A,'10_Master_Gem_Types'!K:K),""))</f>
        <v>0</v>
      </c>
      <c r="C159" s="9">
        <f>'01_Input_Raw_Products'!B159</f>
        <v>0</v>
      </c>
      <c r="D159" s="9">
        <f>IF(C159="","",TEXT(I159,"0.00")&amp;" Ct "&amp;IF('01_Input_Raw_Products'!F159&lt;&gt;"",'01_Input_Raw_Products'!F159,'01_Input_Raw_Products'!D159)&amp;" "&amp;'01_Input_Raw_Products'!I159)</f>
        <v>0</v>
      </c>
      <c r="E159" s="9">
        <f>IF(C159="","",D159&amp;" | GemPundit")</f>
        <v>0</v>
      </c>
      <c r="F159" s="9" cm="1">
        <f t="array" ref="F159">IF('01_Input_Raw_Products'!X159&lt;&gt;"",'01_Input_Raw_Products'!X159,IFERROR(_xlfn.XLOOKUP('01_Input_Raw_Products'!F159,'10_Master_Gem_Types'!A:A,'10_Master_Gem_Types'!O:O),LOWER(SUBSTITUTE(IF('01_Input_Raw_Products'!F159&lt;&gt;"",'01_Input_Raw_Products'!F159,'01_Input_Raw_Products'!D159)," ","-"))))</f>
        <v>0</v>
      </c>
      <c r="G159" s="9">
        <f>'01_Input_Raw_Products'!C159</f>
        <v>0</v>
      </c>
      <c r="H159" s="9" cm="1">
        <f t="array" ref="H159">IF('01_Input_Raw_Products'!H159&lt;&gt;"",'01_Input_Raw_Products'!H159,IFERROR(_xlfn.XLOOKUP('01_Input_Raw_Products'!F159,'10_Master_Gem_Types'!A:A,'10_Master_Gem_Types'!D:D),""))</f>
        <v>0</v>
      </c>
      <c r="I159" s="7">
        <f>IF('01_Input_Raw_Products'!N159&lt;&gt;"",'01_Input_Raw_Products'!N159,IF('01_Input_Raw_Products'!O159&lt;&gt;"",'01_Input_Raw_Products'!O159*0.91,""))</f>
        <v>0</v>
      </c>
      <c r="J159" s="9" cm="1">
        <f t="array" ref="J159">IFERROR(_xlfn.XLOOKUP('01_Input_Raw_Products'!F159,'10_Master_Gem_Types'!A:A,'10_Master_Gem_Types'!N:N),"")</f>
        <v>0</v>
      </c>
      <c r="K159" s="9" cm="1">
        <f t="array" ref="K159">IF('01_Input_Raw_Products'!J159&lt;&gt;"",'01_Input_Raw_Products'!J159,IFERROR(_xlfn.XLOOKUP('01_Input_Raw_Products'!F159,'10_Master_Gem_Types'!A:A,'10_Master_Gem_Types'!E:E),""))</f>
        <v>0</v>
      </c>
      <c r="L159" s="9">
        <f>'01_Input_Raw_Products'!P159</f>
        <v>0</v>
      </c>
      <c r="M159" s="9" cm="1">
        <f t="array" ref="M159">IFERROR(_xlfn.XLOOKUP('01_Input_Raw_Products'!K159,'12_Color_Mapping'!A:A,'12_Color_Mapping'!B:B),IFERROR(_xlfn.XLOOKUP('01_Input_Raw_Products'!F159,'10_Master_Gem_Types'!A:A,'10_Master_Gem_Types'!F:F),""))</f>
        <v>0</v>
      </c>
      <c r="N159" s="9">
        <f>IF(C159="","",IF('01_Input_Raw_Products'!F159&lt;&gt;"",'01_Input_Raw_Products'!F159,'01_Input_Raw_Products'!D159))</f>
        <v>0</v>
      </c>
      <c r="O159" s="9">
        <f>IF(C159="","","Catalog Automation")</f>
        <v>0</v>
      </c>
      <c r="P159" s="9">
        <f>'01_Input_Raw_Products'!U159</f>
        <v>0</v>
      </c>
      <c r="Q159" s="7">
        <f>IF('01_Input_Raw_Products'!O159&lt;&gt;"",'01_Input_Raw_Products'!O159,IF('01_Input_Raw_Products'!N159&lt;&gt;"",'01_Input_Raw_Products'!N159*1.1,""))</f>
        <v>0</v>
      </c>
      <c r="R159" s="9">
        <f>'01_Input_Raw_Products'!S159</f>
        <v>0</v>
      </c>
      <c r="S159" s="9" cm="1">
        <f t="array" ref="S159">IFERROR(_xlfn.XLOOKUP('01_Input_Raw_Products'!F159,'10_Master_Gem_Types'!A:A,'10_Master_Gem_Types'!H:H),"")</f>
        <v>0</v>
      </c>
      <c r="T159" s="8">
        <f>'01_Input_Raw_Products'!Q159</f>
        <v>0</v>
      </c>
      <c r="U159" s="8">
        <f>'01_Input_Raw_Products'!R159</f>
        <v>0</v>
      </c>
      <c r="V159" s="7">
        <f>I159</f>
        <v>0</v>
      </c>
      <c r="W159" s="9" cm="1">
        <f t="array" ref="W159">IF('01_Input_Raw_Products'!G159&lt;&gt;"",'01_Input_Raw_Products'!G159,IFERROR(_xlfn.XLOOKUP('01_Input_Raw_Products'!F159,'10_Master_Gem_Types'!A:A,'10_Master_Gem_Types'!L:L),""))</f>
        <v>0</v>
      </c>
      <c r="X159" s="9" cm="1">
        <f t="array" ref="X159">IFERROR(_xlfn.XLOOKUP('01_Input_Raw_Products'!F159,'10_Master_Gem_Types'!A:A,'10_Master_Gem_Types'!J:J),"")</f>
        <v>0</v>
      </c>
      <c r="Y159" s="9" cm="1">
        <f t="array" ref="Y159">IFERROR(_xlfn.XLOOKUP('01_Input_Raw_Products'!F159,'10_Master_Gem_Types'!A:A,'10_Master_Gem_Types'!I:I),"")</f>
        <v>0</v>
      </c>
      <c r="Z159" s="9" cm="1">
        <f t="array" ref="Z159">IFERROR(_xlfn.XLOOKUP('01_Input_Raw_Products'!L159,'13_Certification_Stickers'!A:A,'13_Certification_Stickers'!C:C),"")</f>
        <v>0</v>
      </c>
      <c r="AA159" s="9" cm="1">
        <f t="array" ref="AA159">IFERROR(_xlfn.XLOOKUP('01_Input_Raw_Products'!S159,'14_Shipping_Rules'!A:A,'14_Shipping_Rules'!B:B),"")</f>
        <v>0</v>
      </c>
      <c r="AB159" s="9" cm="1">
        <f t="array" ref="AB159">IFERROR(_xlfn.XLOOKUP('01_Input_Raw_Products'!D159,'16_Astro_Flags'!A:A,'16_Astro_Flags'!B:B),"")</f>
        <v>0</v>
      </c>
      <c r="AC159" s="9">
        <f>IF(C159="","","Catalog, Search")</f>
        <v>0</v>
      </c>
      <c r="AD159" s="9">
        <f>IF(C159="","",IF(OR(F159="",J159="",M159="",S159="",Y159=""),"Manual Review","Ready"))</f>
        <v>0</v>
      </c>
      <c r="AE159" s="9">
        <f>IF(C159="","",TEXTJOIN("; ",TRUE,IF(F159="","Missing url_key",""),IF(J159="","Missing classification",""),IF(M159="","Missing j_colour",""),IF(S159="","Missing hsn_code",""),IF(Y159="","Missing tax_class_id","")))</f>
        <v>0</v>
      </c>
    </row>
    <row r="160" spans="1:31">
      <c r="A160" s="9">
        <f>IF('01_Input_Raw_Products'!B160&lt;&gt;"",20,"")</f>
        <v>0</v>
      </c>
      <c r="B160" s="9" cm="1">
        <f t="array" ref="B160">IF('01_Input_Raw_Products'!M160&lt;&gt;"",'01_Input_Raw_Products'!M160,IFERROR(_xlfn.XLOOKUP('01_Input_Raw_Products'!F160,'10_Master_Gem_Types'!A:A,'10_Master_Gem_Types'!K:K),""))</f>
        <v>0</v>
      </c>
      <c r="C160" s="9">
        <f>'01_Input_Raw_Products'!B160</f>
        <v>0</v>
      </c>
      <c r="D160" s="9">
        <f>IF(C160="","",TEXT(I160,"0.00")&amp;" Ct "&amp;IF('01_Input_Raw_Products'!F160&lt;&gt;"",'01_Input_Raw_Products'!F160,'01_Input_Raw_Products'!D160)&amp;" "&amp;'01_Input_Raw_Products'!I160)</f>
        <v>0</v>
      </c>
      <c r="E160" s="9">
        <f>IF(C160="","",D160&amp;" | GemPundit")</f>
        <v>0</v>
      </c>
      <c r="F160" s="9" cm="1">
        <f t="array" ref="F160">IF('01_Input_Raw_Products'!X160&lt;&gt;"",'01_Input_Raw_Products'!X160,IFERROR(_xlfn.XLOOKUP('01_Input_Raw_Products'!F160,'10_Master_Gem_Types'!A:A,'10_Master_Gem_Types'!O:O),LOWER(SUBSTITUTE(IF('01_Input_Raw_Products'!F160&lt;&gt;"",'01_Input_Raw_Products'!F160,'01_Input_Raw_Products'!D160)," ","-"))))</f>
        <v>0</v>
      </c>
      <c r="G160" s="9">
        <f>'01_Input_Raw_Products'!C160</f>
        <v>0</v>
      </c>
      <c r="H160" s="9" cm="1">
        <f t="array" ref="H160">IF('01_Input_Raw_Products'!H160&lt;&gt;"",'01_Input_Raw_Products'!H160,IFERROR(_xlfn.XLOOKUP('01_Input_Raw_Products'!F160,'10_Master_Gem_Types'!A:A,'10_Master_Gem_Types'!D:D),""))</f>
        <v>0</v>
      </c>
      <c r="I160" s="7">
        <f>IF('01_Input_Raw_Products'!N160&lt;&gt;"",'01_Input_Raw_Products'!N160,IF('01_Input_Raw_Products'!O160&lt;&gt;"",'01_Input_Raw_Products'!O160*0.91,""))</f>
        <v>0</v>
      </c>
      <c r="J160" s="9" cm="1">
        <f t="array" ref="J160">IFERROR(_xlfn.XLOOKUP('01_Input_Raw_Products'!F160,'10_Master_Gem_Types'!A:A,'10_Master_Gem_Types'!N:N),"")</f>
        <v>0</v>
      </c>
      <c r="K160" s="9" cm="1">
        <f t="array" ref="K160">IF('01_Input_Raw_Products'!J160&lt;&gt;"",'01_Input_Raw_Products'!J160,IFERROR(_xlfn.XLOOKUP('01_Input_Raw_Products'!F160,'10_Master_Gem_Types'!A:A,'10_Master_Gem_Types'!E:E),""))</f>
        <v>0</v>
      </c>
      <c r="L160" s="9">
        <f>'01_Input_Raw_Products'!P160</f>
        <v>0</v>
      </c>
      <c r="M160" s="9" cm="1">
        <f t="array" ref="M160">IFERROR(_xlfn.XLOOKUP('01_Input_Raw_Products'!K160,'12_Color_Mapping'!A:A,'12_Color_Mapping'!B:B),IFERROR(_xlfn.XLOOKUP('01_Input_Raw_Products'!F160,'10_Master_Gem_Types'!A:A,'10_Master_Gem_Types'!F:F),""))</f>
        <v>0</v>
      </c>
      <c r="N160" s="9">
        <f>IF(C160="","",IF('01_Input_Raw_Products'!F160&lt;&gt;"",'01_Input_Raw_Products'!F160,'01_Input_Raw_Products'!D160))</f>
        <v>0</v>
      </c>
      <c r="O160" s="9">
        <f>IF(C160="","","Catalog Automation")</f>
        <v>0</v>
      </c>
      <c r="P160" s="9">
        <f>'01_Input_Raw_Products'!U160</f>
        <v>0</v>
      </c>
      <c r="Q160" s="7">
        <f>IF('01_Input_Raw_Products'!O160&lt;&gt;"",'01_Input_Raw_Products'!O160,IF('01_Input_Raw_Products'!N160&lt;&gt;"",'01_Input_Raw_Products'!N160*1.1,""))</f>
        <v>0</v>
      </c>
      <c r="R160" s="9">
        <f>'01_Input_Raw_Products'!S160</f>
        <v>0</v>
      </c>
      <c r="S160" s="9" cm="1">
        <f t="array" ref="S160">IFERROR(_xlfn.XLOOKUP('01_Input_Raw_Products'!F160,'10_Master_Gem_Types'!A:A,'10_Master_Gem_Types'!H:H),"")</f>
        <v>0</v>
      </c>
      <c r="T160" s="8">
        <f>'01_Input_Raw_Products'!Q160</f>
        <v>0</v>
      </c>
      <c r="U160" s="8">
        <f>'01_Input_Raw_Products'!R160</f>
        <v>0</v>
      </c>
      <c r="V160" s="7">
        <f>I160</f>
        <v>0</v>
      </c>
      <c r="W160" s="9" cm="1">
        <f t="array" ref="W160">IF('01_Input_Raw_Products'!G160&lt;&gt;"",'01_Input_Raw_Products'!G160,IFERROR(_xlfn.XLOOKUP('01_Input_Raw_Products'!F160,'10_Master_Gem_Types'!A:A,'10_Master_Gem_Types'!L:L),""))</f>
        <v>0</v>
      </c>
      <c r="X160" s="9" cm="1">
        <f t="array" ref="X160">IFERROR(_xlfn.XLOOKUP('01_Input_Raw_Products'!F160,'10_Master_Gem_Types'!A:A,'10_Master_Gem_Types'!J:J),"")</f>
        <v>0</v>
      </c>
      <c r="Y160" s="9" cm="1">
        <f t="array" ref="Y160">IFERROR(_xlfn.XLOOKUP('01_Input_Raw_Products'!F160,'10_Master_Gem_Types'!A:A,'10_Master_Gem_Types'!I:I),"")</f>
        <v>0</v>
      </c>
      <c r="Z160" s="9" cm="1">
        <f t="array" ref="Z160">IFERROR(_xlfn.XLOOKUP('01_Input_Raw_Products'!L160,'13_Certification_Stickers'!A:A,'13_Certification_Stickers'!C:C),"")</f>
        <v>0</v>
      </c>
      <c r="AA160" s="9" cm="1">
        <f t="array" ref="AA160">IFERROR(_xlfn.XLOOKUP('01_Input_Raw_Products'!S160,'14_Shipping_Rules'!A:A,'14_Shipping_Rules'!B:B),"")</f>
        <v>0</v>
      </c>
      <c r="AB160" s="9" cm="1">
        <f t="array" ref="AB160">IFERROR(_xlfn.XLOOKUP('01_Input_Raw_Products'!D160,'16_Astro_Flags'!A:A,'16_Astro_Flags'!B:B),"")</f>
        <v>0</v>
      </c>
      <c r="AC160" s="9">
        <f>IF(C160="","","Catalog, Search")</f>
        <v>0</v>
      </c>
      <c r="AD160" s="9">
        <f>IF(C160="","",IF(OR(F160="",J160="",M160="",S160="",Y160=""),"Manual Review","Ready"))</f>
        <v>0</v>
      </c>
      <c r="AE160" s="9">
        <f>IF(C160="","",TEXTJOIN("; ",TRUE,IF(F160="","Missing url_key",""),IF(J160="","Missing classification",""),IF(M160="","Missing j_colour",""),IF(S160="","Missing hsn_code",""),IF(Y160="","Missing tax_class_id","")))</f>
        <v>0</v>
      </c>
    </row>
    <row r="161" spans="1:31">
      <c r="A161" s="9">
        <f>IF('01_Input_Raw_Products'!B161&lt;&gt;"",20,"")</f>
        <v>0</v>
      </c>
      <c r="B161" s="9" cm="1">
        <f t="array" ref="B161">IF('01_Input_Raw_Products'!M161&lt;&gt;"",'01_Input_Raw_Products'!M161,IFERROR(_xlfn.XLOOKUP('01_Input_Raw_Products'!F161,'10_Master_Gem_Types'!A:A,'10_Master_Gem_Types'!K:K),""))</f>
        <v>0</v>
      </c>
      <c r="C161" s="9">
        <f>'01_Input_Raw_Products'!B161</f>
        <v>0</v>
      </c>
      <c r="D161" s="9">
        <f>IF(C161="","",TEXT(I161,"0.00")&amp;" Ct "&amp;IF('01_Input_Raw_Products'!F161&lt;&gt;"",'01_Input_Raw_Products'!F161,'01_Input_Raw_Products'!D161)&amp;" "&amp;'01_Input_Raw_Products'!I161)</f>
        <v>0</v>
      </c>
      <c r="E161" s="9">
        <f>IF(C161="","",D161&amp;" | GemPundit")</f>
        <v>0</v>
      </c>
      <c r="F161" s="9" cm="1">
        <f t="array" ref="F161">IF('01_Input_Raw_Products'!X161&lt;&gt;"",'01_Input_Raw_Products'!X161,IFERROR(_xlfn.XLOOKUP('01_Input_Raw_Products'!F161,'10_Master_Gem_Types'!A:A,'10_Master_Gem_Types'!O:O),LOWER(SUBSTITUTE(IF('01_Input_Raw_Products'!F161&lt;&gt;"",'01_Input_Raw_Products'!F161,'01_Input_Raw_Products'!D161)," ","-"))))</f>
        <v>0</v>
      </c>
      <c r="G161" s="9">
        <f>'01_Input_Raw_Products'!C161</f>
        <v>0</v>
      </c>
      <c r="H161" s="9" cm="1">
        <f t="array" ref="H161">IF('01_Input_Raw_Products'!H161&lt;&gt;"",'01_Input_Raw_Products'!H161,IFERROR(_xlfn.XLOOKUP('01_Input_Raw_Products'!F161,'10_Master_Gem_Types'!A:A,'10_Master_Gem_Types'!D:D),""))</f>
        <v>0</v>
      </c>
      <c r="I161" s="7">
        <f>IF('01_Input_Raw_Products'!N161&lt;&gt;"",'01_Input_Raw_Products'!N161,IF('01_Input_Raw_Products'!O161&lt;&gt;"",'01_Input_Raw_Products'!O161*0.91,""))</f>
        <v>0</v>
      </c>
      <c r="J161" s="9" cm="1">
        <f t="array" ref="J161">IFERROR(_xlfn.XLOOKUP('01_Input_Raw_Products'!F161,'10_Master_Gem_Types'!A:A,'10_Master_Gem_Types'!N:N),"")</f>
        <v>0</v>
      </c>
      <c r="K161" s="9" cm="1">
        <f t="array" ref="K161">IF('01_Input_Raw_Products'!J161&lt;&gt;"",'01_Input_Raw_Products'!J161,IFERROR(_xlfn.XLOOKUP('01_Input_Raw_Products'!F161,'10_Master_Gem_Types'!A:A,'10_Master_Gem_Types'!E:E),""))</f>
        <v>0</v>
      </c>
      <c r="L161" s="9">
        <f>'01_Input_Raw_Products'!P161</f>
        <v>0</v>
      </c>
      <c r="M161" s="9" cm="1">
        <f t="array" ref="M161">IFERROR(_xlfn.XLOOKUP('01_Input_Raw_Products'!K161,'12_Color_Mapping'!A:A,'12_Color_Mapping'!B:B),IFERROR(_xlfn.XLOOKUP('01_Input_Raw_Products'!F161,'10_Master_Gem_Types'!A:A,'10_Master_Gem_Types'!F:F),""))</f>
        <v>0</v>
      </c>
      <c r="N161" s="9">
        <f>IF(C161="","",IF('01_Input_Raw_Products'!F161&lt;&gt;"",'01_Input_Raw_Products'!F161,'01_Input_Raw_Products'!D161))</f>
        <v>0</v>
      </c>
      <c r="O161" s="9">
        <f>IF(C161="","","Catalog Automation")</f>
        <v>0</v>
      </c>
      <c r="P161" s="9">
        <f>'01_Input_Raw_Products'!U161</f>
        <v>0</v>
      </c>
      <c r="Q161" s="7">
        <f>IF('01_Input_Raw_Products'!O161&lt;&gt;"",'01_Input_Raw_Products'!O161,IF('01_Input_Raw_Products'!N161&lt;&gt;"",'01_Input_Raw_Products'!N161*1.1,""))</f>
        <v>0</v>
      </c>
      <c r="R161" s="9">
        <f>'01_Input_Raw_Products'!S161</f>
        <v>0</v>
      </c>
      <c r="S161" s="9" cm="1">
        <f t="array" ref="S161">IFERROR(_xlfn.XLOOKUP('01_Input_Raw_Products'!F161,'10_Master_Gem_Types'!A:A,'10_Master_Gem_Types'!H:H),"")</f>
        <v>0</v>
      </c>
      <c r="T161" s="8">
        <f>'01_Input_Raw_Products'!Q161</f>
        <v>0</v>
      </c>
      <c r="U161" s="8">
        <f>'01_Input_Raw_Products'!R161</f>
        <v>0</v>
      </c>
      <c r="V161" s="7">
        <f>I161</f>
        <v>0</v>
      </c>
      <c r="W161" s="9" cm="1">
        <f t="array" ref="W161">IF('01_Input_Raw_Products'!G161&lt;&gt;"",'01_Input_Raw_Products'!G161,IFERROR(_xlfn.XLOOKUP('01_Input_Raw_Products'!F161,'10_Master_Gem_Types'!A:A,'10_Master_Gem_Types'!L:L),""))</f>
        <v>0</v>
      </c>
      <c r="X161" s="9" cm="1">
        <f t="array" ref="X161">IFERROR(_xlfn.XLOOKUP('01_Input_Raw_Products'!F161,'10_Master_Gem_Types'!A:A,'10_Master_Gem_Types'!J:J),"")</f>
        <v>0</v>
      </c>
      <c r="Y161" s="9" cm="1">
        <f t="array" ref="Y161">IFERROR(_xlfn.XLOOKUP('01_Input_Raw_Products'!F161,'10_Master_Gem_Types'!A:A,'10_Master_Gem_Types'!I:I),"")</f>
        <v>0</v>
      </c>
      <c r="Z161" s="9" cm="1">
        <f t="array" ref="Z161">IFERROR(_xlfn.XLOOKUP('01_Input_Raw_Products'!L161,'13_Certification_Stickers'!A:A,'13_Certification_Stickers'!C:C),"")</f>
        <v>0</v>
      </c>
      <c r="AA161" s="9" cm="1">
        <f t="array" ref="AA161">IFERROR(_xlfn.XLOOKUP('01_Input_Raw_Products'!S161,'14_Shipping_Rules'!A:A,'14_Shipping_Rules'!B:B),"")</f>
        <v>0</v>
      </c>
      <c r="AB161" s="9" cm="1">
        <f t="array" ref="AB161">IFERROR(_xlfn.XLOOKUP('01_Input_Raw_Products'!D161,'16_Astro_Flags'!A:A,'16_Astro_Flags'!B:B),"")</f>
        <v>0</v>
      </c>
      <c r="AC161" s="9">
        <f>IF(C161="","","Catalog, Search")</f>
        <v>0</v>
      </c>
      <c r="AD161" s="9">
        <f>IF(C161="","",IF(OR(F161="",J161="",M161="",S161="",Y161=""),"Manual Review","Ready"))</f>
        <v>0</v>
      </c>
      <c r="AE161" s="9">
        <f>IF(C161="","",TEXTJOIN("; ",TRUE,IF(F161="","Missing url_key",""),IF(J161="","Missing classification",""),IF(M161="","Missing j_colour",""),IF(S161="","Missing hsn_code",""),IF(Y161="","Missing tax_class_id","")))</f>
        <v>0</v>
      </c>
    </row>
    <row r="162" spans="1:31">
      <c r="A162" s="9">
        <f>IF('01_Input_Raw_Products'!B162&lt;&gt;"",20,"")</f>
        <v>0</v>
      </c>
      <c r="B162" s="9" cm="1">
        <f t="array" ref="B162">IF('01_Input_Raw_Products'!M162&lt;&gt;"",'01_Input_Raw_Products'!M162,IFERROR(_xlfn.XLOOKUP('01_Input_Raw_Products'!F162,'10_Master_Gem_Types'!A:A,'10_Master_Gem_Types'!K:K),""))</f>
        <v>0</v>
      </c>
      <c r="C162" s="9">
        <f>'01_Input_Raw_Products'!B162</f>
        <v>0</v>
      </c>
      <c r="D162" s="9">
        <f>IF(C162="","",TEXT(I162,"0.00")&amp;" Ct "&amp;IF('01_Input_Raw_Products'!F162&lt;&gt;"",'01_Input_Raw_Products'!F162,'01_Input_Raw_Products'!D162)&amp;" "&amp;'01_Input_Raw_Products'!I162)</f>
        <v>0</v>
      </c>
      <c r="E162" s="9">
        <f>IF(C162="","",D162&amp;" | GemPundit")</f>
        <v>0</v>
      </c>
      <c r="F162" s="9" cm="1">
        <f t="array" ref="F162">IF('01_Input_Raw_Products'!X162&lt;&gt;"",'01_Input_Raw_Products'!X162,IFERROR(_xlfn.XLOOKUP('01_Input_Raw_Products'!F162,'10_Master_Gem_Types'!A:A,'10_Master_Gem_Types'!O:O),LOWER(SUBSTITUTE(IF('01_Input_Raw_Products'!F162&lt;&gt;"",'01_Input_Raw_Products'!F162,'01_Input_Raw_Products'!D162)," ","-"))))</f>
        <v>0</v>
      </c>
      <c r="G162" s="9">
        <f>'01_Input_Raw_Products'!C162</f>
        <v>0</v>
      </c>
      <c r="H162" s="9" cm="1">
        <f t="array" ref="H162">IF('01_Input_Raw_Products'!H162&lt;&gt;"",'01_Input_Raw_Products'!H162,IFERROR(_xlfn.XLOOKUP('01_Input_Raw_Products'!F162,'10_Master_Gem_Types'!A:A,'10_Master_Gem_Types'!D:D),""))</f>
        <v>0</v>
      </c>
      <c r="I162" s="7">
        <f>IF('01_Input_Raw_Products'!N162&lt;&gt;"",'01_Input_Raw_Products'!N162,IF('01_Input_Raw_Products'!O162&lt;&gt;"",'01_Input_Raw_Products'!O162*0.91,""))</f>
        <v>0</v>
      </c>
      <c r="J162" s="9" cm="1">
        <f t="array" ref="J162">IFERROR(_xlfn.XLOOKUP('01_Input_Raw_Products'!F162,'10_Master_Gem_Types'!A:A,'10_Master_Gem_Types'!N:N),"")</f>
        <v>0</v>
      </c>
      <c r="K162" s="9" cm="1">
        <f t="array" ref="K162">IF('01_Input_Raw_Products'!J162&lt;&gt;"",'01_Input_Raw_Products'!J162,IFERROR(_xlfn.XLOOKUP('01_Input_Raw_Products'!F162,'10_Master_Gem_Types'!A:A,'10_Master_Gem_Types'!E:E),""))</f>
        <v>0</v>
      </c>
      <c r="L162" s="9">
        <f>'01_Input_Raw_Products'!P162</f>
        <v>0</v>
      </c>
      <c r="M162" s="9" cm="1">
        <f t="array" ref="M162">IFERROR(_xlfn.XLOOKUP('01_Input_Raw_Products'!K162,'12_Color_Mapping'!A:A,'12_Color_Mapping'!B:B),IFERROR(_xlfn.XLOOKUP('01_Input_Raw_Products'!F162,'10_Master_Gem_Types'!A:A,'10_Master_Gem_Types'!F:F),""))</f>
        <v>0</v>
      </c>
      <c r="N162" s="9">
        <f>IF(C162="","",IF('01_Input_Raw_Products'!F162&lt;&gt;"",'01_Input_Raw_Products'!F162,'01_Input_Raw_Products'!D162))</f>
        <v>0</v>
      </c>
      <c r="O162" s="9">
        <f>IF(C162="","","Catalog Automation")</f>
        <v>0</v>
      </c>
      <c r="P162" s="9">
        <f>'01_Input_Raw_Products'!U162</f>
        <v>0</v>
      </c>
      <c r="Q162" s="7">
        <f>IF('01_Input_Raw_Products'!O162&lt;&gt;"",'01_Input_Raw_Products'!O162,IF('01_Input_Raw_Products'!N162&lt;&gt;"",'01_Input_Raw_Products'!N162*1.1,""))</f>
        <v>0</v>
      </c>
      <c r="R162" s="9">
        <f>'01_Input_Raw_Products'!S162</f>
        <v>0</v>
      </c>
      <c r="S162" s="9" cm="1">
        <f t="array" ref="S162">IFERROR(_xlfn.XLOOKUP('01_Input_Raw_Products'!F162,'10_Master_Gem_Types'!A:A,'10_Master_Gem_Types'!H:H),"")</f>
        <v>0</v>
      </c>
      <c r="T162" s="8">
        <f>'01_Input_Raw_Products'!Q162</f>
        <v>0</v>
      </c>
      <c r="U162" s="8">
        <f>'01_Input_Raw_Products'!R162</f>
        <v>0</v>
      </c>
      <c r="V162" s="7">
        <f>I162</f>
        <v>0</v>
      </c>
      <c r="W162" s="9" cm="1">
        <f t="array" ref="W162">IF('01_Input_Raw_Products'!G162&lt;&gt;"",'01_Input_Raw_Products'!G162,IFERROR(_xlfn.XLOOKUP('01_Input_Raw_Products'!F162,'10_Master_Gem_Types'!A:A,'10_Master_Gem_Types'!L:L),""))</f>
        <v>0</v>
      </c>
      <c r="X162" s="9" cm="1">
        <f t="array" ref="X162">IFERROR(_xlfn.XLOOKUP('01_Input_Raw_Products'!F162,'10_Master_Gem_Types'!A:A,'10_Master_Gem_Types'!J:J),"")</f>
        <v>0</v>
      </c>
      <c r="Y162" s="9" cm="1">
        <f t="array" ref="Y162">IFERROR(_xlfn.XLOOKUP('01_Input_Raw_Products'!F162,'10_Master_Gem_Types'!A:A,'10_Master_Gem_Types'!I:I),"")</f>
        <v>0</v>
      </c>
      <c r="Z162" s="9" cm="1">
        <f t="array" ref="Z162">IFERROR(_xlfn.XLOOKUP('01_Input_Raw_Products'!L162,'13_Certification_Stickers'!A:A,'13_Certification_Stickers'!C:C),"")</f>
        <v>0</v>
      </c>
      <c r="AA162" s="9" cm="1">
        <f t="array" ref="AA162">IFERROR(_xlfn.XLOOKUP('01_Input_Raw_Products'!S162,'14_Shipping_Rules'!A:A,'14_Shipping_Rules'!B:B),"")</f>
        <v>0</v>
      </c>
      <c r="AB162" s="9" cm="1">
        <f t="array" ref="AB162">IFERROR(_xlfn.XLOOKUP('01_Input_Raw_Products'!D162,'16_Astro_Flags'!A:A,'16_Astro_Flags'!B:B),"")</f>
        <v>0</v>
      </c>
      <c r="AC162" s="9">
        <f>IF(C162="","","Catalog, Search")</f>
        <v>0</v>
      </c>
      <c r="AD162" s="9">
        <f>IF(C162="","",IF(OR(F162="",J162="",M162="",S162="",Y162=""),"Manual Review","Ready"))</f>
        <v>0</v>
      </c>
      <c r="AE162" s="9">
        <f>IF(C162="","",TEXTJOIN("; ",TRUE,IF(F162="","Missing url_key",""),IF(J162="","Missing classification",""),IF(M162="","Missing j_colour",""),IF(S162="","Missing hsn_code",""),IF(Y162="","Missing tax_class_id","")))</f>
        <v>0</v>
      </c>
    </row>
    <row r="163" spans="1:31">
      <c r="A163" s="9">
        <f>IF('01_Input_Raw_Products'!B163&lt;&gt;"",20,"")</f>
        <v>0</v>
      </c>
      <c r="B163" s="9" cm="1">
        <f t="array" ref="B163">IF('01_Input_Raw_Products'!M163&lt;&gt;"",'01_Input_Raw_Products'!M163,IFERROR(_xlfn.XLOOKUP('01_Input_Raw_Products'!F163,'10_Master_Gem_Types'!A:A,'10_Master_Gem_Types'!K:K),""))</f>
        <v>0</v>
      </c>
      <c r="C163" s="9">
        <f>'01_Input_Raw_Products'!B163</f>
        <v>0</v>
      </c>
      <c r="D163" s="9">
        <f>IF(C163="","",TEXT(I163,"0.00")&amp;" Ct "&amp;IF('01_Input_Raw_Products'!F163&lt;&gt;"",'01_Input_Raw_Products'!F163,'01_Input_Raw_Products'!D163)&amp;" "&amp;'01_Input_Raw_Products'!I163)</f>
        <v>0</v>
      </c>
      <c r="E163" s="9">
        <f>IF(C163="","",D163&amp;" | GemPundit")</f>
        <v>0</v>
      </c>
      <c r="F163" s="9" cm="1">
        <f t="array" ref="F163">IF('01_Input_Raw_Products'!X163&lt;&gt;"",'01_Input_Raw_Products'!X163,IFERROR(_xlfn.XLOOKUP('01_Input_Raw_Products'!F163,'10_Master_Gem_Types'!A:A,'10_Master_Gem_Types'!O:O),LOWER(SUBSTITUTE(IF('01_Input_Raw_Products'!F163&lt;&gt;"",'01_Input_Raw_Products'!F163,'01_Input_Raw_Products'!D163)," ","-"))))</f>
        <v>0</v>
      </c>
      <c r="G163" s="9">
        <f>'01_Input_Raw_Products'!C163</f>
        <v>0</v>
      </c>
      <c r="H163" s="9" cm="1">
        <f t="array" ref="H163">IF('01_Input_Raw_Products'!H163&lt;&gt;"",'01_Input_Raw_Products'!H163,IFERROR(_xlfn.XLOOKUP('01_Input_Raw_Products'!F163,'10_Master_Gem_Types'!A:A,'10_Master_Gem_Types'!D:D),""))</f>
        <v>0</v>
      </c>
      <c r="I163" s="7">
        <f>IF('01_Input_Raw_Products'!N163&lt;&gt;"",'01_Input_Raw_Products'!N163,IF('01_Input_Raw_Products'!O163&lt;&gt;"",'01_Input_Raw_Products'!O163*0.91,""))</f>
        <v>0</v>
      </c>
      <c r="J163" s="9" cm="1">
        <f t="array" ref="J163">IFERROR(_xlfn.XLOOKUP('01_Input_Raw_Products'!F163,'10_Master_Gem_Types'!A:A,'10_Master_Gem_Types'!N:N),"")</f>
        <v>0</v>
      </c>
      <c r="K163" s="9" cm="1">
        <f t="array" ref="K163">IF('01_Input_Raw_Products'!J163&lt;&gt;"",'01_Input_Raw_Products'!J163,IFERROR(_xlfn.XLOOKUP('01_Input_Raw_Products'!F163,'10_Master_Gem_Types'!A:A,'10_Master_Gem_Types'!E:E),""))</f>
        <v>0</v>
      </c>
      <c r="L163" s="9">
        <f>'01_Input_Raw_Products'!P163</f>
        <v>0</v>
      </c>
      <c r="M163" s="9" cm="1">
        <f t="array" ref="M163">IFERROR(_xlfn.XLOOKUP('01_Input_Raw_Products'!K163,'12_Color_Mapping'!A:A,'12_Color_Mapping'!B:B),IFERROR(_xlfn.XLOOKUP('01_Input_Raw_Products'!F163,'10_Master_Gem_Types'!A:A,'10_Master_Gem_Types'!F:F),""))</f>
        <v>0</v>
      </c>
      <c r="N163" s="9">
        <f>IF(C163="","",IF('01_Input_Raw_Products'!F163&lt;&gt;"",'01_Input_Raw_Products'!F163,'01_Input_Raw_Products'!D163))</f>
        <v>0</v>
      </c>
      <c r="O163" s="9">
        <f>IF(C163="","","Catalog Automation")</f>
        <v>0</v>
      </c>
      <c r="P163" s="9">
        <f>'01_Input_Raw_Products'!U163</f>
        <v>0</v>
      </c>
      <c r="Q163" s="7">
        <f>IF('01_Input_Raw_Products'!O163&lt;&gt;"",'01_Input_Raw_Products'!O163,IF('01_Input_Raw_Products'!N163&lt;&gt;"",'01_Input_Raw_Products'!N163*1.1,""))</f>
        <v>0</v>
      </c>
      <c r="R163" s="9">
        <f>'01_Input_Raw_Products'!S163</f>
        <v>0</v>
      </c>
      <c r="S163" s="9" cm="1">
        <f t="array" ref="S163">IFERROR(_xlfn.XLOOKUP('01_Input_Raw_Products'!F163,'10_Master_Gem_Types'!A:A,'10_Master_Gem_Types'!H:H),"")</f>
        <v>0</v>
      </c>
      <c r="T163" s="8">
        <f>'01_Input_Raw_Products'!Q163</f>
        <v>0</v>
      </c>
      <c r="U163" s="8">
        <f>'01_Input_Raw_Products'!R163</f>
        <v>0</v>
      </c>
      <c r="V163" s="7">
        <f>I163</f>
        <v>0</v>
      </c>
      <c r="W163" s="9" cm="1">
        <f t="array" ref="W163">IF('01_Input_Raw_Products'!G163&lt;&gt;"",'01_Input_Raw_Products'!G163,IFERROR(_xlfn.XLOOKUP('01_Input_Raw_Products'!F163,'10_Master_Gem_Types'!A:A,'10_Master_Gem_Types'!L:L),""))</f>
        <v>0</v>
      </c>
      <c r="X163" s="9" cm="1">
        <f t="array" ref="X163">IFERROR(_xlfn.XLOOKUP('01_Input_Raw_Products'!F163,'10_Master_Gem_Types'!A:A,'10_Master_Gem_Types'!J:J),"")</f>
        <v>0</v>
      </c>
      <c r="Y163" s="9" cm="1">
        <f t="array" ref="Y163">IFERROR(_xlfn.XLOOKUP('01_Input_Raw_Products'!F163,'10_Master_Gem_Types'!A:A,'10_Master_Gem_Types'!I:I),"")</f>
        <v>0</v>
      </c>
      <c r="Z163" s="9" cm="1">
        <f t="array" ref="Z163">IFERROR(_xlfn.XLOOKUP('01_Input_Raw_Products'!L163,'13_Certification_Stickers'!A:A,'13_Certification_Stickers'!C:C),"")</f>
        <v>0</v>
      </c>
      <c r="AA163" s="9" cm="1">
        <f t="array" ref="AA163">IFERROR(_xlfn.XLOOKUP('01_Input_Raw_Products'!S163,'14_Shipping_Rules'!A:A,'14_Shipping_Rules'!B:B),"")</f>
        <v>0</v>
      </c>
      <c r="AB163" s="9" cm="1">
        <f t="array" ref="AB163">IFERROR(_xlfn.XLOOKUP('01_Input_Raw_Products'!D163,'16_Astro_Flags'!A:A,'16_Astro_Flags'!B:B),"")</f>
        <v>0</v>
      </c>
      <c r="AC163" s="9">
        <f>IF(C163="","","Catalog, Search")</f>
        <v>0</v>
      </c>
      <c r="AD163" s="9">
        <f>IF(C163="","",IF(OR(F163="",J163="",M163="",S163="",Y163=""),"Manual Review","Ready"))</f>
        <v>0</v>
      </c>
      <c r="AE163" s="9">
        <f>IF(C163="","",TEXTJOIN("; ",TRUE,IF(F163="","Missing url_key",""),IF(J163="","Missing classification",""),IF(M163="","Missing j_colour",""),IF(S163="","Missing hsn_code",""),IF(Y163="","Missing tax_class_id","")))</f>
        <v>0</v>
      </c>
    </row>
    <row r="164" spans="1:31">
      <c r="A164" s="9">
        <f>IF('01_Input_Raw_Products'!B164&lt;&gt;"",20,"")</f>
        <v>0</v>
      </c>
      <c r="B164" s="9" cm="1">
        <f t="array" ref="B164">IF('01_Input_Raw_Products'!M164&lt;&gt;"",'01_Input_Raw_Products'!M164,IFERROR(_xlfn.XLOOKUP('01_Input_Raw_Products'!F164,'10_Master_Gem_Types'!A:A,'10_Master_Gem_Types'!K:K),""))</f>
        <v>0</v>
      </c>
      <c r="C164" s="9">
        <f>'01_Input_Raw_Products'!B164</f>
        <v>0</v>
      </c>
      <c r="D164" s="9">
        <f>IF(C164="","",TEXT(I164,"0.00")&amp;" Ct "&amp;IF('01_Input_Raw_Products'!F164&lt;&gt;"",'01_Input_Raw_Products'!F164,'01_Input_Raw_Products'!D164)&amp;" "&amp;'01_Input_Raw_Products'!I164)</f>
        <v>0</v>
      </c>
      <c r="E164" s="9">
        <f>IF(C164="","",D164&amp;" | GemPundit")</f>
        <v>0</v>
      </c>
      <c r="F164" s="9" cm="1">
        <f t="array" ref="F164">IF('01_Input_Raw_Products'!X164&lt;&gt;"",'01_Input_Raw_Products'!X164,IFERROR(_xlfn.XLOOKUP('01_Input_Raw_Products'!F164,'10_Master_Gem_Types'!A:A,'10_Master_Gem_Types'!O:O),LOWER(SUBSTITUTE(IF('01_Input_Raw_Products'!F164&lt;&gt;"",'01_Input_Raw_Products'!F164,'01_Input_Raw_Products'!D164)," ","-"))))</f>
        <v>0</v>
      </c>
      <c r="G164" s="9">
        <f>'01_Input_Raw_Products'!C164</f>
        <v>0</v>
      </c>
      <c r="H164" s="9" cm="1">
        <f t="array" ref="H164">IF('01_Input_Raw_Products'!H164&lt;&gt;"",'01_Input_Raw_Products'!H164,IFERROR(_xlfn.XLOOKUP('01_Input_Raw_Products'!F164,'10_Master_Gem_Types'!A:A,'10_Master_Gem_Types'!D:D),""))</f>
        <v>0</v>
      </c>
      <c r="I164" s="7">
        <f>IF('01_Input_Raw_Products'!N164&lt;&gt;"",'01_Input_Raw_Products'!N164,IF('01_Input_Raw_Products'!O164&lt;&gt;"",'01_Input_Raw_Products'!O164*0.91,""))</f>
        <v>0</v>
      </c>
      <c r="J164" s="9" cm="1">
        <f t="array" ref="J164">IFERROR(_xlfn.XLOOKUP('01_Input_Raw_Products'!F164,'10_Master_Gem_Types'!A:A,'10_Master_Gem_Types'!N:N),"")</f>
        <v>0</v>
      </c>
      <c r="K164" s="9" cm="1">
        <f t="array" ref="K164">IF('01_Input_Raw_Products'!J164&lt;&gt;"",'01_Input_Raw_Products'!J164,IFERROR(_xlfn.XLOOKUP('01_Input_Raw_Products'!F164,'10_Master_Gem_Types'!A:A,'10_Master_Gem_Types'!E:E),""))</f>
        <v>0</v>
      </c>
      <c r="L164" s="9">
        <f>'01_Input_Raw_Products'!P164</f>
        <v>0</v>
      </c>
      <c r="M164" s="9" cm="1">
        <f t="array" ref="M164">IFERROR(_xlfn.XLOOKUP('01_Input_Raw_Products'!K164,'12_Color_Mapping'!A:A,'12_Color_Mapping'!B:B),IFERROR(_xlfn.XLOOKUP('01_Input_Raw_Products'!F164,'10_Master_Gem_Types'!A:A,'10_Master_Gem_Types'!F:F),""))</f>
        <v>0</v>
      </c>
      <c r="N164" s="9">
        <f>IF(C164="","",IF('01_Input_Raw_Products'!F164&lt;&gt;"",'01_Input_Raw_Products'!F164,'01_Input_Raw_Products'!D164))</f>
        <v>0</v>
      </c>
      <c r="O164" s="9">
        <f>IF(C164="","","Catalog Automation")</f>
        <v>0</v>
      </c>
      <c r="P164" s="9">
        <f>'01_Input_Raw_Products'!U164</f>
        <v>0</v>
      </c>
      <c r="Q164" s="7">
        <f>IF('01_Input_Raw_Products'!O164&lt;&gt;"",'01_Input_Raw_Products'!O164,IF('01_Input_Raw_Products'!N164&lt;&gt;"",'01_Input_Raw_Products'!N164*1.1,""))</f>
        <v>0</v>
      </c>
      <c r="R164" s="9">
        <f>'01_Input_Raw_Products'!S164</f>
        <v>0</v>
      </c>
      <c r="S164" s="9" cm="1">
        <f t="array" ref="S164">IFERROR(_xlfn.XLOOKUP('01_Input_Raw_Products'!F164,'10_Master_Gem_Types'!A:A,'10_Master_Gem_Types'!H:H),"")</f>
        <v>0</v>
      </c>
      <c r="T164" s="8">
        <f>'01_Input_Raw_Products'!Q164</f>
        <v>0</v>
      </c>
      <c r="U164" s="8">
        <f>'01_Input_Raw_Products'!R164</f>
        <v>0</v>
      </c>
      <c r="V164" s="7">
        <f>I164</f>
        <v>0</v>
      </c>
      <c r="W164" s="9" cm="1">
        <f t="array" ref="W164">IF('01_Input_Raw_Products'!G164&lt;&gt;"",'01_Input_Raw_Products'!G164,IFERROR(_xlfn.XLOOKUP('01_Input_Raw_Products'!F164,'10_Master_Gem_Types'!A:A,'10_Master_Gem_Types'!L:L),""))</f>
        <v>0</v>
      </c>
      <c r="X164" s="9" cm="1">
        <f t="array" ref="X164">IFERROR(_xlfn.XLOOKUP('01_Input_Raw_Products'!F164,'10_Master_Gem_Types'!A:A,'10_Master_Gem_Types'!J:J),"")</f>
        <v>0</v>
      </c>
      <c r="Y164" s="9" cm="1">
        <f t="array" ref="Y164">IFERROR(_xlfn.XLOOKUP('01_Input_Raw_Products'!F164,'10_Master_Gem_Types'!A:A,'10_Master_Gem_Types'!I:I),"")</f>
        <v>0</v>
      </c>
      <c r="Z164" s="9" cm="1">
        <f t="array" ref="Z164">IFERROR(_xlfn.XLOOKUP('01_Input_Raw_Products'!L164,'13_Certification_Stickers'!A:A,'13_Certification_Stickers'!C:C),"")</f>
        <v>0</v>
      </c>
      <c r="AA164" s="9" cm="1">
        <f t="array" ref="AA164">IFERROR(_xlfn.XLOOKUP('01_Input_Raw_Products'!S164,'14_Shipping_Rules'!A:A,'14_Shipping_Rules'!B:B),"")</f>
        <v>0</v>
      </c>
      <c r="AB164" s="9" cm="1">
        <f t="array" ref="AB164">IFERROR(_xlfn.XLOOKUP('01_Input_Raw_Products'!D164,'16_Astro_Flags'!A:A,'16_Astro_Flags'!B:B),"")</f>
        <v>0</v>
      </c>
      <c r="AC164" s="9">
        <f>IF(C164="","","Catalog, Search")</f>
        <v>0</v>
      </c>
      <c r="AD164" s="9">
        <f>IF(C164="","",IF(OR(F164="",J164="",M164="",S164="",Y164=""),"Manual Review","Ready"))</f>
        <v>0</v>
      </c>
      <c r="AE164" s="9">
        <f>IF(C164="","",TEXTJOIN("; ",TRUE,IF(F164="","Missing url_key",""),IF(J164="","Missing classification",""),IF(M164="","Missing j_colour",""),IF(S164="","Missing hsn_code",""),IF(Y164="","Missing tax_class_id","")))</f>
        <v>0</v>
      </c>
    </row>
    <row r="165" spans="1:31">
      <c r="A165" s="9">
        <f>IF('01_Input_Raw_Products'!B165&lt;&gt;"",20,"")</f>
        <v>0</v>
      </c>
      <c r="B165" s="9" cm="1">
        <f t="array" ref="B165">IF('01_Input_Raw_Products'!M165&lt;&gt;"",'01_Input_Raw_Products'!M165,IFERROR(_xlfn.XLOOKUP('01_Input_Raw_Products'!F165,'10_Master_Gem_Types'!A:A,'10_Master_Gem_Types'!K:K),""))</f>
        <v>0</v>
      </c>
      <c r="C165" s="9">
        <f>'01_Input_Raw_Products'!B165</f>
        <v>0</v>
      </c>
      <c r="D165" s="9">
        <f>IF(C165="","",TEXT(I165,"0.00")&amp;" Ct "&amp;IF('01_Input_Raw_Products'!F165&lt;&gt;"",'01_Input_Raw_Products'!F165,'01_Input_Raw_Products'!D165)&amp;" "&amp;'01_Input_Raw_Products'!I165)</f>
        <v>0</v>
      </c>
      <c r="E165" s="9">
        <f>IF(C165="","",D165&amp;" | GemPundit")</f>
        <v>0</v>
      </c>
      <c r="F165" s="9" cm="1">
        <f t="array" ref="F165">IF('01_Input_Raw_Products'!X165&lt;&gt;"",'01_Input_Raw_Products'!X165,IFERROR(_xlfn.XLOOKUP('01_Input_Raw_Products'!F165,'10_Master_Gem_Types'!A:A,'10_Master_Gem_Types'!O:O),LOWER(SUBSTITUTE(IF('01_Input_Raw_Products'!F165&lt;&gt;"",'01_Input_Raw_Products'!F165,'01_Input_Raw_Products'!D165)," ","-"))))</f>
        <v>0</v>
      </c>
      <c r="G165" s="9">
        <f>'01_Input_Raw_Products'!C165</f>
        <v>0</v>
      </c>
      <c r="H165" s="9" cm="1">
        <f t="array" ref="H165">IF('01_Input_Raw_Products'!H165&lt;&gt;"",'01_Input_Raw_Products'!H165,IFERROR(_xlfn.XLOOKUP('01_Input_Raw_Products'!F165,'10_Master_Gem_Types'!A:A,'10_Master_Gem_Types'!D:D),""))</f>
        <v>0</v>
      </c>
      <c r="I165" s="7">
        <f>IF('01_Input_Raw_Products'!N165&lt;&gt;"",'01_Input_Raw_Products'!N165,IF('01_Input_Raw_Products'!O165&lt;&gt;"",'01_Input_Raw_Products'!O165*0.91,""))</f>
        <v>0</v>
      </c>
      <c r="J165" s="9" cm="1">
        <f t="array" ref="J165">IFERROR(_xlfn.XLOOKUP('01_Input_Raw_Products'!F165,'10_Master_Gem_Types'!A:A,'10_Master_Gem_Types'!N:N),"")</f>
        <v>0</v>
      </c>
      <c r="K165" s="9" cm="1">
        <f t="array" ref="K165">IF('01_Input_Raw_Products'!J165&lt;&gt;"",'01_Input_Raw_Products'!J165,IFERROR(_xlfn.XLOOKUP('01_Input_Raw_Products'!F165,'10_Master_Gem_Types'!A:A,'10_Master_Gem_Types'!E:E),""))</f>
        <v>0</v>
      </c>
      <c r="L165" s="9">
        <f>'01_Input_Raw_Products'!P165</f>
        <v>0</v>
      </c>
      <c r="M165" s="9" cm="1">
        <f t="array" ref="M165">IFERROR(_xlfn.XLOOKUP('01_Input_Raw_Products'!K165,'12_Color_Mapping'!A:A,'12_Color_Mapping'!B:B),IFERROR(_xlfn.XLOOKUP('01_Input_Raw_Products'!F165,'10_Master_Gem_Types'!A:A,'10_Master_Gem_Types'!F:F),""))</f>
        <v>0</v>
      </c>
      <c r="N165" s="9">
        <f>IF(C165="","",IF('01_Input_Raw_Products'!F165&lt;&gt;"",'01_Input_Raw_Products'!F165,'01_Input_Raw_Products'!D165))</f>
        <v>0</v>
      </c>
      <c r="O165" s="9">
        <f>IF(C165="","","Catalog Automation")</f>
        <v>0</v>
      </c>
      <c r="P165" s="9">
        <f>'01_Input_Raw_Products'!U165</f>
        <v>0</v>
      </c>
      <c r="Q165" s="7">
        <f>IF('01_Input_Raw_Products'!O165&lt;&gt;"",'01_Input_Raw_Products'!O165,IF('01_Input_Raw_Products'!N165&lt;&gt;"",'01_Input_Raw_Products'!N165*1.1,""))</f>
        <v>0</v>
      </c>
      <c r="R165" s="9">
        <f>'01_Input_Raw_Products'!S165</f>
        <v>0</v>
      </c>
      <c r="S165" s="9" cm="1">
        <f t="array" ref="S165">IFERROR(_xlfn.XLOOKUP('01_Input_Raw_Products'!F165,'10_Master_Gem_Types'!A:A,'10_Master_Gem_Types'!H:H),"")</f>
        <v>0</v>
      </c>
      <c r="T165" s="8">
        <f>'01_Input_Raw_Products'!Q165</f>
        <v>0</v>
      </c>
      <c r="U165" s="8">
        <f>'01_Input_Raw_Products'!R165</f>
        <v>0</v>
      </c>
      <c r="V165" s="7">
        <f>I165</f>
        <v>0</v>
      </c>
      <c r="W165" s="9" cm="1">
        <f t="array" ref="W165">IF('01_Input_Raw_Products'!G165&lt;&gt;"",'01_Input_Raw_Products'!G165,IFERROR(_xlfn.XLOOKUP('01_Input_Raw_Products'!F165,'10_Master_Gem_Types'!A:A,'10_Master_Gem_Types'!L:L),""))</f>
        <v>0</v>
      </c>
      <c r="X165" s="9" cm="1">
        <f t="array" ref="X165">IFERROR(_xlfn.XLOOKUP('01_Input_Raw_Products'!F165,'10_Master_Gem_Types'!A:A,'10_Master_Gem_Types'!J:J),"")</f>
        <v>0</v>
      </c>
      <c r="Y165" s="9" cm="1">
        <f t="array" ref="Y165">IFERROR(_xlfn.XLOOKUP('01_Input_Raw_Products'!F165,'10_Master_Gem_Types'!A:A,'10_Master_Gem_Types'!I:I),"")</f>
        <v>0</v>
      </c>
      <c r="Z165" s="9" cm="1">
        <f t="array" ref="Z165">IFERROR(_xlfn.XLOOKUP('01_Input_Raw_Products'!L165,'13_Certification_Stickers'!A:A,'13_Certification_Stickers'!C:C),"")</f>
        <v>0</v>
      </c>
      <c r="AA165" s="9" cm="1">
        <f t="array" ref="AA165">IFERROR(_xlfn.XLOOKUP('01_Input_Raw_Products'!S165,'14_Shipping_Rules'!A:A,'14_Shipping_Rules'!B:B),"")</f>
        <v>0</v>
      </c>
      <c r="AB165" s="9" cm="1">
        <f t="array" ref="AB165">IFERROR(_xlfn.XLOOKUP('01_Input_Raw_Products'!D165,'16_Astro_Flags'!A:A,'16_Astro_Flags'!B:B),"")</f>
        <v>0</v>
      </c>
      <c r="AC165" s="9">
        <f>IF(C165="","","Catalog, Search")</f>
        <v>0</v>
      </c>
      <c r="AD165" s="9">
        <f>IF(C165="","",IF(OR(F165="",J165="",M165="",S165="",Y165=""),"Manual Review","Ready"))</f>
        <v>0</v>
      </c>
      <c r="AE165" s="9">
        <f>IF(C165="","",TEXTJOIN("; ",TRUE,IF(F165="","Missing url_key",""),IF(J165="","Missing classification",""),IF(M165="","Missing j_colour",""),IF(S165="","Missing hsn_code",""),IF(Y165="","Missing tax_class_id","")))</f>
        <v>0</v>
      </c>
    </row>
    <row r="166" spans="1:31">
      <c r="A166" s="9">
        <f>IF('01_Input_Raw_Products'!B166&lt;&gt;"",20,"")</f>
        <v>0</v>
      </c>
      <c r="B166" s="9" cm="1">
        <f t="array" ref="B166">IF('01_Input_Raw_Products'!M166&lt;&gt;"",'01_Input_Raw_Products'!M166,IFERROR(_xlfn.XLOOKUP('01_Input_Raw_Products'!F166,'10_Master_Gem_Types'!A:A,'10_Master_Gem_Types'!K:K),""))</f>
        <v>0</v>
      </c>
      <c r="C166" s="9">
        <f>'01_Input_Raw_Products'!B166</f>
        <v>0</v>
      </c>
      <c r="D166" s="9">
        <f>IF(C166="","",TEXT(I166,"0.00")&amp;" Ct "&amp;IF('01_Input_Raw_Products'!F166&lt;&gt;"",'01_Input_Raw_Products'!F166,'01_Input_Raw_Products'!D166)&amp;" "&amp;'01_Input_Raw_Products'!I166)</f>
        <v>0</v>
      </c>
      <c r="E166" s="9">
        <f>IF(C166="","",D166&amp;" | GemPundit")</f>
        <v>0</v>
      </c>
      <c r="F166" s="9" cm="1">
        <f t="array" ref="F166">IF('01_Input_Raw_Products'!X166&lt;&gt;"",'01_Input_Raw_Products'!X166,IFERROR(_xlfn.XLOOKUP('01_Input_Raw_Products'!F166,'10_Master_Gem_Types'!A:A,'10_Master_Gem_Types'!O:O),LOWER(SUBSTITUTE(IF('01_Input_Raw_Products'!F166&lt;&gt;"",'01_Input_Raw_Products'!F166,'01_Input_Raw_Products'!D166)," ","-"))))</f>
        <v>0</v>
      </c>
      <c r="G166" s="9">
        <f>'01_Input_Raw_Products'!C166</f>
        <v>0</v>
      </c>
      <c r="H166" s="9" cm="1">
        <f t="array" ref="H166">IF('01_Input_Raw_Products'!H166&lt;&gt;"",'01_Input_Raw_Products'!H166,IFERROR(_xlfn.XLOOKUP('01_Input_Raw_Products'!F166,'10_Master_Gem_Types'!A:A,'10_Master_Gem_Types'!D:D),""))</f>
        <v>0</v>
      </c>
      <c r="I166" s="7">
        <f>IF('01_Input_Raw_Products'!N166&lt;&gt;"",'01_Input_Raw_Products'!N166,IF('01_Input_Raw_Products'!O166&lt;&gt;"",'01_Input_Raw_Products'!O166*0.91,""))</f>
        <v>0</v>
      </c>
      <c r="J166" s="9" cm="1">
        <f t="array" ref="J166">IFERROR(_xlfn.XLOOKUP('01_Input_Raw_Products'!F166,'10_Master_Gem_Types'!A:A,'10_Master_Gem_Types'!N:N),"")</f>
        <v>0</v>
      </c>
      <c r="K166" s="9" cm="1">
        <f t="array" ref="K166">IF('01_Input_Raw_Products'!J166&lt;&gt;"",'01_Input_Raw_Products'!J166,IFERROR(_xlfn.XLOOKUP('01_Input_Raw_Products'!F166,'10_Master_Gem_Types'!A:A,'10_Master_Gem_Types'!E:E),""))</f>
        <v>0</v>
      </c>
      <c r="L166" s="9">
        <f>'01_Input_Raw_Products'!P166</f>
        <v>0</v>
      </c>
      <c r="M166" s="9" cm="1">
        <f t="array" ref="M166">IFERROR(_xlfn.XLOOKUP('01_Input_Raw_Products'!K166,'12_Color_Mapping'!A:A,'12_Color_Mapping'!B:B),IFERROR(_xlfn.XLOOKUP('01_Input_Raw_Products'!F166,'10_Master_Gem_Types'!A:A,'10_Master_Gem_Types'!F:F),""))</f>
        <v>0</v>
      </c>
      <c r="N166" s="9">
        <f>IF(C166="","",IF('01_Input_Raw_Products'!F166&lt;&gt;"",'01_Input_Raw_Products'!F166,'01_Input_Raw_Products'!D166))</f>
        <v>0</v>
      </c>
      <c r="O166" s="9">
        <f>IF(C166="","","Catalog Automation")</f>
        <v>0</v>
      </c>
      <c r="P166" s="9">
        <f>'01_Input_Raw_Products'!U166</f>
        <v>0</v>
      </c>
      <c r="Q166" s="7">
        <f>IF('01_Input_Raw_Products'!O166&lt;&gt;"",'01_Input_Raw_Products'!O166,IF('01_Input_Raw_Products'!N166&lt;&gt;"",'01_Input_Raw_Products'!N166*1.1,""))</f>
        <v>0</v>
      </c>
      <c r="R166" s="9">
        <f>'01_Input_Raw_Products'!S166</f>
        <v>0</v>
      </c>
      <c r="S166" s="9" cm="1">
        <f t="array" ref="S166">IFERROR(_xlfn.XLOOKUP('01_Input_Raw_Products'!F166,'10_Master_Gem_Types'!A:A,'10_Master_Gem_Types'!H:H),"")</f>
        <v>0</v>
      </c>
      <c r="T166" s="8">
        <f>'01_Input_Raw_Products'!Q166</f>
        <v>0</v>
      </c>
      <c r="U166" s="8">
        <f>'01_Input_Raw_Products'!R166</f>
        <v>0</v>
      </c>
      <c r="V166" s="7">
        <f>I166</f>
        <v>0</v>
      </c>
      <c r="W166" s="9" cm="1">
        <f t="array" ref="W166">IF('01_Input_Raw_Products'!G166&lt;&gt;"",'01_Input_Raw_Products'!G166,IFERROR(_xlfn.XLOOKUP('01_Input_Raw_Products'!F166,'10_Master_Gem_Types'!A:A,'10_Master_Gem_Types'!L:L),""))</f>
        <v>0</v>
      </c>
      <c r="X166" s="9" cm="1">
        <f t="array" ref="X166">IFERROR(_xlfn.XLOOKUP('01_Input_Raw_Products'!F166,'10_Master_Gem_Types'!A:A,'10_Master_Gem_Types'!J:J),"")</f>
        <v>0</v>
      </c>
      <c r="Y166" s="9" cm="1">
        <f t="array" ref="Y166">IFERROR(_xlfn.XLOOKUP('01_Input_Raw_Products'!F166,'10_Master_Gem_Types'!A:A,'10_Master_Gem_Types'!I:I),"")</f>
        <v>0</v>
      </c>
      <c r="Z166" s="9" cm="1">
        <f t="array" ref="Z166">IFERROR(_xlfn.XLOOKUP('01_Input_Raw_Products'!L166,'13_Certification_Stickers'!A:A,'13_Certification_Stickers'!C:C),"")</f>
        <v>0</v>
      </c>
      <c r="AA166" s="9" cm="1">
        <f t="array" ref="AA166">IFERROR(_xlfn.XLOOKUP('01_Input_Raw_Products'!S166,'14_Shipping_Rules'!A:A,'14_Shipping_Rules'!B:B),"")</f>
        <v>0</v>
      </c>
      <c r="AB166" s="9" cm="1">
        <f t="array" ref="AB166">IFERROR(_xlfn.XLOOKUP('01_Input_Raw_Products'!D166,'16_Astro_Flags'!A:A,'16_Astro_Flags'!B:B),"")</f>
        <v>0</v>
      </c>
      <c r="AC166" s="9">
        <f>IF(C166="","","Catalog, Search")</f>
        <v>0</v>
      </c>
      <c r="AD166" s="9">
        <f>IF(C166="","",IF(OR(F166="",J166="",M166="",S166="",Y166=""),"Manual Review","Ready"))</f>
        <v>0</v>
      </c>
      <c r="AE166" s="9">
        <f>IF(C166="","",TEXTJOIN("; ",TRUE,IF(F166="","Missing url_key",""),IF(J166="","Missing classification",""),IF(M166="","Missing j_colour",""),IF(S166="","Missing hsn_code",""),IF(Y166="","Missing tax_class_id","")))</f>
        <v>0</v>
      </c>
    </row>
    <row r="167" spans="1:31">
      <c r="A167" s="9">
        <f>IF('01_Input_Raw_Products'!B167&lt;&gt;"",20,"")</f>
        <v>0</v>
      </c>
      <c r="B167" s="9" cm="1">
        <f t="array" ref="B167">IF('01_Input_Raw_Products'!M167&lt;&gt;"",'01_Input_Raw_Products'!M167,IFERROR(_xlfn.XLOOKUP('01_Input_Raw_Products'!F167,'10_Master_Gem_Types'!A:A,'10_Master_Gem_Types'!K:K),""))</f>
        <v>0</v>
      </c>
      <c r="C167" s="9">
        <f>'01_Input_Raw_Products'!B167</f>
        <v>0</v>
      </c>
      <c r="D167" s="9">
        <f>IF(C167="","",TEXT(I167,"0.00")&amp;" Ct "&amp;IF('01_Input_Raw_Products'!F167&lt;&gt;"",'01_Input_Raw_Products'!F167,'01_Input_Raw_Products'!D167)&amp;" "&amp;'01_Input_Raw_Products'!I167)</f>
        <v>0</v>
      </c>
      <c r="E167" s="9">
        <f>IF(C167="","",D167&amp;" | GemPundit")</f>
        <v>0</v>
      </c>
      <c r="F167" s="9" cm="1">
        <f t="array" ref="F167">IF('01_Input_Raw_Products'!X167&lt;&gt;"",'01_Input_Raw_Products'!X167,IFERROR(_xlfn.XLOOKUP('01_Input_Raw_Products'!F167,'10_Master_Gem_Types'!A:A,'10_Master_Gem_Types'!O:O),LOWER(SUBSTITUTE(IF('01_Input_Raw_Products'!F167&lt;&gt;"",'01_Input_Raw_Products'!F167,'01_Input_Raw_Products'!D167)," ","-"))))</f>
        <v>0</v>
      </c>
      <c r="G167" s="9">
        <f>'01_Input_Raw_Products'!C167</f>
        <v>0</v>
      </c>
      <c r="H167" s="9" cm="1">
        <f t="array" ref="H167">IF('01_Input_Raw_Products'!H167&lt;&gt;"",'01_Input_Raw_Products'!H167,IFERROR(_xlfn.XLOOKUP('01_Input_Raw_Products'!F167,'10_Master_Gem_Types'!A:A,'10_Master_Gem_Types'!D:D),""))</f>
        <v>0</v>
      </c>
      <c r="I167" s="7">
        <f>IF('01_Input_Raw_Products'!N167&lt;&gt;"",'01_Input_Raw_Products'!N167,IF('01_Input_Raw_Products'!O167&lt;&gt;"",'01_Input_Raw_Products'!O167*0.91,""))</f>
        <v>0</v>
      </c>
      <c r="J167" s="9" cm="1">
        <f t="array" ref="J167">IFERROR(_xlfn.XLOOKUP('01_Input_Raw_Products'!F167,'10_Master_Gem_Types'!A:A,'10_Master_Gem_Types'!N:N),"")</f>
        <v>0</v>
      </c>
      <c r="K167" s="9" cm="1">
        <f t="array" ref="K167">IF('01_Input_Raw_Products'!J167&lt;&gt;"",'01_Input_Raw_Products'!J167,IFERROR(_xlfn.XLOOKUP('01_Input_Raw_Products'!F167,'10_Master_Gem_Types'!A:A,'10_Master_Gem_Types'!E:E),""))</f>
        <v>0</v>
      </c>
      <c r="L167" s="9">
        <f>'01_Input_Raw_Products'!P167</f>
        <v>0</v>
      </c>
      <c r="M167" s="9" cm="1">
        <f t="array" ref="M167">IFERROR(_xlfn.XLOOKUP('01_Input_Raw_Products'!K167,'12_Color_Mapping'!A:A,'12_Color_Mapping'!B:B),IFERROR(_xlfn.XLOOKUP('01_Input_Raw_Products'!F167,'10_Master_Gem_Types'!A:A,'10_Master_Gem_Types'!F:F),""))</f>
        <v>0</v>
      </c>
      <c r="N167" s="9">
        <f>IF(C167="","",IF('01_Input_Raw_Products'!F167&lt;&gt;"",'01_Input_Raw_Products'!F167,'01_Input_Raw_Products'!D167))</f>
        <v>0</v>
      </c>
      <c r="O167" s="9">
        <f>IF(C167="","","Catalog Automation")</f>
        <v>0</v>
      </c>
      <c r="P167" s="9">
        <f>'01_Input_Raw_Products'!U167</f>
        <v>0</v>
      </c>
      <c r="Q167" s="7">
        <f>IF('01_Input_Raw_Products'!O167&lt;&gt;"",'01_Input_Raw_Products'!O167,IF('01_Input_Raw_Products'!N167&lt;&gt;"",'01_Input_Raw_Products'!N167*1.1,""))</f>
        <v>0</v>
      </c>
      <c r="R167" s="9">
        <f>'01_Input_Raw_Products'!S167</f>
        <v>0</v>
      </c>
      <c r="S167" s="9" cm="1">
        <f t="array" ref="S167">IFERROR(_xlfn.XLOOKUP('01_Input_Raw_Products'!F167,'10_Master_Gem_Types'!A:A,'10_Master_Gem_Types'!H:H),"")</f>
        <v>0</v>
      </c>
      <c r="T167" s="8">
        <f>'01_Input_Raw_Products'!Q167</f>
        <v>0</v>
      </c>
      <c r="U167" s="8">
        <f>'01_Input_Raw_Products'!R167</f>
        <v>0</v>
      </c>
      <c r="V167" s="7">
        <f>I167</f>
        <v>0</v>
      </c>
      <c r="W167" s="9" cm="1">
        <f t="array" ref="W167">IF('01_Input_Raw_Products'!G167&lt;&gt;"",'01_Input_Raw_Products'!G167,IFERROR(_xlfn.XLOOKUP('01_Input_Raw_Products'!F167,'10_Master_Gem_Types'!A:A,'10_Master_Gem_Types'!L:L),""))</f>
        <v>0</v>
      </c>
      <c r="X167" s="9" cm="1">
        <f t="array" ref="X167">IFERROR(_xlfn.XLOOKUP('01_Input_Raw_Products'!F167,'10_Master_Gem_Types'!A:A,'10_Master_Gem_Types'!J:J),"")</f>
        <v>0</v>
      </c>
      <c r="Y167" s="9" cm="1">
        <f t="array" ref="Y167">IFERROR(_xlfn.XLOOKUP('01_Input_Raw_Products'!F167,'10_Master_Gem_Types'!A:A,'10_Master_Gem_Types'!I:I),"")</f>
        <v>0</v>
      </c>
      <c r="Z167" s="9" cm="1">
        <f t="array" ref="Z167">IFERROR(_xlfn.XLOOKUP('01_Input_Raw_Products'!L167,'13_Certification_Stickers'!A:A,'13_Certification_Stickers'!C:C),"")</f>
        <v>0</v>
      </c>
      <c r="AA167" s="9" cm="1">
        <f t="array" ref="AA167">IFERROR(_xlfn.XLOOKUP('01_Input_Raw_Products'!S167,'14_Shipping_Rules'!A:A,'14_Shipping_Rules'!B:B),"")</f>
        <v>0</v>
      </c>
      <c r="AB167" s="9" cm="1">
        <f t="array" ref="AB167">IFERROR(_xlfn.XLOOKUP('01_Input_Raw_Products'!D167,'16_Astro_Flags'!A:A,'16_Astro_Flags'!B:B),"")</f>
        <v>0</v>
      </c>
      <c r="AC167" s="9">
        <f>IF(C167="","","Catalog, Search")</f>
        <v>0</v>
      </c>
      <c r="AD167" s="9">
        <f>IF(C167="","",IF(OR(F167="",J167="",M167="",S167="",Y167=""),"Manual Review","Ready"))</f>
        <v>0</v>
      </c>
      <c r="AE167" s="9">
        <f>IF(C167="","",TEXTJOIN("; ",TRUE,IF(F167="","Missing url_key",""),IF(J167="","Missing classification",""),IF(M167="","Missing j_colour",""),IF(S167="","Missing hsn_code",""),IF(Y167="","Missing tax_class_id","")))</f>
        <v>0</v>
      </c>
    </row>
    <row r="168" spans="1:31">
      <c r="A168" s="9">
        <f>IF('01_Input_Raw_Products'!B168&lt;&gt;"",20,"")</f>
        <v>0</v>
      </c>
      <c r="B168" s="9" cm="1">
        <f t="array" ref="B168">IF('01_Input_Raw_Products'!M168&lt;&gt;"",'01_Input_Raw_Products'!M168,IFERROR(_xlfn.XLOOKUP('01_Input_Raw_Products'!F168,'10_Master_Gem_Types'!A:A,'10_Master_Gem_Types'!K:K),""))</f>
        <v>0</v>
      </c>
      <c r="C168" s="9">
        <f>'01_Input_Raw_Products'!B168</f>
        <v>0</v>
      </c>
      <c r="D168" s="9">
        <f>IF(C168="","",TEXT(I168,"0.00")&amp;" Ct "&amp;IF('01_Input_Raw_Products'!F168&lt;&gt;"",'01_Input_Raw_Products'!F168,'01_Input_Raw_Products'!D168)&amp;" "&amp;'01_Input_Raw_Products'!I168)</f>
        <v>0</v>
      </c>
      <c r="E168" s="9">
        <f>IF(C168="","",D168&amp;" | GemPundit")</f>
        <v>0</v>
      </c>
      <c r="F168" s="9" cm="1">
        <f t="array" ref="F168">IF('01_Input_Raw_Products'!X168&lt;&gt;"",'01_Input_Raw_Products'!X168,IFERROR(_xlfn.XLOOKUP('01_Input_Raw_Products'!F168,'10_Master_Gem_Types'!A:A,'10_Master_Gem_Types'!O:O),LOWER(SUBSTITUTE(IF('01_Input_Raw_Products'!F168&lt;&gt;"",'01_Input_Raw_Products'!F168,'01_Input_Raw_Products'!D168)," ","-"))))</f>
        <v>0</v>
      </c>
      <c r="G168" s="9">
        <f>'01_Input_Raw_Products'!C168</f>
        <v>0</v>
      </c>
      <c r="H168" s="9" cm="1">
        <f t="array" ref="H168">IF('01_Input_Raw_Products'!H168&lt;&gt;"",'01_Input_Raw_Products'!H168,IFERROR(_xlfn.XLOOKUP('01_Input_Raw_Products'!F168,'10_Master_Gem_Types'!A:A,'10_Master_Gem_Types'!D:D),""))</f>
        <v>0</v>
      </c>
      <c r="I168" s="7">
        <f>IF('01_Input_Raw_Products'!N168&lt;&gt;"",'01_Input_Raw_Products'!N168,IF('01_Input_Raw_Products'!O168&lt;&gt;"",'01_Input_Raw_Products'!O168*0.91,""))</f>
        <v>0</v>
      </c>
      <c r="J168" s="9" cm="1">
        <f t="array" ref="J168">IFERROR(_xlfn.XLOOKUP('01_Input_Raw_Products'!F168,'10_Master_Gem_Types'!A:A,'10_Master_Gem_Types'!N:N),"")</f>
        <v>0</v>
      </c>
      <c r="K168" s="9" cm="1">
        <f t="array" ref="K168">IF('01_Input_Raw_Products'!J168&lt;&gt;"",'01_Input_Raw_Products'!J168,IFERROR(_xlfn.XLOOKUP('01_Input_Raw_Products'!F168,'10_Master_Gem_Types'!A:A,'10_Master_Gem_Types'!E:E),""))</f>
        <v>0</v>
      </c>
      <c r="L168" s="9">
        <f>'01_Input_Raw_Products'!P168</f>
        <v>0</v>
      </c>
      <c r="M168" s="9" cm="1">
        <f t="array" ref="M168">IFERROR(_xlfn.XLOOKUP('01_Input_Raw_Products'!K168,'12_Color_Mapping'!A:A,'12_Color_Mapping'!B:B),IFERROR(_xlfn.XLOOKUP('01_Input_Raw_Products'!F168,'10_Master_Gem_Types'!A:A,'10_Master_Gem_Types'!F:F),""))</f>
        <v>0</v>
      </c>
      <c r="N168" s="9">
        <f>IF(C168="","",IF('01_Input_Raw_Products'!F168&lt;&gt;"",'01_Input_Raw_Products'!F168,'01_Input_Raw_Products'!D168))</f>
        <v>0</v>
      </c>
      <c r="O168" s="9">
        <f>IF(C168="","","Catalog Automation")</f>
        <v>0</v>
      </c>
      <c r="P168" s="9">
        <f>'01_Input_Raw_Products'!U168</f>
        <v>0</v>
      </c>
      <c r="Q168" s="7">
        <f>IF('01_Input_Raw_Products'!O168&lt;&gt;"",'01_Input_Raw_Products'!O168,IF('01_Input_Raw_Products'!N168&lt;&gt;"",'01_Input_Raw_Products'!N168*1.1,""))</f>
        <v>0</v>
      </c>
      <c r="R168" s="9">
        <f>'01_Input_Raw_Products'!S168</f>
        <v>0</v>
      </c>
      <c r="S168" s="9" cm="1">
        <f t="array" ref="S168">IFERROR(_xlfn.XLOOKUP('01_Input_Raw_Products'!F168,'10_Master_Gem_Types'!A:A,'10_Master_Gem_Types'!H:H),"")</f>
        <v>0</v>
      </c>
      <c r="T168" s="8">
        <f>'01_Input_Raw_Products'!Q168</f>
        <v>0</v>
      </c>
      <c r="U168" s="8">
        <f>'01_Input_Raw_Products'!R168</f>
        <v>0</v>
      </c>
      <c r="V168" s="7">
        <f>I168</f>
        <v>0</v>
      </c>
      <c r="W168" s="9" cm="1">
        <f t="array" ref="W168">IF('01_Input_Raw_Products'!G168&lt;&gt;"",'01_Input_Raw_Products'!G168,IFERROR(_xlfn.XLOOKUP('01_Input_Raw_Products'!F168,'10_Master_Gem_Types'!A:A,'10_Master_Gem_Types'!L:L),""))</f>
        <v>0</v>
      </c>
      <c r="X168" s="9" cm="1">
        <f t="array" ref="X168">IFERROR(_xlfn.XLOOKUP('01_Input_Raw_Products'!F168,'10_Master_Gem_Types'!A:A,'10_Master_Gem_Types'!J:J),"")</f>
        <v>0</v>
      </c>
      <c r="Y168" s="9" cm="1">
        <f t="array" ref="Y168">IFERROR(_xlfn.XLOOKUP('01_Input_Raw_Products'!F168,'10_Master_Gem_Types'!A:A,'10_Master_Gem_Types'!I:I),"")</f>
        <v>0</v>
      </c>
      <c r="Z168" s="9" cm="1">
        <f t="array" ref="Z168">IFERROR(_xlfn.XLOOKUP('01_Input_Raw_Products'!L168,'13_Certification_Stickers'!A:A,'13_Certification_Stickers'!C:C),"")</f>
        <v>0</v>
      </c>
      <c r="AA168" s="9" cm="1">
        <f t="array" ref="AA168">IFERROR(_xlfn.XLOOKUP('01_Input_Raw_Products'!S168,'14_Shipping_Rules'!A:A,'14_Shipping_Rules'!B:B),"")</f>
        <v>0</v>
      </c>
      <c r="AB168" s="9" cm="1">
        <f t="array" ref="AB168">IFERROR(_xlfn.XLOOKUP('01_Input_Raw_Products'!D168,'16_Astro_Flags'!A:A,'16_Astro_Flags'!B:B),"")</f>
        <v>0</v>
      </c>
      <c r="AC168" s="9">
        <f>IF(C168="","","Catalog, Search")</f>
        <v>0</v>
      </c>
      <c r="AD168" s="9">
        <f>IF(C168="","",IF(OR(F168="",J168="",M168="",S168="",Y168=""),"Manual Review","Ready"))</f>
        <v>0</v>
      </c>
      <c r="AE168" s="9">
        <f>IF(C168="","",TEXTJOIN("; ",TRUE,IF(F168="","Missing url_key",""),IF(J168="","Missing classification",""),IF(M168="","Missing j_colour",""),IF(S168="","Missing hsn_code",""),IF(Y168="","Missing tax_class_id","")))</f>
        <v>0</v>
      </c>
    </row>
    <row r="169" spans="1:31">
      <c r="A169" s="9">
        <f>IF('01_Input_Raw_Products'!B169&lt;&gt;"",20,"")</f>
        <v>0</v>
      </c>
      <c r="B169" s="9" cm="1">
        <f t="array" ref="B169">IF('01_Input_Raw_Products'!M169&lt;&gt;"",'01_Input_Raw_Products'!M169,IFERROR(_xlfn.XLOOKUP('01_Input_Raw_Products'!F169,'10_Master_Gem_Types'!A:A,'10_Master_Gem_Types'!K:K),""))</f>
        <v>0</v>
      </c>
      <c r="C169" s="9">
        <f>'01_Input_Raw_Products'!B169</f>
        <v>0</v>
      </c>
      <c r="D169" s="9">
        <f>IF(C169="","",TEXT(I169,"0.00")&amp;" Ct "&amp;IF('01_Input_Raw_Products'!F169&lt;&gt;"",'01_Input_Raw_Products'!F169,'01_Input_Raw_Products'!D169)&amp;" "&amp;'01_Input_Raw_Products'!I169)</f>
        <v>0</v>
      </c>
      <c r="E169" s="9">
        <f>IF(C169="","",D169&amp;" | GemPundit")</f>
        <v>0</v>
      </c>
      <c r="F169" s="9" cm="1">
        <f t="array" ref="F169">IF('01_Input_Raw_Products'!X169&lt;&gt;"",'01_Input_Raw_Products'!X169,IFERROR(_xlfn.XLOOKUP('01_Input_Raw_Products'!F169,'10_Master_Gem_Types'!A:A,'10_Master_Gem_Types'!O:O),LOWER(SUBSTITUTE(IF('01_Input_Raw_Products'!F169&lt;&gt;"",'01_Input_Raw_Products'!F169,'01_Input_Raw_Products'!D169)," ","-"))))</f>
        <v>0</v>
      </c>
      <c r="G169" s="9">
        <f>'01_Input_Raw_Products'!C169</f>
        <v>0</v>
      </c>
      <c r="H169" s="9" cm="1">
        <f t="array" ref="H169">IF('01_Input_Raw_Products'!H169&lt;&gt;"",'01_Input_Raw_Products'!H169,IFERROR(_xlfn.XLOOKUP('01_Input_Raw_Products'!F169,'10_Master_Gem_Types'!A:A,'10_Master_Gem_Types'!D:D),""))</f>
        <v>0</v>
      </c>
      <c r="I169" s="7">
        <f>IF('01_Input_Raw_Products'!N169&lt;&gt;"",'01_Input_Raw_Products'!N169,IF('01_Input_Raw_Products'!O169&lt;&gt;"",'01_Input_Raw_Products'!O169*0.91,""))</f>
        <v>0</v>
      </c>
      <c r="J169" s="9" cm="1">
        <f t="array" ref="J169">IFERROR(_xlfn.XLOOKUP('01_Input_Raw_Products'!F169,'10_Master_Gem_Types'!A:A,'10_Master_Gem_Types'!N:N),"")</f>
        <v>0</v>
      </c>
      <c r="K169" s="9" cm="1">
        <f t="array" ref="K169">IF('01_Input_Raw_Products'!J169&lt;&gt;"",'01_Input_Raw_Products'!J169,IFERROR(_xlfn.XLOOKUP('01_Input_Raw_Products'!F169,'10_Master_Gem_Types'!A:A,'10_Master_Gem_Types'!E:E),""))</f>
        <v>0</v>
      </c>
      <c r="L169" s="9">
        <f>'01_Input_Raw_Products'!P169</f>
        <v>0</v>
      </c>
      <c r="M169" s="9" cm="1">
        <f t="array" ref="M169">IFERROR(_xlfn.XLOOKUP('01_Input_Raw_Products'!K169,'12_Color_Mapping'!A:A,'12_Color_Mapping'!B:B),IFERROR(_xlfn.XLOOKUP('01_Input_Raw_Products'!F169,'10_Master_Gem_Types'!A:A,'10_Master_Gem_Types'!F:F),""))</f>
        <v>0</v>
      </c>
      <c r="N169" s="9">
        <f>IF(C169="","",IF('01_Input_Raw_Products'!F169&lt;&gt;"",'01_Input_Raw_Products'!F169,'01_Input_Raw_Products'!D169))</f>
        <v>0</v>
      </c>
      <c r="O169" s="9">
        <f>IF(C169="","","Catalog Automation")</f>
        <v>0</v>
      </c>
      <c r="P169" s="9">
        <f>'01_Input_Raw_Products'!U169</f>
        <v>0</v>
      </c>
      <c r="Q169" s="7">
        <f>IF('01_Input_Raw_Products'!O169&lt;&gt;"",'01_Input_Raw_Products'!O169,IF('01_Input_Raw_Products'!N169&lt;&gt;"",'01_Input_Raw_Products'!N169*1.1,""))</f>
        <v>0</v>
      </c>
      <c r="R169" s="9">
        <f>'01_Input_Raw_Products'!S169</f>
        <v>0</v>
      </c>
      <c r="S169" s="9" cm="1">
        <f t="array" ref="S169">IFERROR(_xlfn.XLOOKUP('01_Input_Raw_Products'!F169,'10_Master_Gem_Types'!A:A,'10_Master_Gem_Types'!H:H),"")</f>
        <v>0</v>
      </c>
      <c r="T169" s="8">
        <f>'01_Input_Raw_Products'!Q169</f>
        <v>0</v>
      </c>
      <c r="U169" s="8">
        <f>'01_Input_Raw_Products'!R169</f>
        <v>0</v>
      </c>
      <c r="V169" s="7">
        <f>I169</f>
        <v>0</v>
      </c>
      <c r="W169" s="9" cm="1">
        <f t="array" ref="W169">IF('01_Input_Raw_Products'!G169&lt;&gt;"",'01_Input_Raw_Products'!G169,IFERROR(_xlfn.XLOOKUP('01_Input_Raw_Products'!F169,'10_Master_Gem_Types'!A:A,'10_Master_Gem_Types'!L:L),""))</f>
        <v>0</v>
      </c>
      <c r="X169" s="9" cm="1">
        <f t="array" ref="X169">IFERROR(_xlfn.XLOOKUP('01_Input_Raw_Products'!F169,'10_Master_Gem_Types'!A:A,'10_Master_Gem_Types'!J:J),"")</f>
        <v>0</v>
      </c>
      <c r="Y169" s="9" cm="1">
        <f t="array" ref="Y169">IFERROR(_xlfn.XLOOKUP('01_Input_Raw_Products'!F169,'10_Master_Gem_Types'!A:A,'10_Master_Gem_Types'!I:I),"")</f>
        <v>0</v>
      </c>
      <c r="Z169" s="9" cm="1">
        <f t="array" ref="Z169">IFERROR(_xlfn.XLOOKUP('01_Input_Raw_Products'!L169,'13_Certification_Stickers'!A:A,'13_Certification_Stickers'!C:C),"")</f>
        <v>0</v>
      </c>
      <c r="AA169" s="9" cm="1">
        <f t="array" ref="AA169">IFERROR(_xlfn.XLOOKUP('01_Input_Raw_Products'!S169,'14_Shipping_Rules'!A:A,'14_Shipping_Rules'!B:B),"")</f>
        <v>0</v>
      </c>
      <c r="AB169" s="9" cm="1">
        <f t="array" ref="AB169">IFERROR(_xlfn.XLOOKUP('01_Input_Raw_Products'!D169,'16_Astro_Flags'!A:A,'16_Astro_Flags'!B:B),"")</f>
        <v>0</v>
      </c>
      <c r="AC169" s="9">
        <f>IF(C169="","","Catalog, Search")</f>
        <v>0</v>
      </c>
      <c r="AD169" s="9">
        <f>IF(C169="","",IF(OR(F169="",J169="",M169="",S169="",Y169=""),"Manual Review","Ready"))</f>
        <v>0</v>
      </c>
      <c r="AE169" s="9">
        <f>IF(C169="","",TEXTJOIN("; ",TRUE,IF(F169="","Missing url_key",""),IF(J169="","Missing classification",""),IF(M169="","Missing j_colour",""),IF(S169="","Missing hsn_code",""),IF(Y169="","Missing tax_class_id","")))</f>
        <v>0</v>
      </c>
    </row>
    <row r="170" spans="1:31">
      <c r="A170" s="9">
        <f>IF('01_Input_Raw_Products'!B170&lt;&gt;"",20,"")</f>
        <v>0</v>
      </c>
      <c r="B170" s="9" cm="1">
        <f t="array" ref="B170">IF('01_Input_Raw_Products'!M170&lt;&gt;"",'01_Input_Raw_Products'!M170,IFERROR(_xlfn.XLOOKUP('01_Input_Raw_Products'!F170,'10_Master_Gem_Types'!A:A,'10_Master_Gem_Types'!K:K),""))</f>
        <v>0</v>
      </c>
      <c r="C170" s="9">
        <f>'01_Input_Raw_Products'!B170</f>
        <v>0</v>
      </c>
      <c r="D170" s="9">
        <f>IF(C170="","",TEXT(I170,"0.00")&amp;" Ct "&amp;IF('01_Input_Raw_Products'!F170&lt;&gt;"",'01_Input_Raw_Products'!F170,'01_Input_Raw_Products'!D170)&amp;" "&amp;'01_Input_Raw_Products'!I170)</f>
        <v>0</v>
      </c>
      <c r="E170" s="9">
        <f>IF(C170="","",D170&amp;" | GemPundit")</f>
        <v>0</v>
      </c>
      <c r="F170" s="9" cm="1">
        <f t="array" ref="F170">IF('01_Input_Raw_Products'!X170&lt;&gt;"",'01_Input_Raw_Products'!X170,IFERROR(_xlfn.XLOOKUP('01_Input_Raw_Products'!F170,'10_Master_Gem_Types'!A:A,'10_Master_Gem_Types'!O:O),LOWER(SUBSTITUTE(IF('01_Input_Raw_Products'!F170&lt;&gt;"",'01_Input_Raw_Products'!F170,'01_Input_Raw_Products'!D170)," ","-"))))</f>
        <v>0</v>
      </c>
      <c r="G170" s="9">
        <f>'01_Input_Raw_Products'!C170</f>
        <v>0</v>
      </c>
      <c r="H170" s="9" cm="1">
        <f t="array" ref="H170">IF('01_Input_Raw_Products'!H170&lt;&gt;"",'01_Input_Raw_Products'!H170,IFERROR(_xlfn.XLOOKUP('01_Input_Raw_Products'!F170,'10_Master_Gem_Types'!A:A,'10_Master_Gem_Types'!D:D),""))</f>
        <v>0</v>
      </c>
      <c r="I170" s="7">
        <f>IF('01_Input_Raw_Products'!N170&lt;&gt;"",'01_Input_Raw_Products'!N170,IF('01_Input_Raw_Products'!O170&lt;&gt;"",'01_Input_Raw_Products'!O170*0.91,""))</f>
        <v>0</v>
      </c>
      <c r="J170" s="9" cm="1">
        <f t="array" ref="J170">IFERROR(_xlfn.XLOOKUP('01_Input_Raw_Products'!F170,'10_Master_Gem_Types'!A:A,'10_Master_Gem_Types'!N:N),"")</f>
        <v>0</v>
      </c>
      <c r="K170" s="9" cm="1">
        <f t="array" ref="K170">IF('01_Input_Raw_Products'!J170&lt;&gt;"",'01_Input_Raw_Products'!J170,IFERROR(_xlfn.XLOOKUP('01_Input_Raw_Products'!F170,'10_Master_Gem_Types'!A:A,'10_Master_Gem_Types'!E:E),""))</f>
        <v>0</v>
      </c>
      <c r="L170" s="9">
        <f>'01_Input_Raw_Products'!P170</f>
        <v>0</v>
      </c>
      <c r="M170" s="9" cm="1">
        <f t="array" ref="M170">IFERROR(_xlfn.XLOOKUP('01_Input_Raw_Products'!K170,'12_Color_Mapping'!A:A,'12_Color_Mapping'!B:B),IFERROR(_xlfn.XLOOKUP('01_Input_Raw_Products'!F170,'10_Master_Gem_Types'!A:A,'10_Master_Gem_Types'!F:F),""))</f>
        <v>0</v>
      </c>
      <c r="N170" s="9">
        <f>IF(C170="","",IF('01_Input_Raw_Products'!F170&lt;&gt;"",'01_Input_Raw_Products'!F170,'01_Input_Raw_Products'!D170))</f>
        <v>0</v>
      </c>
      <c r="O170" s="9">
        <f>IF(C170="","","Catalog Automation")</f>
        <v>0</v>
      </c>
      <c r="P170" s="9">
        <f>'01_Input_Raw_Products'!U170</f>
        <v>0</v>
      </c>
      <c r="Q170" s="7">
        <f>IF('01_Input_Raw_Products'!O170&lt;&gt;"",'01_Input_Raw_Products'!O170,IF('01_Input_Raw_Products'!N170&lt;&gt;"",'01_Input_Raw_Products'!N170*1.1,""))</f>
        <v>0</v>
      </c>
      <c r="R170" s="9">
        <f>'01_Input_Raw_Products'!S170</f>
        <v>0</v>
      </c>
      <c r="S170" s="9" cm="1">
        <f t="array" ref="S170">IFERROR(_xlfn.XLOOKUP('01_Input_Raw_Products'!F170,'10_Master_Gem_Types'!A:A,'10_Master_Gem_Types'!H:H),"")</f>
        <v>0</v>
      </c>
      <c r="T170" s="8">
        <f>'01_Input_Raw_Products'!Q170</f>
        <v>0</v>
      </c>
      <c r="U170" s="8">
        <f>'01_Input_Raw_Products'!R170</f>
        <v>0</v>
      </c>
      <c r="V170" s="7">
        <f>I170</f>
        <v>0</v>
      </c>
      <c r="W170" s="9" cm="1">
        <f t="array" ref="W170">IF('01_Input_Raw_Products'!G170&lt;&gt;"",'01_Input_Raw_Products'!G170,IFERROR(_xlfn.XLOOKUP('01_Input_Raw_Products'!F170,'10_Master_Gem_Types'!A:A,'10_Master_Gem_Types'!L:L),""))</f>
        <v>0</v>
      </c>
      <c r="X170" s="9" cm="1">
        <f t="array" ref="X170">IFERROR(_xlfn.XLOOKUP('01_Input_Raw_Products'!F170,'10_Master_Gem_Types'!A:A,'10_Master_Gem_Types'!J:J),"")</f>
        <v>0</v>
      </c>
      <c r="Y170" s="9" cm="1">
        <f t="array" ref="Y170">IFERROR(_xlfn.XLOOKUP('01_Input_Raw_Products'!F170,'10_Master_Gem_Types'!A:A,'10_Master_Gem_Types'!I:I),"")</f>
        <v>0</v>
      </c>
      <c r="Z170" s="9" cm="1">
        <f t="array" ref="Z170">IFERROR(_xlfn.XLOOKUP('01_Input_Raw_Products'!L170,'13_Certification_Stickers'!A:A,'13_Certification_Stickers'!C:C),"")</f>
        <v>0</v>
      </c>
      <c r="AA170" s="9" cm="1">
        <f t="array" ref="AA170">IFERROR(_xlfn.XLOOKUP('01_Input_Raw_Products'!S170,'14_Shipping_Rules'!A:A,'14_Shipping_Rules'!B:B),"")</f>
        <v>0</v>
      </c>
      <c r="AB170" s="9" cm="1">
        <f t="array" ref="AB170">IFERROR(_xlfn.XLOOKUP('01_Input_Raw_Products'!D170,'16_Astro_Flags'!A:A,'16_Astro_Flags'!B:B),"")</f>
        <v>0</v>
      </c>
      <c r="AC170" s="9">
        <f>IF(C170="","","Catalog, Search")</f>
        <v>0</v>
      </c>
      <c r="AD170" s="9">
        <f>IF(C170="","",IF(OR(F170="",J170="",M170="",S170="",Y170=""),"Manual Review","Ready"))</f>
        <v>0</v>
      </c>
      <c r="AE170" s="9">
        <f>IF(C170="","",TEXTJOIN("; ",TRUE,IF(F170="","Missing url_key",""),IF(J170="","Missing classification",""),IF(M170="","Missing j_colour",""),IF(S170="","Missing hsn_code",""),IF(Y170="","Missing tax_class_id","")))</f>
        <v>0</v>
      </c>
    </row>
    <row r="171" spans="1:31">
      <c r="A171" s="9">
        <f>IF('01_Input_Raw_Products'!B171&lt;&gt;"",20,"")</f>
        <v>0</v>
      </c>
      <c r="B171" s="9" cm="1">
        <f t="array" ref="B171">IF('01_Input_Raw_Products'!M171&lt;&gt;"",'01_Input_Raw_Products'!M171,IFERROR(_xlfn.XLOOKUP('01_Input_Raw_Products'!F171,'10_Master_Gem_Types'!A:A,'10_Master_Gem_Types'!K:K),""))</f>
        <v>0</v>
      </c>
      <c r="C171" s="9">
        <f>'01_Input_Raw_Products'!B171</f>
        <v>0</v>
      </c>
      <c r="D171" s="9">
        <f>IF(C171="","",TEXT(I171,"0.00")&amp;" Ct "&amp;IF('01_Input_Raw_Products'!F171&lt;&gt;"",'01_Input_Raw_Products'!F171,'01_Input_Raw_Products'!D171)&amp;" "&amp;'01_Input_Raw_Products'!I171)</f>
        <v>0</v>
      </c>
      <c r="E171" s="9">
        <f>IF(C171="","",D171&amp;" | GemPundit")</f>
        <v>0</v>
      </c>
      <c r="F171" s="9" cm="1">
        <f t="array" ref="F171">IF('01_Input_Raw_Products'!X171&lt;&gt;"",'01_Input_Raw_Products'!X171,IFERROR(_xlfn.XLOOKUP('01_Input_Raw_Products'!F171,'10_Master_Gem_Types'!A:A,'10_Master_Gem_Types'!O:O),LOWER(SUBSTITUTE(IF('01_Input_Raw_Products'!F171&lt;&gt;"",'01_Input_Raw_Products'!F171,'01_Input_Raw_Products'!D171)," ","-"))))</f>
        <v>0</v>
      </c>
      <c r="G171" s="9">
        <f>'01_Input_Raw_Products'!C171</f>
        <v>0</v>
      </c>
      <c r="H171" s="9" cm="1">
        <f t="array" ref="H171">IF('01_Input_Raw_Products'!H171&lt;&gt;"",'01_Input_Raw_Products'!H171,IFERROR(_xlfn.XLOOKUP('01_Input_Raw_Products'!F171,'10_Master_Gem_Types'!A:A,'10_Master_Gem_Types'!D:D),""))</f>
        <v>0</v>
      </c>
      <c r="I171" s="7">
        <f>IF('01_Input_Raw_Products'!N171&lt;&gt;"",'01_Input_Raw_Products'!N171,IF('01_Input_Raw_Products'!O171&lt;&gt;"",'01_Input_Raw_Products'!O171*0.91,""))</f>
        <v>0</v>
      </c>
      <c r="J171" s="9" cm="1">
        <f t="array" ref="J171">IFERROR(_xlfn.XLOOKUP('01_Input_Raw_Products'!F171,'10_Master_Gem_Types'!A:A,'10_Master_Gem_Types'!N:N),"")</f>
        <v>0</v>
      </c>
      <c r="K171" s="9" cm="1">
        <f t="array" ref="K171">IF('01_Input_Raw_Products'!J171&lt;&gt;"",'01_Input_Raw_Products'!J171,IFERROR(_xlfn.XLOOKUP('01_Input_Raw_Products'!F171,'10_Master_Gem_Types'!A:A,'10_Master_Gem_Types'!E:E),""))</f>
        <v>0</v>
      </c>
      <c r="L171" s="9">
        <f>'01_Input_Raw_Products'!P171</f>
        <v>0</v>
      </c>
      <c r="M171" s="9" cm="1">
        <f t="array" ref="M171">IFERROR(_xlfn.XLOOKUP('01_Input_Raw_Products'!K171,'12_Color_Mapping'!A:A,'12_Color_Mapping'!B:B),IFERROR(_xlfn.XLOOKUP('01_Input_Raw_Products'!F171,'10_Master_Gem_Types'!A:A,'10_Master_Gem_Types'!F:F),""))</f>
        <v>0</v>
      </c>
      <c r="N171" s="9">
        <f>IF(C171="","",IF('01_Input_Raw_Products'!F171&lt;&gt;"",'01_Input_Raw_Products'!F171,'01_Input_Raw_Products'!D171))</f>
        <v>0</v>
      </c>
      <c r="O171" s="9">
        <f>IF(C171="","","Catalog Automation")</f>
        <v>0</v>
      </c>
      <c r="P171" s="9">
        <f>'01_Input_Raw_Products'!U171</f>
        <v>0</v>
      </c>
      <c r="Q171" s="7">
        <f>IF('01_Input_Raw_Products'!O171&lt;&gt;"",'01_Input_Raw_Products'!O171,IF('01_Input_Raw_Products'!N171&lt;&gt;"",'01_Input_Raw_Products'!N171*1.1,""))</f>
        <v>0</v>
      </c>
      <c r="R171" s="9">
        <f>'01_Input_Raw_Products'!S171</f>
        <v>0</v>
      </c>
      <c r="S171" s="9" cm="1">
        <f t="array" ref="S171">IFERROR(_xlfn.XLOOKUP('01_Input_Raw_Products'!F171,'10_Master_Gem_Types'!A:A,'10_Master_Gem_Types'!H:H),"")</f>
        <v>0</v>
      </c>
      <c r="T171" s="8">
        <f>'01_Input_Raw_Products'!Q171</f>
        <v>0</v>
      </c>
      <c r="U171" s="8">
        <f>'01_Input_Raw_Products'!R171</f>
        <v>0</v>
      </c>
      <c r="V171" s="7">
        <f>I171</f>
        <v>0</v>
      </c>
      <c r="W171" s="9" cm="1">
        <f t="array" ref="W171">IF('01_Input_Raw_Products'!G171&lt;&gt;"",'01_Input_Raw_Products'!G171,IFERROR(_xlfn.XLOOKUP('01_Input_Raw_Products'!F171,'10_Master_Gem_Types'!A:A,'10_Master_Gem_Types'!L:L),""))</f>
        <v>0</v>
      </c>
      <c r="X171" s="9" cm="1">
        <f t="array" ref="X171">IFERROR(_xlfn.XLOOKUP('01_Input_Raw_Products'!F171,'10_Master_Gem_Types'!A:A,'10_Master_Gem_Types'!J:J),"")</f>
        <v>0</v>
      </c>
      <c r="Y171" s="9" cm="1">
        <f t="array" ref="Y171">IFERROR(_xlfn.XLOOKUP('01_Input_Raw_Products'!F171,'10_Master_Gem_Types'!A:A,'10_Master_Gem_Types'!I:I),"")</f>
        <v>0</v>
      </c>
      <c r="Z171" s="9" cm="1">
        <f t="array" ref="Z171">IFERROR(_xlfn.XLOOKUP('01_Input_Raw_Products'!L171,'13_Certification_Stickers'!A:A,'13_Certification_Stickers'!C:C),"")</f>
        <v>0</v>
      </c>
      <c r="AA171" s="9" cm="1">
        <f t="array" ref="AA171">IFERROR(_xlfn.XLOOKUP('01_Input_Raw_Products'!S171,'14_Shipping_Rules'!A:A,'14_Shipping_Rules'!B:B),"")</f>
        <v>0</v>
      </c>
      <c r="AB171" s="9" cm="1">
        <f t="array" ref="AB171">IFERROR(_xlfn.XLOOKUP('01_Input_Raw_Products'!D171,'16_Astro_Flags'!A:A,'16_Astro_Flags'!B:B),"")</f>
        <v>0</v>
      </c>
      <c r="AC171" s="9">
        <f>IF(C171="","","Catalog, Search")</f>
        <v>0</v>
      </c>
      <c r="AD171" s="9">
        <f>IF(C171="","",IF(OR(F171="",J171="",M171="",S171="",Y171=""),"Manual Review","Ready"))</f>
        <v>0</v>
      </c>
      <c r="AE171" s="9">
        <f>IF(C171="","",TEXTJOIN("; ",TRUE,IF(F171="","Missing url_key",""),IF(J171="","Missing classification",""),IF(M171="","Missing j_colour",""),IF(S171="","Missing hsn_code",""),IF(Y171="","Missing tax_class_id","")))</f>
        <v>0</v>
      </c>
    </row>
    <row r="172" spans="1:31">
      <c r="A172" s="9">
        <f>IF('01_Input_Raw_Products'!B172&lt;&gt;"",20,"")</f>
        <v>0</v>
      </c>
      <c r="B172" s="9" cm="1">
        <f t="array" ref="B172">IF('01_Input_Raw_Products'!M172&lt;&gt;"",'01_Input_Raw_Products'!M172,IFERROR(_xlfn.XLOOKUP('01_Input_Raw_Products'!F172,'10_Master_Gem_Types'!A:A,'10_Master_Gem_Types'!K:K),""))</f>
        <v>0</v>
      </c>
      <c r="C172" s="9">
        <f>'01_Input_Raw_Products'!B172</f>
        <v>0</v>
      </c>
      <c r="D172" s="9">
        <f>IF(C172="","",TEXT(I172,"0.00")&amp;" Ct "&amp;IF('01_Input_Raw_Products'!F172&lt;&gt;"",'01_Input_Raw_Products'!F172,'01_Input_Raw_Products'!D172)&amp;" "&amp;'01_Input_Raw_Products'!I172)</f>
        <v>0</v>
      </c>
      <c r="E172" s="9">
        <f>IF(C172="","",D172&amp;" | GemPundit")</f>
        <v>0</v>
      </c>
      <c r="F172" s="9" cm="1">
        <f t="array" ref="F172">IF('01_Input_Raw_Products'!X172&lt;&gt;"",'01_Input_Raw_Products'!X172,IFERROR(_xlfn.XLOOKUP('01_Input_Raw_Products'!F172,'10_Master_Gem_Types'!A:A,'10_Master_Gem_Types'!O:O),LOWER(SUBSTITUTE(IF('01_Input_Raw_Products'!F172&lt;&gt;"",'01_Input_Raw_Products'!F172,'01_Input_Raw_Products'!D172)," ","-"))))</f>
        <v>0</v>
      </c>
      <c r="G172" s="9">
        <f>'01_Input_Raw_Products'!C172</f>
        <v>0</v>
      </c>
      <c r="H172" s="9" cm="1">
        <f t="array" ref="H172">IF('01_Input_Raw_Products'!H172&lt;&gt;"",'01_Input_Raw_Products'!H172,IFERROR(_xlfn.XLOOKUP('01_Input_Raw_Products'!F172,'10_Master_Gem_Types'!A:A,'10_Master_Gem_Types'!D:D),""))</f>
        <v>0</v>
      </c>
      <c r="I172" s="7">
        <f>IF('01_Input_Raw_Products'!N172&lt;&gt;"",'01_Input_Raw_Products'!N172,IF('01_Input_Raw_Products'!O172&lt;&gt;"",'01_Input_Raw_Products'!O172*0.91,""))</f>
        <v>0</v>
      </c>
      <c r="J172" s="9" cm="1">
        <f t="array" ref="J172">IFERROR(_xlfn.XLOOKUP('01_Input_Raw_Products'!F172,'10_Master_Gem_Types'!A:A,'10_Master_Gem_Types'!N:N),"")</f>
        <v>0</v>
      </c>
      <c r="K172" s="9" cm="1">
        <f t="array" ref="K172">IF('01_Input_Raw_Products'!J172&lt;&gt;"",'01_Input_Raw_Products'!J172,IFERROR(_xlfn.XLOOKUP('01_Input_Raw_Products'!F172,'10_Master_Gem_Types'!A:A,'10_Master_Gem_Types'!E:E),""))</f>
        <v>0</v>
      </c>
      <c r="L172" s="9">
        <f>'01_Input_Raw_Products'!P172</f>
        <v>0</v>
      </c>
      <c r="M172" s="9" cm="1">
        <f t="array" ref="M172">IFERROR(_xlfn.XLOOKUP('01_Input_Raw_Products'!K172,'12_Color_Mapping'!A:A,'12_Color_Mapping'!B:B),IFERROR(_xlfn.XLOOKUP('01_Input_Raw_Products'!F172,'10_Master_Gem_Types'!A:A,'10_Master_Gem_Types'!F:F),""))</f>
        <v>0</v>
      </c>
      <c r="N172" s="9">
        <f>IF(C172="","",IF('01_Input_Raw_Products'!F172&lt;&gt;"",'01_Input_Raw_Products'!F172,'01_Input_Raw_Products'!D172))</f>
        <v>0</v>
      </c>
      <c r="O172" s="9">
        <f>IF(C172="","","Catalog Automation")</f>
        <v>0</v>
      </c>
      <c r="P172" s="9">
        <f>'01_Input_Raw_Products'!U172</f>
        <v>0</v>
      </c>
      <c r="Q172" s="7">
        <f>IF('01_Input_Raw_Products'!O172&lt;&gt;"",'01_Input_Raw_Products'!O172,IF('01_Input_Raw_Products'!N172&lt;&gt;"",'01_Input_Raw_Products'!N172*1.1,""))</f>
        <v>0</v>
      </c>
      <c r="R172" s="9">
        <f>'01_Input_Raw_Products'!S172</f>
        <v>0</v>
      </c>
      <c r="S172" s="9" cm="1">
        <f t="array" ref="S172">IFERROR(_xlfn.XLOOKUP('01_Input_Raw_Products'!F172,'10_Master_Gem_Types'!A:A,'10_Master_Gem_Types'!H:H),"")</f>
        <v>0</v>
      </c>
      <c r="T172" s="8">
        <f>'01_Input_Raw_Products'!Q172</f>
        <v>0</v>
      </c>
      <c r="U172" s="8">
        <f>'01_Input_Raw_Products'!R172</f>
        <v>0</v>
      </c>
      <c r="V172" s="7">
        <f>I172</f>
        <v>0</v>
      </c>
      <c r="W172" s="9" cm="1">
        <f t="array" ref="W172">IF('01_Input_Raw_Products'!G172&lt;&gt;"",'01_Input_Raw_Products'!G172,IFERROR(_xlfn.XLOOKUP('01_Input_Raw_Products'!F172,'10_Master_Gem_Types'!A:A,'10_Master_Gem_Types'!L:L),""))</f>
        <v>0</v>
      </c>
      <c r="X172" s="9" cm="1">
        <f t="array" ref="X172">IFERROR(_xlfn.XLOOKUP('01_Input_Raw_Products'!F172,'10_Master_Gem_Types'!A:A,'10_Master_Gem_Types'!J:J),"")</f>
        <v>0</v>
      </c>
      <c r="Y172" s="9" cm="1">
        <f t="array" ref="Y172">IFERROR(_xlfn.XLOOKUP('01_Input_Raw_Products'!F172,'10_Master_Gem_Types'!A:A,'10_Master_Gem_Types'!I:I),"")</f>
        <v>0</v>
      </c>
      <c r="Z172" s="9" cm="1">
        <f t="array" ref="Z172">IFERROR(_xlfn.XLOOKUP('01_Input_Raw_Products'!L172,'13_Certification_Stickers'!A:A,'13_Certification_Stickers'!C:C),"")</f>
        <v>0</v>
      </c>
      <c r="AA172" s="9" cm="1">
        <f t="array" ref="AA172">IFERROR(_xlfn.XLOOKUP('01_Input_Raw_Products'!S172,'14_Shipping_Rules'!A:A,'14_Shipping_Rules'!B:B),"")</f>
        <v>0</v>
      </c>
      <c r="AB172" s="9" cm="1">
        <f t="array" ref="AB172">IFERROR(_xlfn.XLOOKUP('01_Input_Raw_Products'!D172,'16_Astro_Flags'!A:A,'16_Astro_Flags'!B:B),"")</f>
        <v>0</v>
      </c>
      <c r="AC172" s="9">
        <f>IF(C172="","","Catalog, Search")</f>
        <v>0</v>
      </c>
      <c r="AD172" s="9">
        <f>IF(C172="","",IF(OR(F172="",J172="",M172="",S172="",Y172=""),"Manual Review","Ready"))</f>
        <v>0</v>
      </c>
      <c r="AE172" s="9">
        <f>IF(C172="","",TEXTJOIN("; ",TRUE,IF(F172="","Missing url_key",""),IF(J172="","Missing classification",""),IF(M172="","Missing j_colour",""),IF(S172="","Missing hsn_code",""),IF(Y172="","Missing tax_class_id","")))</f>
        <v>0</v>
      </c>
    </row>
    <row r="173" spans="1:31">
      <c r="A173" s="9">
        <f>IF('01_Input_Raw_Products'!B173&lt;&gt;"",20,"")</f>
        <v>0</v>
      </c>
      <c r="B173" s="9" cm="1">
        <f t="array" ref="B173">IF('01_Input_Raw_Products'!M173&lt;&gt;"",'01_Input_Raw_Products'!M173,IFERROR(_xlfn.XLOOKUP('01_Input_Raw_Products'!F173,'10_Master_Gem_Types'!A:A,'10_Master_Gem_Types'!K:K),""))</f>
        <v>0</v>
      </c>
      <c r="C173" s="9">
        <f>'01_Input_Raw_Products'!B173</f>
        <v>0</v>
      </c>
      <c r="D173" s="9">
        <f>IF(C173="","",TEXT(I173,"0.00")&amp;" Ct "&amp;IF('01_Input_Raw_Products'!F173&lt;&gt;"",'01_Input_Raw_Products'!F173,'01_Input_Raw_Products'!D173)&amp;" "&amp;'01_Input_Raw_Products'!I173)</f>
        <v>0</v>
      </c>
      <c r="E173" s="9">
        <f>IF(C173="","",D173&amp;" | GemPundit")</f>
        <v>0</v>
      </c>
      <c r="F173" s="9" cm="1">
        <f t="array" ref="F173">IF('01_Input_Raw_Products'!X173&lt;&gt;"",'01_Input_Raw_Products'!X173,IFERROR(_xlfn.XLOOKUP('01_Input_Raw_Products'!F173,'10_Master_Gem_Types'!A:A,'10_Master_Gem_Types'!O:O),LOWER(SUBSTITUTE(IF('01_Input_Raw_Products'!F173&lt;&gt;"",'01_Input_Raw_Products'!F173,'01_Input_Raw_Products'!D173)," ","-"))))</f>
        <v>0</v>
      </c>
      <c r="G173" s="9">
        <f>'01_Input_Raw_Products'!C173</f>
        <v>0</v>
      </c>
      <c r="H173" s="9" cm="1">
        <f t="array" ref="H173">IF('01_Input_Raw_Products'!H173&lt;&gt;"",'01_Input_Raw_Products'!H173,IFERROR(_xlfn.XLOOKUP('01_Input_Raw_Products'!F173,'10_Master_Gem_Types'!A:A,'10_Master_Gem_Types'!D:D),""))</f>
        <v>0</v>
      </c>
      <c r="I173" s="7">
        <f>IF('01_Input_Raw_Products'!N173&lt;&gt;"",'01_Input_Raw_Products'!N173,IF('01_Input_Raw_Products'!O173&lt;&gt;"",'01_Input_Raw_Products'!O173*0.91,""))</f>
        <v>0</v>
      </c>
      <c r="J173" s="9" cm="1">
        <f t="array" ref="J173">IFERROR(_xlfn.XLOOKUP('01_Input_Raw_Products'!F173,'10_Master_Gem_Types'!A:A,'10_Master_Gem_Types'!N:N),"")</f>
        <v>0</v>
      </c>
      <c r="K173" s="9" cm="1">
        <f t="array" ref="K173">IF('01_Input_Raw_Products'!J173&lt;&gt;"",'01_Input_Raw_Products'!J173,IFERROR(_xlfn.XLOOKUP('01_Input_Raw_Products'!F173,'10_Master_Gem_Types'!A:A,'10_Master_Gem_Types'!E:E),""))</f>
        <v>0</v>
      </c>
      <c r="L173" s="9">
        <f>'01_Input_Raw_Products'!P173</f>
        <v>0</v>
      </c>
      <c r="M173" s="9" cm="1">
        <f t="array" ref="M173">IFERROR(_xlfn.XLOOKUP('01_Input_Raw_Products'!K173,'12_Color_Mapping'!A:A,'12_Color_Mapping'!B:B),IFERROR(_xlfn.XLOOKUP('01_Input_Raw_Products'!F173,'10_Master_Gem_Types'!A:A,'10_Master_Gem_Types'!F:F),""))</f>
        <v>0</v>
      </c>
      <c r="N173" s="9">
        <f>IF(C173="","",IF('01_Input_Raw_Products'!F173&lt;&gt;"",'01_Input_Raw_Products'!F173,'01_Input_Raw_Products'!D173))</f>
        <v>0</v>
      </c>
      <c r="O173" s="9">
        <f>IF(C173="","","Catalog Automation")</f>
        <v>0</v>
      </c>
      <c r="P173" s="9">
        <f>'01_Input_Raw_Products'!U173</f>
        <v>0</v>
      </c>
      <c r="Q173" s="7">
        <f>IF('01_Input_Raw_Products'!O173&lt;&gt;"",'01_Input_Raw_Products'!O173,IF('01_Input_Raw_Products'!N173&lt;&gt;"",'01_Input_Raw_Products'!N173*1.1,""))</f>
        <v>0</v>
      </c>
      <c r="R173" s="9">
        <f>'01_Input_Raw_Products'!S173</f>
        <v>0</v>
      </c>
      <c r="S173" s="9" cm="1">
        <f t="array" ref="S173">IFERROR(_xlfn.XLOOKUP('01_Input_Raw_Products'!F173,'10_Master_Gem_Types'!A:A,'10_Master_Gem_Types'!H:H),"")</f>
        <v>0</v>
      </c>
      <c r="T173" s="8">
        <f>'01_Input_Raw_Products'!Q173</f>
        <v>0</v>
      </c>
      <c r="U173" s="8">
        <f>'01_Input_Raw_Products'!R173</f>
        <v>0</v>
      </c>
      <c r="V173" s="7">
        <f>I173</f>
        <v>0</v>
      </c>
      <c r="W173" s="9" cm="1">
        <f t="array" ref="W173">IF('01_Input_Raw_Products'!G173&lt;&gt;"",'01_Input_Raw_Products'!G173,IFERROR(_xlfn.XLOOKUP('01_Input_Raw_Products'!F173,'10_Master_Gem_Types'!A:A,'10_Master_Gem_Types'!L:L),""))</f>
        <v>0</v>
      </c>
      <c r="X173" s="9" cm="1">
        <f t="array" ref="X173">IFERROR(_xlfn.XLOOKUP('01_Input_Raw_Products'!F173,'10_Master_Gem_Types'!A:A,'10_Master_Gem_Types'!J:J),"")</f>
        <v>0</v>
      </c>
      <c r="Y173" s="9" cm="1">
        <f t="array" ref="Y173">IFERROR(_xlfn.XLOOKUP('01_Input_Raw_Products'!F173,'10_Master_Gem_Types'!A:A,'10_Master_Gem_Types'!I:I),"")</f>
        <v>0</v>
      </c>
      <c r="Z173" s="9" cm="1">
        <f t="array" ref="Z173">IFERROR(_xlfn.XLOOKUP('01_Input_Raw_Products'!L173,'13_Certification_Stickers'!A:A,'13_Certification_Stickers'!C:C),"")</f>
        <v>0</v>
      </c>
      <c r="AA173" s="9" cm="1">
        <f t="array" ref="AA173">IFERROR(_xlfn.XLOOKUP('01_Input_Raw_Products'!S173,'14_Shipping_Rules'!A:A,'14_Shipping_Rules'!B:B),"")</f>
        <v>0</v>
      </c>
      <c r="AB173" s="9" cm="1">
        <f t="array" ref="AB173">IFERROR(_xlfn.XLOOKUP('01_Input_Raw_Products'!D173,'16_Astro_Flags'!A:A,'16_Astro_Flags'!B:B),"")</f>
        <v>0</v>
      </c>
      <c r="AC173" s="9">
        <f>IF(C173="","","Catalog, Search")</f>
        <v>0</v>
      </c>
      <c r="AD173" s="9">
        <f>IF(C173="","",IF(OR(F173="",J173="",M173="",S173="",Y173=""),"Manual Review","Ready"))</f>
        <v>0</v>
      </c>
      <c r="AE173" s="9">
        <f>IF(C173="","",TEXTJOIN("; ",TRUE,IF(F173="","Missing url_key",""),IF(J173="","Missing classification",""),IF(M173="","Missing j_colour",""),IF(S173="","Missing hsn_code",""),IF(Y173="","Missing tax_class_id","")))</f>
        <v>0</v>
      </c>
    </row>
    <row r="174" spans="1:31">
      <c r="A174" s="9">
        <f>IF('01_Input_Raw_Products'!B174&lt;&gt;"",20,"")</f>
        <v>0</v>
      </c>
      <c r="B174" s="9" cm="1">
        <f t="array" ref="B174">IF('01_Input_Raw_Products'!M174&lt;&gt;"",'01_Input_Raw_Products'!M174,IFERROR(_xlfn.XLOOKUP('01_Input_Raw_Products'!F174,'10_Master_Gem_Types'!A:A,'10_Master_Gem_Types'!K:K),""))</f>
        <v>0</v>
      </c>
      <c r="C174" s="9">
        <f>'01_Input_Raw_Products'!B174</f>
        <v>0</v>
      </c>
      <c r="D174" s="9">
        <f>IF(C174="","",TEXT(I174,"0.00")&amp;" Ct "&amp;IF('01_Input_Raw_Products'!F174&lt;&gt;"",'01_Input_Raw_Products'!F174,'01_Input_Raw_Products'!D174)&amp;" "&amp;'01_Input_Raw_Products'!I174)</f>
        <v>0</v>
      </c>
      <c r="E174" s="9">
        <f>IF(C174="","",D174&amp;" | GemPundit")</f>
        <v>0</v>
      </c>
      <c r="F174" s="9" cm="1">
        <f t="array" ref="F174">IF('01_Input_Raw_Products'!X174&lt;&gt;"",'01_Input_Raw_Products'!X174,IFERROR(_xlfn.XLOOKUP('01_Input_Raw_Products'!F174,'10_Master_Gem_Types'!A:A,'10_Master_Gem_Types'!O:O),LOWER(SUBSTITUTE(IF('01_Input_Raw_Products'!F174&lt;&gt;"",'01_Input_Raw_Products'!F174,'01_Input_Raw_Products'!D174)," ","-"))))</f>
        <v>0</v>
      </c>
      <c r="G174" s="9">
        <f>'01_Input_Raw_Products'!C174</f>
        <v>0</v>
      </c>
      <c r="H174" s="9" cm="1">
        <f t="array" ref="H174">IF('01_Input_Raw_Products'!H174&lt;&gt;"",'01_Input_Raw_Products'!H174,IFERROR(_xlfn.XLOOKUP('01_Input_Raw_Products'!F174,'10_Master_Gem_Types'!A:A,'10_Master_Gem_Types'!D:D),""))</f>
        <v>0</v>
      </c>
      <c r="I174" s="7">
        <f>IF('01_Input_Raw_Products'!N174&lt;&gt;"",'01_Input_Raw_Products'!N174,IF('01_Input_Raw_Products'!O174&lt;&gt;"",'01_Input_Raw_Products'!O174*0.91,""))</f>
        <v>0</v>
      </c>
      <c r="J174" s="9" cm="1">
        <f t="array" ref="J174">IFERROR(_xlfn.XLOOKUP('01_Input_Raw_Products'!F174,'10_Master_Gem_Types'!A:A,'10_Master_Gem_Types'!N:N),"")</f>
        <v>0</v>
      </c>
      <c r="K174" s="9" cm="1">
        <f t="array" ref="K174">IF('01_Input_Raw_Products'!J174&lt;&gt;"",'01_Input_Raw_Products'!J174,IFERROR(_xlfn.XLOOKUP('01_Input_Raw_Products'!F174,'10_Master_Gem_Types'!A:A,'10_Master_Gem_Types'!E:E),""))</f>
        <v>0</v>
      </c>
      <c r="L174" s="9">
        <f>'01_Input_Raw_Products'!P174</f>
        <v>0</v>
      </c>
      <c r="M174" s="9" cm="1">
        <f t="array" ref="M174">IFERROR(_xlfn.XLOOKUP('01_Input_Raw_Products'!K174,'12_Color_Mapping'!A:A,'12_Color_Mapping'!B:B),IFERROR(_xlfn.XLOOKUP('01_Input_Raw_Products'!F174,'10_Master_Gem_Types'!A:A,'10_Master_Gem_Types'!F:F),""))</f>
        <v>0</v>
      </c>
      <c r="N174" s="9">
        <f>IF(C174="","",IF('01_Input_Raw_Products'!F174&lt;&gt;"",'01_Input_Raw_Products'!F174,'01_Input_Raw_Products'!D174))</f>
        <v>0</v>
      </c>
      <c r="O174" s="9">
        <f>IF(C174="","","Catalog Automation")</f>
        <v>0</v>
      </c>
      <c r="P174" s="9">
        <f>'01_Input_Raw_Products'!U174</f>
        <v>0</v>
      </c>
      <c r="Q174" s="7">
        <f>IF('01_Input_Raw_Products'!O174&lt;&gt;"",'01_Input_Raw_Products'!O174,IF('01_Input_Raw_Products'!N174&lt;&gt;"",'01_Input_Raw_Products'!N174*1.1,""))</f>
        <v>0</v>
      </c>
      <c r="R174" s="9">
        <f>'01_Input_Raw_Products'!S174</f>
        <v>0</v>
      </c>
      <c r="S174" s="9" cm="1">
        <f t="array" ref="S174">IFERROR(_xlfn.XLOOKUP('01_Input_Raw_Products'!F174,'10_Master_Gem_Types'!A:A,'10_Master_Gem_Types'!H:H),"")</f>
        <v>0</v>
      </c>
      <c r="T174" s="8">
        <f>'01_Input_Raw_Products'!Q174</f>
        <v>0</v>
      </c>
      <c r="U174" s="8">
        <f>'01_Input_Raw_Products'!R174</f>
        <v>0</v>
      </c>
      <c r="V174" s="7">
        <f>I174</f>
        <v>0</v>
      </c>
      <c r="W174" s="9" cm="1">
        <f t="array" ref="W174">IF('01_Input_Raw_Products'!G174&lt;&gt;"",'01_Input_Raw_Products'!G174,IFERROR(_xlfn.XLOOKUP('01_Input_Raw_Products'!F174,'10_Master_Gem_Types'!A:A,'10_Master_Gem_Types'!L:L),""))</f>
        <v>0</v>
      </c>
      <c r="X174" s="9" cm="1">
        <f t="array" ref="X174">IFERROR(_xlfn.XLOOKUP('01_Input_Raw_Products'!F174,'10_Master_Gem_Types'!A:A,'10_Master_Gem_Types'!J:J),"")</f>
        <v>0</v>
      </c>
      <c r="Y174" s="9" cm="1">
        <f t="array" ref="Y174">IFERROR(_xlfn.XLOOKUP('01_Input_Raw_Products'!F174,'10_Master_Gem_Types'!A:A,'10_Master_Gem_Types'!I:I),"")</f>
        <v>0</v>
      </c>
      <c r="Z174" s="9" cm="1">
        <f t="array" ref="Z174">IFERROR(_xlfn.XLOOKUP('01_Input_Raw_Products'!L174,'13_Certification_Stickers'!A:A,'13_Certification_Stickers'!C:C),"")</f>
        <v>0</v>
      </c>
      <c r="AA174" s="9" cm="1">
        <f t="array" ref="AA174">IFERROR(_xlfn.XLOOKUP('01_Input_Raw_Products'!S174,'14_Shipping_Rules'!A:A,'14_Shipping_Rules'!B:B),"")</f>
        <v>0</v>
      </c>
      <c r="AB174" s="9" cm="1">
        <f t="array" ref="AB174">IFERROR(_xlfn.XLOOKUP('01_Input_Raw_Products'!D174,'16_Astro_Flags'!A:A,'16_Astro_Flags'!B:B),"")</f>
        <v>0</v>
      </c>
      <c r="AC174" s="9">
        <f>IF(C174="","","Catalog, Search")</f>
        <v>0</v>
      </c>
      <c r="AD174" s="9">
        <f>IF(C174="","",IF(OR(F174="",J174="",M174="",S174="",Y174=""),"Manual Review","Ready"))</f>
        <v>0</v>
      </c>
      <c r="AE174" s="9">
        <f>IF(C174="","",TEXTJOIN("; ",TRUE,IF(F174="","Missing url_key",""),IF(J174="","Missing classification",""),IF(M174="","Missing j_colour",""),IF(S174="","Missing hsn_code",""),IF(Y174="","Missing tax_class_id","")))</f>
        <v>0</v>
      </c>
    </row>
    <row r="175" spans="1:31">
      <c r="A175" s="9">
        <f>IF('01_Input_Raw_Products'!B175&lt;&gt;"",20,"")</f>
        <v>0</v>
      </c>
      <c r="B175" s="9" cm="1">
        <f t="array" ref="B175">IF('01_Input_Raw_Products'!M175&lt;&gt;"",'01_Input_Raw_Products'!M175,IFERROR(_xlfn.XLOOKUP('01_Input_Raw_Products'!F175,'10_Master_Gem_Types'!A:A,'10_Master_Gem_Types'!K:K),""))</f>
        <v>0</v>
      </c>
      <c r="C175" s="9">
        <f>'01_Input_Raw_Products'!B175</f>
        <v>0</v>
      </c>
      <c r="D175" s="9">
        <f>IF(C175="","",TEXT(I175,"0.00")&amp;" Ct "&amp;IF('01_Input_Raw_Products'!F175&lt;&gt;"",'01_Input_Raw_Products'!F175,'01_Input_Raw_Products'!D175)&amp;" "&amp;'01_Input_Raw_Products'!I175)</f>
        <v>0</v>
      </c>
      <c r="E175" s="9">
        <f>IF(C175="","",D175&amp;" | GemPundit")</f>
        <v>0</v>
      </c>
      <c r="F175" s="9" cm="1">
        <f t="array" ref="F175">IF('01_Input_Raw_Products'!X175&lt;&gt;"",'01_Input_Raw_Products'!X175,IFERROR(_xlfn.XLOOKUP('01_Input_Raw_Products'!F175,'10_Master_Gem_Types'!A:A,'10_Master_Gem_Types'!O:O),LOWER(SUBSTITUTE(IF('01_Input_Raw_Products'!F175&lt;&gt;"",'01_Input_Raw_Products'!F175,'01_Input_Raw_Products'!D175)," ","-"))))</f>
        <v>0</v>
      </c>
      <c r="G175" s="9">
        <f>'01_Input_Raw_Products'!C175</f>
        <v>0</v>
      </c>
      <c r="H175" s="9" cm="1">
        <f t="array" ref="H175">IF('01_Input_Raw_Products'!H175&lt;&gt;"",'01_Input_Raw_Products'!H175,IFERROR(_xlfn.XLOOKUP('01_Input_Raw_Products'!F175,'10_Master_Gem_Types'!A:A,'10_Master_Gem_Types'!D:D),""))</f>
        <v>0</v>
      </c>
      <c r="I175" s="7">
        <f>IF('01_Input_Raw_Products'!N175&lt;&gt;"",'01_Input_Raw_Products'!N175,IF('01_Input_Raw_Products'!O175&lt;&gt;"",'01_Input_Raw_Products'!O175*0.91,""))</f>
        <v>0</v>
      </c>
      <c r="J175" s="9" cm="1">
        <f t="array" ref="J175">IFERROR(_xlfn.XLOOKUP('01_Input_Raw_Products'!F175,'10_Master_Gem_Types'!A:A,'10_Master_Gem_Types'!N:N),"")</f>
        <v>0</v>
      </c>
      <c r="K175" s="9" cm="1">
        <f t="array" ref="K175">IF('01_Input_Raw_Products'!J175&lt;&gt;"",'01_Input_Raw_Products'!J175,IFERROR(_xlfn.XLOOKUP('01_Input_Raw_Products'!F175,'10_Master_Gem_Types'!A:A,'10_Master_Gem_Types'!E:E),""))</f>
        <v>0</v>
      </c>
      <c r="L175" s="9">
        <f>'01_Input_Raw_Products'!P175</f>
        <v>0</v>
      </c>
      <c r="M175" s="9" cm="1">
        <f t="array" ref="M175">IFERROR(_xlfn.XLOOKUP('01_Input_Raw_Products'!K175,'12_Color_Mapping'!A:A,'12_Color_Mapping'!B:B),IFERROR(_xlfn.XLOOKUP('01_Input_Raw_Products'!F175,'10_Master_Gem_Types'!A:A,'10_Master_Gem_Types'!F:F),""))</f>
        <v>0</v>
      </c>
      <c r="N175" s="9">
        <f>IF(C175="","",IF('01_Input_Raw_Products'!F175&lt;&gt;"",'01_Input_Raw_Products'!F175,'01_Input_Raw_Products'!D175))</f>
        <v>0</v>
      </c>
      <c r="O175" s="9">
        <f>IF(C175="","","Catalog Automation")</f>
        <v>0</v>
      </c>
      <c r="P175" s="9">
        <f>'01_Input_Raw_Products'!U175</f>
        <v>0</v>
      </c>
      <c r="Q175" s="7">
        <f>IF('01_Input_Raw_Products'!O175&lt;&gt;"",'01_Input_Raw_Products'!O175,IF('01_Input_Raw_Products'!N175&lt;&gt;"",'01_Input_Raw_Products'!N175*1.1,""))</f>
        <v>0</v>
      </c>
      <c r="R175" s="9">
        <f>'01_Input_Raw_Products'!S175</f>
        <v>0</v>
      </c>
      <c r="S175" s="9" cm="1">
        <f t="array" ref="S175">IFERROR(_xlfn.XLOOKUP('01_Input_Raw_Products'!F175,'10_Master_Gem_Types'!A:A,'10_Master_Gem_Types'!H:H),"")</f>
        <v>0</v>
      </c>
      <c r="T175" s="8">
        <f>'01_Input_Raw_Products'!Q175</f>
        <v>0</v>
      </c>
      <c r="U175" s="8">
        <f>'01_Input_Raw_Products'!R175</f>
        <v>0</v>
      </c>
      <c r="V175" s="7">
        <f>I175</f>
        <v>0</v>
      </c>
      <c r="W175" s="9" cm="1">
        <f t="array" ref="W175">IF('01_Input_Raw_Products'!G175&lt;&gt;"",'01_Input_Raw_Products'!G175,IFERROR(_xlfn.XLOOKUP('01_Input_Raw_Products'!F175,'10_Master_Gem_Types'!A:A,'10_Master_Gem_Types'!L:L),""))</f>
        <v>0</v>
      </c>
      <c r="X175" s="9" cm="1">
        <f t="array" ref="X175">IFERROR(_xlfn.XLOOKUP('01_Input_Raw_Products'!F175,'10_Master_Gem_Types'!A:A,'10_Master_Gem_Types'!J:J),"")</f>
        <v>0</v>
      </c>
      <c r="Y175" s="9" cm="1">
        <f t="array" ref="Y175">IFERROR(_xlfn.XLOOKUP('01_Input_Raw_Products'!F175,'10_Master_Gem_Types'!A:A,'10_Master_Gem_Types'!I:I),"")</f>
        <v>0</v>
      </c>
      <c r="Z175" s="9" cm="1">
        <f t="array" ref="Z175">IFERROR(_xlfn.XLOOKUP('01_Input_Raw_Products'!L175,'13_Certification_Stickers'!A:A,'13_Certification_Stickers'!C:C),"")</f>
        <v>0</v>
      </c>
      <c r="AA175" s="9" cm="1">
        <f t="array" ref="AA175">IFERROR(_xlfn.XLOOKUP('01_Input_Raw_Products'!S175,'14_Shipping_Rules'!A:A,'14_Shipping_Rules'!B:B),"")</f>
        <v>0</v>
      </c>
      <c r="AB175" s="9" cm="1">
        <f t="array" ref="AB175">IFERROR(_xlfn.XLOOKUP('01_Input_Raw_Products'!D175,'16_Astro_Flags'!A:A,'16_Astro_Flags'!B:B),"")</f>
        <v>0</v>
      </c>
      <c r="AC175" s="9">
        <f>IF(C175="","","Catalog, Search")</f>
        <v>0</v>
      </c>
      <c r="AD175" s="9">
        <f>IF(C175="","",IF(OR(F175="",J175="",M175="",S175="",Y175=""),"Manual Review","Ready"))</f>
        <v>0</v>
      </c>
      <c r="AE175" s="9">
        <f>IF(C175="","",TEXTJOIN("; ",TRUE,IF(F175="","Missing url_key",""),IF(J175="","Missing classification",""),IF(M175="","Missing j_colour",""),IF(S175="","Missing hsn_code",""),IF(Y175="","Missing tax_class_id","")))</f>
        <v>0</v>
      </c>
    </row>
    <row r="176" spans="1:31">
      <c r="A176" s="9">
        <f>IF('01_Input_Raw_Products'!B176&lt;&gt;"",20,"")</f>
        <v>0</v>
      </c>
      <c r="B176" s="9" cm="1">
        <f t="array" ref="B176">IF('01_Input_Raw_Products'!M176&lt;&gt;"",'01_Input_Raw_Products'!M176,IFERROR(_xlfn.XLOOKUP('01_Input_Raw_Products'!F176,'10_Master_Gem_Types'!A:A,'10_Master_Gem_Types'!K:K),""))</f>
        <v>0</v>
      </c>
      <c r="C176" s="9">
        <f>'01_Input_Raw_Products'!B176</f>
        <v>0</v>
      </c>
      <c r="D176" s="9">
        <f>IF(C176="","",TEXT(I176,"0.00")&amp;" Ct "&amp;IF('01_Input_Raw_Products'!F176&lt;&gt;"",'01_Input_Raw_Products'!F176,'01_Input_Raw_Products'!D176)&amp;" "&amp;'01_Input_Raw_Products'!I176)</f>
        <v>0</v>
      </c>
      <c r="E176" s="9">
        <f>IF(C176="","",D176&amp;" | GemPundit")</f>
        <v>0</v>
      </c>
      <c r="F176" s="9" cm="1">
        <f t="array" ref="F176">IF('01_Input_Raw_Products'!X176&lt;&gt;"",'01_Input_Raw_Products'!X176,IFERROR(_xlfn.XLOOKUP('01_Input_Raw_Products'!F176,'10_Master_Gem_Types'!A:A,'10_Master_Gem_Types'!O:O),LOWER(SUBSTITUTE(IF('01_Input_Raw_Products'!F176&lt;&gt;"",'01_Input_Raw_Products'!F176,'01_Input_Raw_Products'!D176)," ","-"))))</f>
        <v>0</v>
      </c>
      <c r="G176" s="9">
        <f>'01_Input_Raw_Products'!C176</f>
        <v>0</v>
      </c>
      <c r="H176" s="9" cm="1">
        <f t="array" ref="H176">IF('01_Input_Raw_Products'!H176&lt;&gt;"",'01_Input_Raw_Products'!H176,IFERROR(_xlfn.XLOOKUP('01_Input_Raw_Products'!F176,'10_Master_Gem_Types'!A:A,'10_Master_Gem_Types'!D:D),""))</f>
        <v>0</v>
      </c>
      <c r="I176" s="7">
        <f>IF('01_Input_Raw_Products'!N176&lt;&gt;"",'01_Input_Raw_Products'!N176,IF('01_Input_Raw_Products'!O176&lt;&gt;"",'01_Input_Raw_Products'!O176*0.91,""))</f>
        <v>0</v>
      </c>
      <c r="J176" s="9" cm="1">
        <f t="array" ref="J176">IFERROR(_xlfn.XLOOKUP('01_Input_Raw_Products'!F176,'10_Master_Gem_Types'!A:A,'10_Master_Gem_Types'!N:N),"")</f>
        <v>0</v>
      </c>
      <c r="K176" s="9" cm="1">
        <f t="array" ref="K176">IF('01_Input_Raw_Products'!J176&lt;&gt;"",'01_Input_Raw_Products'!J176,IFERROR(_xlfn.XLOOKUP('01_Input_Raw_Products'!F176,'10_Master_Gem_Types'!A:A,'10_Master_Gem_Types'!E:E),""))</f>
        <v>0</v>
      </c>
      <c r="L176" s="9">
        <f>'01_Input_Raw_Products'!P176</f>
        <v>0</v>
      </c>
      <c r="M176" s="9" cm="1">
        <f t="array" ref="M176">IFERROR(_xlfn.XLOOKUP('01_Input_Raw_Products'!K176,'12_Color_Mapping'!A:A,'12_Color_Mapping'!B:B),IFERROR(_xlfn.XLOOKUP('01_Input_Raw_Products'!F176,'10_Master_Gem_Types'!A:A,'10_Master_Gem_Types'!F:F),""))</f>
        <v>0</v>
      </c>
      <c r="N176" s="9">
        <f>IF(C176="","",IF('01_Input_Raw_Products'!F176&lt;&gt;"",'01_Input_Raw_Products'!F176,'01_Input_Raw_Products'!D176))</f>
        <v>0</v>
      </c>
      <c r="O176" s="9">
        <f>IF(C176="","","Catalog Automation")</f>
        <v>0</v>
      </c>
      <c r="P176" s="9">
        <f>'01_Input_Raw_Products'!U176</f>
        <v>0</v>
      </c>
      <c r="Q176" s="7">
        <f>IF('01_Input_Raw_Products'!O176&lt;&gt;"",'01_Input_Raw_Products'!O176,IF('01_Input_Raw_Products'!N176&lt;&gt;"",'01_Input_Raw_Products'!N176*1.1,""))</f>
        <v>0</v>
      </c>
      <c r="R176" s="9">
        <f>'01_Input_Raw_Products'!S176</f>
        <v>0</v>
      </c>
      <c r="S176" s="9" cm="1">
        <f t="array" ref="S176">IFERROR(_xlfn.XLOOKUP('01_Input_Raw_Products'!F176,'10_Master_Gem_Types'!A:A,'10_Master_Gem_Types'!H:H),"")</f>
        <v>0</v>
      </c>
      <c r="T176" s="8">
        <f>'01_Input_Raw_Products'!Q176</f>
        <v>0</v>
      </c>
      <c r="U176" s="8">
        <f>'01_Input_Raw_Products'!R176</f>
        <v>0</v>
      </c>
      <c r="V176" s="7">
        <f>I176</f>
        <v>0</v>
      </c>
      <c r="W176" s="9" cm="1">
        <f t="array" ref="W176">IF('01_Input_Raw_Products'!G176&lt;&gt;"",'01_Input_Raw_Products'!G176,IFERROR(_xlfn.XLOOKUP('01_Input_Raw_Products'!F176,'10_Master_Gem_Types'!A:A,'10_Master_Gem_Types'!L:L),""))</f>
        <v>0</v>
      </c>
      <c r="X176" s="9" cm="1">
        <f t="array" ref="X176">IFERROR(_xlfn.XLOOKUP('01_Input_Raw_Products'!F176,'10_Master_Gem_Types'!A:A,'10_Master_Gem_Types'!J:J),"")</f>
        <v>0</v>
      </c>
      <c r="Y176" s="9" cm="1">
        <f t="array" ref="Y176">IFERROR(_xlfn.XLOOKUP('01_Input_Raw_Products'!F176,'10_Master_Gem_Types'!A:A,'10_Master_Gem_Types'!I:I),"")</f>
        <v>0</v>
      </c>
      <c r="Z176" s="9" cm="1">
        <f t="array" ref="Z176">IFERROR(_xlfn.XLOOKUP('01_Input_Raw_Products'!L176,'13_Certification_Stickers'!A:A,'13_Certification_Stickers'!C:C),"")</f>
        <v>0</v>
      </c>
      <c r="AA176" s="9" cm="1">
        <f t="array" ref="AA176">IFERROR(_xlfn.XLOOKUP('01_Input_Raw_Products'!S176,'14_Shipping_Rules'!A:A,'14_Shipping_Rules'!B:B),"")</f>
        <v>0</v>
      </c>
      <c r="AB176" s="9" cm="1">
        <f t="array" ref="AB176">IFERROR(_xlfn.XLOOKUP('01_Input_Raw_Products'!D176,'16_Astro_Flags'!A:A,'16_Astro_Flags'!B:B),"")</f>
        <v>0</v>
      </c>
      <c r="AC176" s="9">
        <f>IF(C176="","","Catalog, Search")</f>
        <v>0</v>
      </c>
      <c r="AD176" s="9">
        <f>IF(C176="","",IF(OR(F176="",J176="",M176="",S176="",Y176=""),"Manual Review","Ready"))</f>
        <v>0</v>
      </c>
      <c r="AE176" s="9">
        <f>IF(C176="","",TEXTJOIN("; ",TRUE,IF(F176="","Missing url_key",""),IF(J176="","Missing classification",""),IF(M176="","Missing j_colour",""),IF(S176="","Missing hsn_code",""),IF(Y176="","Missing tax_class_id","")))</f>
        <v>0</v>
      </c>
    </row>
    <row r="177" spans="1:31">
      <c r="A177" s="9">
        <f>IF('01_Input_Raw_Products'!B177&lt;&gt;"",20,"")</f>
        <v>0</v>
      </c>
      <c r="B177" s="9" cm="1">
        <f t="array" ref="B177">IF('01_Input_Raw_Products'!M177&lt;&gt;"",'01_Input_Raw_Products'!M177,IFERROR(_xlfn.XLOOKUP('01_Input_Raw_Products'!F177,'10_Master_Gem_Types'!A:A,'10_Master_Gem_Types'!K:K),""))</f>
        <v>0</v>
      </c>
      <c r="C177" s="9">
        <f>'01_Input_Raw_Products'!B177</f>
        <v>0</v>
      </c>
      <c r="D177" s="9">
        <f>IF(C177="","",TEXT(I177,"0.00")&amp;" Ct "&amp;IF('01_Input_Raw_Products'!F177&lt;&gt;"",'01_Input_Raw_Products'!F177,'01_Input_Raw_Products'!D177)&amp;" "&amp;'01_Input_Raw_Products'!I177)</f>
        <v>0</v>
      </c>
      <c r="E177" s="9">
        <f>IF(C177="","",D177&amp;" | GemPundit")</f>
        <v>0</v>
      </c>
      <c r="F177" s="9" cm="1">
        <f t="array" ref="F177">IF('01_Input_Raw_Products'!X177&lt;&gt;"",'01_Input_Raw_Products'!X177,IFERROR(_xlfn.XLOOKUP('01_Input_Raw_Products'!F177,'10_Master_Gem_Types'!A:A,'10_Master_Gem_Types'!O:O),LOWER(SUBSTITUTE(IF('01_Input_Raw_Products'!F177&lt;&gt;"",'01_Input_Raw_Products'!F177,'01_Input_Raw_Products'!D177)," ","-"))))</f>
        <v>0</v>
      </c>
      <c r="G177" s="9">
        <f>'01_Input_Raw_Products'!C177</f>
        <v>0</v>
      </c>
      <c r="H177" s="9" cm="1">
        <f t="array" ref="H177">IF('01_Input_Raw_Products'!H177&lt;&gt;"",'01_Input_Raw_Products'!H177,IFERROR(_xlfn.XLOOKUP('01_Input_Raw_Products'!F177,'10_Master_Gem_Types'!A:A,'10_Master_Gem_Types'!D:D),""))</f>
        <v>0</v>
      </c>
      <c r="I177" s="7">
        <f>IF('01_Input_Raw_Products'!N177&lt;&gt;"",'01_Input_Raw_Products'!N177,IF('01_Input_Raw_Products'!O177&lt;&gt;"",'01_Input_Raw_Products'!O177*0.91,""))</f>
        <v>0</v>
      </c>
      <c r="J177" s="9" cm="1">
        <f t="array" ref="J177">IFERROR(_xlfn.XLOOKUP('01_Input_Raw_Products'!F177,'10_Master_Gem_Types'!A:A,'10_Master_Gem_Types'!N:N),"")</f>
        <v>0</v>
      </c>
      <c r="K177" s="9" cm="1">
        <f t="array" ref="K177">IF('01_Input_Raw_Products'!J177&lt;&gt;"",'01_Input_Raw_Products'!J177,IFERROR(_xlfn.XLOOKUP('01_Input_Raw_Products'!F177,'10_Master_Gem_Types'!A:A,'10_Master_Gem_Types'!E:E),""))</f>
        <v>0</v>
      </c>
      <c r="L177" s="9">
        <f>'01_Input_Raw_Products'!P177</f>
        <v>0</v>
      </c>
      <c r="M177" s="9" cm="1">
        <f t="array" ref="M177">IFERROR(_xlfn.XLOOKUP('01_Input_Raw_Products'!K177,'12_Color_Mapping'!A:A,'12_Color_Mapping'!B:B),IFERROR(_xlfn.XLOOKUP('01_Input_Raw_Products'!F177,'10_Master_Gem_Types'!A:A,'10_Master_Gem_Types'!F:F),""))</f>
        <v>0</v>
      </c>
      <c r="N177" s="9">
        <f>IF(C177="","",IF('01_Input_Raw_Products'!F177&lt;&gt;"",'01_Input_Raw_Products'!F177,'01_Input_Raw_Products'!D177))</f>
        <v>0</v>
      </c>
      <c r="O177" s="9">
        <f>IF(C177="","","Catalog Automation")</f>
        <v>0</v>
      </c>
      <c r="P177" s="9">
        <f>'01_Input_Raw_Products'!U177</f>
        <v>0</v>
      </c>
      <c r="Q177" s="7">
        <f>IF('01_Input_Raw_Products'!O177&lt;&gt;"",'01_Input_Raw_Products'!O177,IF('01_Input_Raw_Products'!N177&lt;&gt;"",'01_Input_Raw_Products'!N177*1.1,""))</f>
        <v>0</v>
      </c>
      <c r="R177" s="9">
        <f>'01_Input_Raw_Products'!S177</f>
        <v>0</v>
      </c>
      <c r="S177" s="9" cm="1">
        <f t="array" ref="S177">IFERROR(_xlfn.XLOOKUP('01_Input_Raw_Products'!F177,'10_Master_Gem_Types'!A:A,'10_Master_Gem_Types'!H:H),"")</f>
        <v>0</v>
      </c>
      <c r="T177" s="8">
        <f>'01_Input_Raw_Products'!Q177</f>
        <v>0</v>
      </c>
      <c r="U177" s="8">
        <f>'01_Input_Raw_Products'!R177</f>
        <v>0</v>
      </c>
      <c r="V177" s="7">
        <f>I177</f>
        <v>0</v>
      </c>
      <c r="W177" s="9" cm="1">
        <f t="array" ref="W177">IF('01_Input_Raw_Products'!G177&lt;&gt;"",'01_Input_Raw_Products'!G177,IFERROR(_xlfn.XLOOKUP('01_Input_Raw_Products'!F177,'10_Master_Gem_Types'!A:A,'10_Master_Gem_Types'!L:L),""))</f>
        <v>0</v>
      </c>
      <c r="X177" s="9" cm="1">
        <f t="array" ref="X177">IFERROR(_xlfn.XLOOKUP('01_Input_Raw_Products'!F177,'10_Master_Gem_Types'!A:A,'10_Master_Gem_Types'!J:J),"")</f>
        <v>0</v>
      </c>
      <c r="Y177" s="9" cm="1">
        <f t="array" ref="Y177">IFERROR(_xlfn.XLOOKUP('01_Input_Raw_Products'!F177,'10_Master_Gem_Types'!A:A,'10_Master_Gem_Types'!I:I),"")</f>
        <v>0</v>
      </c>
      <c r="Z177" s="9" cm="1">
        <f t="array" ref="Z177">IFERROR(_xlfn.XLOOKUP('01_Input_Raw_Products'!L177,'13_Certification_Stickers'!A:A,'13_Certification_Stickers'!C:C),"")</f>
        <v>0</v>
      </c>
      <c r="AA177" s="9" cm="1">
        <f t="array" ref="AA177">IFERROR(_xlfn.XLOOKUP('01_Input_Raw_Products'!S177,'14_Shipping_Rules'!A:A,'14_Shipping_Rules'!B:B),"")</f>
        <v>0</v>
      </c>
      <c r="AB177" s="9" cm="1">
        <f t="array" ref="AB177">IFERROR(_xlfn.XLOOKUP('01_Input_Raw_Products'!D177,'16_Astro_Flags'!A:A,'16_Astro_Flags'!B:B),"")</f>
        <v>0</v>
      </c>
      <c r="AC177" s="9">
        <f>IF(C177="","","Catalog, Search")</f>
        <v>0</v>
      </c>
      <c r="AD177" s="9">
        <f>IF(C177="","",IF(OR(F177="",J177="",M177="",S177="",Y177=""),"Manual Review","Ready"))</f>
        <v>0</v>
      </c>
      <c r="AE177" s="9">
        <f>IF(C177="","",TEXTJOIN("; ",TRUE,IF(F177="","Missing url_key",""),IF(J177="","Missing classification",""),IF(M177="","Missing j_colour",""),IF(S177="","Missing hsn_code",""),IF(Y177="","Missing tax_class_id","")))</f>
        <v>0</v>
      </c>
    </row>
    <row r="178" spans="1:31">
      <c r="A178" s="9">
        <f>IF('01_Input_Raw_Products'!B178&lt;&gt;"",20,"")</f>
        <v>0</v>
      </c>
      <c r="B178" s="9" cm="1">
        <f t="array" ref="B178">IF('01_Input_Raw_Products'!M178&lt;&gt;"",'01_Input_Raw_Products'!M178,IFERROR(_xlfn.XLOOKUP('01_Input_Raw_Products'!F178,'10_Master_Gem_Types'!A:A,'10_Master_Gem_Types'!K:K),""))</f>
        <v>0</v>
      </c>
      <c r="C178" s="9">
        <f>'01_Input_Raw_Products'!B178</f>
        <v>0</v>
      </c>
      <c r="D178" s="9">
        <f>IF(C178="","",TEXT(I178,"0.00")&amp;" Ct "&amp;IF('01_Input_Raw_Products'!F178&lt;&gt;"",'01_Input_Raw_Products'!F178,'01_Input_Raw_Products'!D178)&amp;" "&amp;'01_Input_Raw_Products'!I178)</f>
        <v>0</v>
      </c>
      <c r="E178" s="9">
        <f>IF(C178="","",D178&amp;" | GemPundit")</f>
        <v>0</v>
      </c>
      <c r="F178" s="9" cm="1">
        <f t="array" ref="F178">IF('01_Input_Raw_Products'!X178&lt;&gt;"",'01_Input_Raw_Products'!X178,IFERROR(_xlfn.XLOOKUP('01_Input_Raw_Products'!F178,'10_Master_Gem_Types'!A:A,'10_Master_Gem_Types'!O:O),LOWER(SUBSTITUTE(IF('01_Input_Raw_Products'!F178&lt;&gt;"",'01_Input_Raw_Products'!F178,'01_Input_Raw_Products'!D178)," ","-"))))</f>
        <v>0</v>
      </c>
      <c r="G178" s="9">
        <f>'01_Input_Raw_Products'!C178</f>
        <v>0</v>
      </c>
      <c r="H178" s="9" cm="1">
        <f t="array" ref="H178">IF('01_Input_Raw_Products'!H178&lt;&gt;"",'01_Input_Raw_Products'!H178,IFERROR(_xlfn.XLOOKUP('01_Input_Raw_Products'!F178,'10_Master_Gem_Types'!A:A,'10_Master_Gem_Types'!D:D),""))</f>
        <v>0</v>
      </c>
      <c r="I178" s="7">
        <f>IF('01_Input_Raw_Products'!N178&lt;&gt;"",'01_Input_Raw_Products'!N178,IF('01_Input_Raw_Products'!O178&lt;&gt;"",'01_Input_Raw_Products'!O178*0.91,""))</f>
        <v>0</v>
      </c>
      <c r="J178" s="9" cm="1">
        <f t="array" ref="J178">IFERROR(_xlfn.XLOOKUP('01_Input_Raw_Products'!F178,'10_Master_Gem_Types'!A:A,'10_Master_Gem_Types'!N:N),"")</f>
        <v>0</v>
      </c>
      <c r="K178" s="9" cm="1">
        <f t="array" ref="K178">IF('01_Input_Raw_Products'!J178&lt;&gt;"",'01_Input_Raw_Products'!J178,IFERROR(_xlfn.XLOOKUP('01_Input_Raw_Products'!F178,'10_Master_Gem_Types'!A:A,'10_Master_Gem_Types'!E:E),""))</f>
        <v>0</v>
      </c>
      <c r="L178" s="9">
        <f>'01_Input_Raw_Products'!P178</f>
        <v>0</v>
      </c>
      <c r="M178" s="9" cm="1">
        <f t="array" ref="M178">IFERROR(_xlfn.XLOOKUP('01_Input_Raw_Products'!K178,'12_Color_Mapping'!A:A,'12_Color_Mapping'!B:B),IFERROR(_xlfn.XLOOKUP('01_Input_Raw_Products'!F178,'10_Master_Gem_Types'!A:A,'10_Master_Gem_Types'!F:F),""))</f>
        <v>0</v>
      </c>
      <c r="N178" s="9">
        <f>IF(C178="","",IF('01_Input_Raw_Products'!F178&lt;&gt;"",'01_Input_Raw_Products'!F178,'01_Input_Raw_Products'!D178))</f>
        <v>0</v>
      </c>
      <c r="O178" s="9">
        <f>IF(C178="","","Catalog Automation")</f>
        <v>0</v>
      </c>
      <c r="P178" s="9">
        <f>'01_Input_Raw_Products'!U178</f>
        <v>0</v>
      </c>
      <c r="Q178" s="7">
        <f>IF('01_Input_Raw_Products'!O178&lt;&gt;"",'01_Input_Raw_Products'!O178,IF('01_Input_Raw_Products'!N178&lt;&gt;"",'01_Input_Raw_Products'!N178*1.1,""))</f>
        <v>0</v>
      </c>
      <c r="R178" s="9">
        <f>'01_Input_Raw_Products'!S178</f>
        <v>0</v>
      </c>
      <c r="S178" s="9" cm="1">
        <f t="array" ref="S178">IFERROR(_xlfn.XLOOKUP('01_Input_Raw_Products'!F178,'10_Master_Gem_Types'!A:A,'10_Master_Gem_Types'!H:H),"")</f>
        <v>0</v>
      </c>
      <c r="T178" s="8">
        <f>'01_Input_Raw_Products'!Q178</f>
        <v>0</v>
      </c>
      <c r="U178" s="8">
        <f>'01_Input_Raw_Products'!R178</f>
        <v>0</v>
      </c>
      <c r="V178" s="7">
        <f>I178</f>
        <v>0</v>
      </c>
      <c r="W178" s="9" cm="1">
        <f t="array" ref="W178">IF('01_Input_Raw_Products'!G178&lt;&gt;"",'01_Input_Raw_Products'!G178,IFERROR(_xlfn.XLOOKUP('01_Input_Raw_Products'!F178,'10_Master_Gem_Types'!A:A,'10_Master_Gem_Types'!L:L),""))</f>
        <v>0</v>
      </c>
      <c r="X178" s="9" cm="1">
        <f t="array" ref="X178">IFERROR(_xlfn.XLOOKUP('01_Input_Raw_Products'!F178,'10_Master_Gem_Types'!A:A,'10_Master_Gem_Types'!J:J),"")</f>
        <v>0</v>
      </c>
      <c r="Y178" s="9" cm="1">
        <f t="array" ref="Y178">IFERROR(_xlfn.XLOOKUP('01_Input_Raw_Products'!F178,'10_Master_Gem_Types'!A:A,'10_Master_Gem_Types'!I:I),"")</f>
        <v>0</v>
      </c>
      <c r="Z178" s="9" cm="1">
        <f t="array" ref="Z178">IFERROR(_xlfn.XLOOKUP('01_Input_Raw_Products'!L178,'13_Certification_Stickers'!A:A,'13_Certification_Stickers'!C:C),"")</f>
        <v>0</v>
      </c>
      <c r="AA178" s="9" cm="1">
        <f t="array" ref="AA178">IFERROR(_xlfn.XLOOKUP('01_Input_Raw_Products'!S178,'14_Shipping_Rules'!A:A,'14_Shipping_Rules'!B:B),"")</f>
        <v>0</v>
      </c>
      <c r="AB178" s="9" cm="1">
        <f t="array" ref="AB178">IFERROR(_xlfn.XLOOKUP('01_Input_Raw_Products'!D178,'16_Astro_Flags'!A:A,'16_Astro_Flags'!B:B),"")</f>
        <v>0</v>
      </c>
      <c r="AC178" s="9">
        <f>IF(C178="","","Catalog, Search")</f>
        <v>0</v>
      </c>
      <c r="AD178" s="9">
        <f>IF(C178="","",IF(OR(F178="",J178="",M178="",S178="",Y178=""),"Manual Review","Ready"))</f>
        <v>0</v>
      </c>
      <c r="AE178" s="9">
        <f>IF(C178="","",TEXTJOIN("; ",TRUE,IF(F178="","Missing url_key",""),IF(J178="","Missing classification",""),IF(M178="","Missing j_colour",""),IF(S178="","Missing hsn_code",""),IF(Y178="","Missing tax_class_id","")))</f>
        <v>0</v>
      </c>
    </row>
    <row r="179" spans="1:31">
      <c r="A179" s="9">
        <f>IF('01_Input_Raw_Products'!B179&lt;&gt;"",20,"")</f>
        <v>0</v>
      </c>
      <c r="B179" s="9" cm="1">
        <f t="array" ref="B179">IF('01_Input_Raw_Products'!M179&lt;&gt;"",'01_Input_Raw_Products'!M179,IFERROR(_xlfn.XLOOKUP('01_Input_Raw_Products'!F179,'10_Master_Gem_Types'!A:A,'10_Master_Gem_Types'!K:K),""))</f>
        <v>0</v>
      </c>
      <c r="C179" s="9">
        <f>'01_Input_Raw_Products'!B179</f>
        <v>0</v>
      </c>
      <c r="D179" s="9">
        <f>IF(C179="","",TEXT(I179,"0.00")&amp;" Ct "&amp;IF('01_Input_Raw_Products'!F179&lt;&gt;"",'01_Input_Raw_Products'!F179,'01_Input_Raw_Products'!D179)&amp;" "&amp;'01_Input_Raw_Products'!I179)</f>
        <v>0</v>
      </c>
      <c r="E179" s="9">
        <f>IF(C179="","",D179&amp;" | GemPundit")</f>
        <v>0</v>
      </c>
      <c r="F179" s="9" cm="1">
        <f t="array" ref="F179">IF('01_Input_Raw_Products'!X179&lt;&gt;"",'01_Input_Raw_Products'!X179,IFERROR(_xlfn.XLOOKUP('01_Input_Raw_Products'!F179,'10_Master_Gem_Types'!A:A,'10_Master_Gem_Types'!O:O),LOWER(SUBSTITUTE(IF('01_Input_Raw_Products'!F179&lt;&gt;"",'01_Input_Raw_Products'!F179,'01_Input_Raw_Products'!D179)," ","-"))))</f>
        <v>0</v>
      </c>
      <c r="G179" s="9">
        <f>'01_Input_Raw_Products'!C179</f>
        <v>0</v>
      </c>
      <c r="H179" s="9" cm="1">
        <f t="array" ref="H179">IF('01_Input_Raw_Products'!H179&lt;&gt;"",'01_Input_Raw_Products'!H179,IFERROR(_xlfn.XLOOKUP('01_Input_Raw_Products'!F179,'10_Master_Gem_Types'!A:A,'10_Master_Gem_Types'!D:D),""))</f>
        <v>0</v>
      </c>
      <c r="I179" s="7">
        <f>IF('01_Input_Raw_Products'!N179&lt;&gt;"",'01_Input_Raw_Products'!N179,IF('01_Input_Raw_Products'!O179&lt;&gt;"",'01_Input_Raw_Products'!O179*0.91,""))</f>
        <v>0</v>
      </c>
      <c r="J179" s="9" cm="1">
        <f t="array" ref="J179">IFERROR(_xlfn.XLOOKUP('01_Input_Raw_Products'!F179,'10_Master_Gem_Types'!A:A,'10_Master_Gem_Types'!N:N),"")</f>
        <v>0</v>
      </c>
      <c r="K179" s="9" cm="1">
        <f t="array" ref="K179">IF('01_Input_Raw_Products'!J179&lt;&gt;"",'01_Input_Raw_Products'!J179,IFERROR(_xlfn.XLOOKUP('01_Input_Raw_Products'!F179,'10_Master_Gem_Types'!A:A,'10_Master_Gem_Types'!E:E),""))</f>
        <v>0</v>
      </c>
      <c r="L179" s="9">
        <f>'01_Input_Raw_Products'!P179</f>
        <v>0</v>
      </c>
      <c r="M179" s="9" cm="1">
        <f t="array" ref="M179">IFERROR(_xlfn.XLOOKUP('01_Input_Raw_Products'!K179,'12_Color_Mapping'!A:A,'12_Color_Mapping'!B:B),IFERROR(_xlfn.XLOOKUP('01_Input_Raw_Products'!F179,'10_Master_Gem_Types'!A:A,'10_Master_Gem_Types'!F:F),""))</f>
        <v>0</v>
      </c>
      <c r="N179" s="9">
        <f>IF(C179="","",IF('01_Input_Raw_Products'!F179&lt;&gt;"",'01_Input_Raw_Products'!F179,'01_Input_Raw_Products'!D179))</f>
        <v>0</v>
      </c>
      <c r="O179" s="9">
        <f>IF(C179="","","Catalog Automation")</f>
        <v>0</v>
      </c>
      <c r="P179" s="9">
        <f>'01_Input_Raw_Products'!U179</f>
        <v>0</v>
      </c>
      <c r="Q179" s="7">
        <f>IF('01_Input_Raw_Products'!O179&lt;&gt;"",'01_Input_Raw_Products'!O179,IF('01_Input_Raw_Products'!N179&lt;&gt;"",'01_Input_Raw_Products'!N179*1.1,""))</f>
        <v>0</v>
      </c>
      <c r="R179" s="9">
        <f>'01_Input_Raw_Products'!S179</f>
        <v>0</v>
      </c>
      <c r="S179" s="9" cm="1">
        <f t="array" ref="S179">IFERROR(_xlfn.XLOOKUP('01_Input_Raw_Products'!F179,'10_Master_Gem_Types'!A:A,'10_Master_Gem_Types'!H:H),"")</f>
        <v>0</v>
      </c>
      <c r="T179" s="8">
        <f>'01_Input_Raw_Products'!Q179</f>
        <v>0</v>
      </c>
      <c r="U179" s="8">
        <f>'01_Input_Raw_Products'!R179</f>
        <v>0</v>
      </c>
      <c r="V179" s="7">
        <f>I179</f>
        <v>0</v>
      </c>
      <c r="W179" s="9" cm="1">
        <f t="array" ref="W179">IF('01_Input_Raw_Products'!G179&lt;&gt;"",'01_Input_Raw_Products'!G179,IFERROR(_xlfn.XLOOKUP('01_Input_Raw_Products'!F179,'10_Master_Gem_Types'!A:A,'10_Master_Gem_Types'!L:L),""))</f>
        <v>0</v>
      </c>
      <c r="X179" s="9" cm="1">
        <f t="array" ref="X179">IFERROR(_xlfn.XLOOKUP('01_Input_Raw_Products'!F179,'10_Master_Gem_Types'!A:A,'10_Master_Gem_Types'!J:J),"")</f>
        <v>0</v>
      </c>
      <c r="Y179" s="9" cm="1">
        <f t="array" ref="Y179">IFERROR(_xlfn.XLOOKUP('01_Input_Raw_Products'!F179,'10_Master_Gem_Types'!A:A,'10_Master_Gem_Types'!I:I),"")</f>
        <v>0</v>
      </c>
      <c r="Z179" s="9" cm="1">
        <f t="array" ref="Z179">IFERROR(_xlfn.XLOOKUP('01_Input_Raw_Products'!L179,'13_Certification_Stickers'!A:A,'13_Certification_Stickers'!C:C),"")</f>
        <v>0</v>
      </c>
      <c r="AA179" s="9" cm="1">
        <f t="array" ref="AA179">IFERROR(_xlfn.XLOOKUP('01_Input_Raw_Products'!S179,'14_Shipping_Rules'!A:A,'14_Shipping_Rules'!B:B),"")</f>
        <v>0</v>
      </c>
      <c r="AB179" s="9" cm="1">
        <f t="array" ref="AB179">IFERROR(_xlfn.XLOOKUP('01_Input_Raw_Products'!D179,'16_Astro_Flags'!A:A,'16_Astro_Flags'!B:B),"")</f>
        <v>0</v>
      </c>
      <c r="AC179" s="9">
        <f>IF(C179="","","Catalog, Search")</f>
        <v>0</v>
      </c>
      <c r="AD179" s="9">
        <f>IF(C179="","",IF(OR(F179="",J179="",M179="",S179="",Y179=""),"Manual Review","Ready"))</f>
        <v>0</v>
      </c>
      <c r="AE179" s="9">
        <f>IF(C179="","",TEXTJOIN("; ",TRUE,IF(F179="","Missing url_key",""),IF(J179="","Missing classification",""),IF(M179="","Missing j_colour",""),IF(S179="","Missing hsn_code",""),IF(Y179="","Missing tax_class_id","")))</f>
        <v>0</v>
      </c>
    </row>
    <row r="180" spans="1:31">
      <c r="A180" s="9">
        <f>IF('01_Input_Raw_Products'!B180&lt;&gt;"",20,"")</f>
        <v>0</v>
      </c>
      <c r="B180" s="9" cm="1">
        <f t="array" ref="B180">IF('01_Input_Raw_Products'!M180&lt;&gt;"",'01_Input_Raw_Products'!M180,IFERROR(_xlfn.XLOOKUP('01_Input_Raw_Products'!F180,'10_Master_Gem_Types'!A:A,'10_Master_Gem_Types'!K:K),""))</f>
        <v>0</v>
      </c>
      <c r="C180" s="9">
        <f>'01_Input_Raw_Products'!B180</f>
        <v>0</v>
      </c>
      <c r="D180" s="9">
        <f>IF(C180="","",TEXT(I180,"0.00")&amp;" Ct "&amp;IF('01_Input_Raw_Products'!F180&lt;&gt;"",'01_Input_Raw_Products'!F180,'01_Input_Raw_Products'!D180)&amp;" "&amp;'01_Input_Raw_Products'!I180)</f>
        <v>0</v>
      </c>
      <c r="E180" s="9">
        <f>IF(C180="","",D180&amp;" | GemPundit")</f>
        <v>0</v>
      </c>
      <c r="F180" s="9" cm="1">
        <f t="array" ref="F180">IF('01_Input_Raw_Products'!X180&lt;&gt;"",'01_Input_Raw_Products'!X180,IFERROR(_xlfn.XLOOKUP('01_Input_Raw_Products'!F180,'10_Master_Gem_Types'!A:A,'10_Master_Gem_Types'!O:O),LOWER(SUBSTITUTE(IF('01_Input_Raw_Products'!F180&lt;&gt;"",'01_Input_Raw_Products'!F180,'01_Input_Raw_Products'!D180)," ","-"))))</f>
        <v>0</v>
      </c>
      <c r="G180" s="9">
        <f>'01_Input_Raw_Products'!C180</f>
        <v>0</v>
      </c>
      <c r="H180" s="9" cm="1">
        <f t="array" ref="H180">IF('01_Input_Raw_Products'!H180&lt;&gt;"",'01_Input_Raw_Products'!H180,IFERROR(_xlfn.XLOOKUP('01_Input_Raw_Products'!F180,'10_Master_Gem_Types'!A:A,'10_Master_Gem_Types'!D:D),""))</f>
        <v>0</v>
      </c>
      <c r="I180" s="7">
        <f>IF('01_Input_Raw_Products'!N180&lt;&gt;"",'01_Input_Raw_Products'!N180,IF('01_Input_Raw_Products'!O180&lt;&gt;"",'01_Input_Raw_Products'!O180*0.91,""))</f>
        <v>0</v>
      </c>
      <c r="J180" s="9" cm="1">
        <f t="array" ref="J180">IFERROR(_xlfn.XLOOKUP('01_Input_Raw_Products'!F180,'10_Master_Gem_Types'!A:A,'10_Master_Gem_Types'!N:N),"")</f>
        <v>0</v>
      </c>
      <c r="K180" s="9" cm="1">
        <f t="array" ref="K180">IF('01_Input_Raw_Products'!J180&lt;&gt;"",'01_Input_Raw_Products'!J180,IFERROR(_xlfn.XLOOKUP('01_Input_Raw_Products'!F180,'10_Master_Gem_Types'!A:A,'10_Master_Gem_Types'!E:E),""))</f>
        <v>0</v>
      </c>
      <c r="L180" s="9">
        <f>'01_Input_Raw_Products'!P180</f>
        <v>0</v>
      </c>
      <c r="M180" s="9" cm="1">
        <f t="array" ref="M180">IFERROR(_xlfn.XLOOKUP('01_Input_Raw_Products'!K180,'12_Color_Mapping'!A:A,'12_Color_Mapping'!B:B),IFERROR(_xlfn.XLOOKUP('01_Input_Raw_Products'!F180,'10_Master_Gem_Types'!A:A,'10_Master_Gem_Types'!F:F),""))</f>
        <v>0</v>
      </c>
      <c r="N180" s="9">
        <f>IF(C180="","",IF('01_Input_Raw_Products'!F180&lt;&gt;"",'01_Input_Raw_Products'!F180,'01_Input_Raw_Products'!D180))</f>
        <v>0</v>
      </c>
      <c r="O180" s="9">
        <f>IF(C180="","","Catalog Automation")</f>
        <v>0</v>
      </c>
      <c r="P180" s="9">
        <f>'01_Input_Raw_Products'!U180</f>
        <v>0</v>
      </c>
      <c r="Q180" s="7">
        <f>IF('01_Input_Raw_Products'!O180&lt;&gt;"",'01_Input_Raw_Products'!O180,IF('01_Input_Raw_Products'!N180&lt;&gt;"",'01_Input_Raw_Products'!N180*1.1,""))</f>
        <v>0</v>
      </c>
      <c r="R180" s="9">
        <f>'01_Input_Raw_Products'!S180</f>
        <v>0</v>
      </c>
      <c r="S180" s="9" cm="1">
        <f t="array" ref="S180">IFERROR(_xlfn.XLOOKUP('01_Input_Raw_Products'!F180,'10_Master_Gem_Types'!A:A,'10_Master_Gem_Types'!H:H),"")</f>
        <v>0</v>
      </c>
      <c r="T180" s="8">
        <f>'01_Input_Raw_Products'!Q180</f>
        <v>0</v>
      </c>
      <c r="U180" s="8">
        <f>'01_Input_Raw_Products'!R180</f>
        <v>0</v>
      </c>
      <c r="V180" s="7">
        <f>I180</f>
        <v>0</v>
      </c>
      <c r="W180" s="9" cm="1">
        <f t="array" ref="W180">IF('01_Input_Raw_Products'!G180&lt;&gt;"",'01_Input_Raw_Products'!G180,IFERROR(_xlfn.XLOOKUP('01_Input_Raw_Products'!F180,'10_Master_Gem_Types'!A:A,'10_Master_Gem_Types'!L:L),""))</f>
        <v>0</v>
      </c>
      <c r="X180" s="9" cm="1">
        <f t="array" ref="X180">IFERROR(_xlfn.XLOOKUP('01_Input_Raw_Products'!F180,'10_Master_Gem_Types'!A:A,'10_Master_Gem_Types'!J:J),"")</f>
        <v>0</v>
      </c>
      <c r="Y180" s="9" cm="1">
        <f t="array" ref="Y180">IFERROR(_xlfn.XLOOKUP('01_Input_Raw_Products'!F180,'10_Master_Gem_Types'!A:A,'10_Master_Gem_Types'!I:I),"")</f>
        <v>0</v>
      </c>
      <c r="Z180" s="9" cm="1">
        <f t="array" ref="Z180">IFERROR(_xlfn.XLOOKUP('01_Input_Raw_Products'!L180,'13_Certification_Stickers'!A:A,'13_Certification_Stickers'!C:C),"")</f>
        <v>0</v>
      </c>
      <c r="AA180" s="9" cm="1">
        <f t="array" ref="AA180">IFERROR(_xlfn.XLOOKUP('01_Input_Raw_Products'!S180,'14_Shipping_Rules'!A:A,'14_Shipping_Rules'!B:B),"")</f>
        <v>0</v>
      </c>
      <c r="AB180" s="9" cm="1">
        <f t="array" ref="AB180">IFERROR(_xlfn.XLOOKUP('01_Input_Raw_Products'!D180,'16_Astro_Flags'!A:A,'16_Astro_Flags'!B:B),"")</f>
        <v>0</v>
      </c>
      <c r="AC180" s="9">
        <f>IF(C180="","","Catalog, Search")</f>
        <v>0</v>
      </c>
      <c r="AD180" s="9">
        <f>IF(C180="","",IF(OR(F180="",J180="",M180="",S180="",Y180=""),"Manual Review","Ready"))</f>
        <v>0</v>
      </c>
      <c r="AE180" s="9">
        <f>IF(C180="","",TEXTJOIN("; ",TRUE,IF(F180="","Missing url_key",""),IF(J180="","Missing classification",""),IF(M180="","Missing j_colour",""),IF(S180="","Missing hsn_code",""),IF(Y180="","Missing tax_class_id","")))</f>
        <v>0</v>
      </c>
    </row>
    <row r="181" spans="1:31">
      <c r="A181" s="9">
        <f>IF('01_Input_Raw_Products'!B181&lt;&gt;"",20,"")</f>
        <v>0</v>
      </c>
      <c r="B181" s="9" cm="1">
        <f t="array" ref="B181">IF('01_Input_Raw_Products'!M181&lt;&gt;"",'01_Input_Raw_Products'!M181,IFERROR(_xlfn.XLOOKUP('01_Input_Raw_Products'!F181,'10_Master_Gem_Types'!A:A,'10_Master_Gem_Types'!K:K),""))</f>
        <v>0</v>
      </c>
      <c r="C181" s="9">
        <f>'01_Input_Raw_Products'!B181</f>
        <v>0</v>
      </c>
      <c r="D181" s="9">
        <f>IF(C181="","",TEXT(I181,"0.00")&amp;" Ct "&amp;IF('01_Input_Raw_Products'!F181&lt;&gt;"",'01_Input_Raw_Products'!F181,'01_Input_Raw_Products'!D181)&amp;" "&amp;'01_Input_Raw_Products'!I181)</f>
        <v>0</v>
      </c>
      <c r="E181" s="9">
        <f>IF(C181="","",D181&amp;" | GemPundit")</f>
        <v>0</v>
      </c>
      <c r="F181" s="9" cm="1">
        <f t="array" ref="F181">IF('01_Input_Raw_Products'!X181&lt;&gt;"",'01_Input_Raw_Products'!X181,IFERROR(_xlfn.XLOOKUP('01_Input_Raw_Products'!F181,'10_Master_Gem_Types'!A:A,'10_Master_Gem_Types'!O:O),LOWER(SUBSTITUTE(IF('01_Input_Raw_Products'!F181&lt;&gt;"",'01_Input_Raw_Products'!F181,'01_Input_Raw_Products'!D181)," ","-"))))</f>
        <v>0</v>
      </c>
      <c r="G181" s="9">
        <f>'01_Input_Raw_Products'!C181</f>
        <v>0</v>
      </c>
      <c r="H181" s="9" cm="1">
        <f t="array" ref="H181">IF('01_Input_Raw_Products'!H181&lt;&gt;"",'01_Input_Raw_Products'!H181,IFERROR(_xlfn.XLOOKUP('01_Input_Raw_Products'!F181,'10_Master_Gem_Types'!A:A,'10_Master_Gem_Types'!D:D),""))</f>
        <v>0</v>
      </c>
      <c r="I181" s="7">
        <f>IF('01_Input_Raw_Products'!N181&lt;&gt;"",'01_Input_Raw_Products'!N181,IF('01_Input_Raw_Products'!O181&lt;&gt;"",'01_Input_Raw_Products'!O181*0.91,""))</f>
        <v>0</v>
      </c>
      <c r="J181" s="9" cm="1">
        <f t="array" ref="J181">IFERROR(_xlfn.XLOOKUP('01_Input_Raw_Products'!F181,'10_Master_Gem_Types'!A:A,'10_Master_Gem_Types'!N:N),"")</f>
        <v>0</v>
      </c>
      <c r="K181" s="9" cm="1">
        <f t="array" ref="K181">IF('01_Input_Raw_Products'!J181&lt;&gt;"",'01_Input_Raw_Products'!J181,IFERROR(_xlfn.XLOOKUP('01_Input_Raw_Products'!F181,'10_Master_Gem_Types'!A:A,'10_Master_Gem_Types'!E:E),""))</f>
        <v>0</v>
      </c>
      <c r="L181" s="9">
        <f>'01_Input_Raw_Products'!P181</f>
        <v>0</v>
      </c>
      <c r="M181" s="9" cm="1">
        <f t="array" ref="M181">IFERROR(_xlfn.XLOOKUP('01_Input_Raw_Products'!K181,'12_Color_Mapping'!A:A,'12_Color_Mapping'!B:B),IFERROR(_xlfn.XLOOKUP('01_Input_Raw_Products'!F181,'10_Master_Gem_Types'!A:A,'10_Master_Gem_Types'!F:F),""))</f>
        <v>0</v>
      </c>
      <c r="N181" s="9">
        <f>IF(C181="","",IF('01_Input_Raw_Products'!F181&lt;&gt;"",'01_Input_Raw_Products'!F181,'01_Input_Raw_Products'!D181))</f>
        <v>0</v>
      </c>
      <c r="O181" s="9">
        <f>IF(C181="","","Catalog Automation")</f>
        <v>0</v>
      </c>
      <c r="P181" s="9">
        <f>'01_Input_Raw_Products'!U181</f>
        <v>0</v>
      </c>
      <c r="Q181" s="7">
        <f>IF('01_Input_Raw_Products'!O181&lt;&gt;"",'01_Input_Raw_Products'!O181,IF('01_Input_Raw_Products'!N181&lt;&gt;"",'01_Input_Raw_Products'!N181*1.1,""))</f>
        <v>0</v>
      </c>
      <c r="R181" s="9">
        <f>'01_Input_Raw_Products'!S181</f>
        <v>0</v>
      </c>
      <c r="S181" s="9" cm="1">
        <f t="array" ref="S181">IFERROR(_xlfn.XLOOKUP('01_Input_Raw_Products'!F181,'10_Master_Gem_Types'!A:A,'10_Master_Gem_Types'!H:H),"")</f>
        <v>0</v>
      </c>
      <c r="T181" s="8">
        <f>'01_Input_Raw_Products'!Q181</f>
        <v>0</v>
      </c>
      <c r="U181" s="8">
        <f>'01_Input_Raw_Products'!R181</f>
        <v>0</v>
      </c>
      <c r="V181" s="7">
        <f>I181</f>
        <v>0</v>
      </c>
      <c r="W181" s="9" cm="1">
        <f t="array" ref="W181">IF('01_Input_Raw_Products'!G181&lt;&gt;"",'01_Input_Raw_Products'!G181,IFERROR(_xlfn.XLOOKUP('01_Input_Raw_Products'!F181,'10_Master_Gem_Types'!A:A,'10_Master_Gem_Types'!L:L),""))</f>
        <v>0</v>
      </c>
      <c r="X181" s="9" cm="1">
        <f t="array" ref="X181">IFERROR(_xlfn.XLOOKUP('01_Input_Raw_Products'!F181,'10_Master_Gem_Types'!A:A,'10_Master_Gem_Types'!J:J),"")</f>
        <v>0</v>
      </c>
      <c r="Y181" s="9" cm="1">
        <f t="array" ref="Y181">IFERROR(_xlfn.XLOOKUP('01_Input_Raw_Products'!F181,'10_Master_Gem_Types'!A:A,'10_Master_Gem_Types'!I:I),"")</f>
        <v>0</v>
      </c>
      <c r="Z181" s="9" cm="1">
        <f t="array" ref="Z181">IFERROR(_xlfn.XLOOKUP('01_Input_Raw_Products'!L181,'13_Certification_Stickers'!A:A,'13_Certification_Stickers'!C:C),"")</f>
        <v>0</v>
      </c>
      <c r="AA181" s="9" cm="1">
        <f t="array" ref="AA181">IFERROR(_xlfn.XLOOKUP('01_Input_Raw_Products'!S181,'14_Shipping_Rules'!A:A,'14_Shipping_Rules'!B:B),"")</f>
        <v>0</v>
      </c>
      <c r="AB181" s="9" cm="1">
        <f t="array" ref="AB181">IFERROR(_xlfn.XLOOKUP('01_Input_Raw_Products'!D181,'16_Astro_Flags'!A:A,'16_Astro_Flags'!B:B),"")</f>
        <v>0</v>
      </c>
      <c r="AC181" s="9">
        <f>IF(C181="","","Catalog, Search")</f>
        <v>0</v>
      </c>
      <c r="AD181" s="9">
        <f>IF(C181="","",IF(OR(F181="",J181="",M181="",S181="",Y181=""),"Manual Review","Ready"))</f>
        <v>0</v>
      </c>
      <c r="AE181" s="9">
        <f>IF(C181="","",TEXTJOIN("; ",TRUE,IF(F181="","Missing url_key",""),IF(J181="","Missing classification",""),IF(M181="","Missing j_colour",""),IF(S181="","Missing hsn_code",""),IF(Y181="","Missing tax_class_id","")))</f>
        <v>0</v>
      </c>
    </row>
    <row r="182" spans="1:31">
      <c r="A182" s="9">
        <f>IF('01_Input_Raw_Products'!B182&lt;&gt;"",20,"")</f>
        <v>0</v>
      </c>
      <c r="B182" s="9" cm="1">
        <f t="array" ref="B182">IF('01_Input_Raw_Products'!M182&lt;&gt;"",'01_Input_Raw_Products'!M182,IFERROR(_xlfn.XLOOKUP('01_Input_Raw_Products'!F182,'10_Master_Gem_Types'!A:A,'10_Master_Gem_Types'!K:K),""))</f>
        <v>0</v>
      </c>
      <c r="C182" s="9">
        <f>'01_Input_Raw_Products'!B182</f>
        <v>0</v>
      </c>
      <c r="D182" s="9">
        <f>IF(C182="","",TEXT(I182,"0.00")&amp;" Ct "&amp;IF('01_Input_Raw_Products'!F182&lt;&gt;"",'01_Input_Raw_Products'!F182,'01_Input_Raw_Products'!D182)&amp;" "&amp;'01_Input_Raw_Products'!I182)</f>
        <v>0</v>
      </c>
      <c r="E182" s="9">
        <f>IF(C182="","",D182&amp;" | GemPundit")</f>
        <v>0</v>
      </c>
      <c r="F182" s="9" cm="1">
        <f t="array" ref="F182">IF('01_Input_Raw_Products'!X182&lt;&gt;"",'01_Input_Raw_Products'!X182,IFERROR(_xlfn.XLOOKUP('01_Input_Raw_Products'!F182,'10_Master_Gem_Types'!A:A,'10_Master_Gem_Types'!O:O),LOWER(SUBSTITUTE(IF('01_Input_Raw_Products'!F182&lt;&gt;"",'01_Input_Raw_Products'!F182,'01_Input_Raw_Products'!D182)," ","-"))))</f>
        <v>0</v>
      </c>
      <c r="G182" s="9">
        <f>'01_Input_Raw_Products'!C182</f>
        <v>0</v>
      </c>
      <c r="H182" s="9" cm="1">
        <f t="array" ref="H182">IF('01_Input_Raw_Products'!H182&lt;&gt;"",'01_Input_Raw_Products'!H182,IFERROR(_xlfn.XLOOKUP('01_Input_Raw_Products'!F182,'10_Master_Gem_Types'!A:A,'10_Master_Gem_Types'!D:D),""))</f>
        <v>0</v>
      </c>
      <c r="I182" s="7">
        <f>IF('01_Input_Raw_Products'!N182&lt;&gt;"",'01_Input_Raw_Products'!N182,IF('01_Input_Raw_Products'!O182&lt;&gt;"",'01_Input_Raw_Products'!O182*0.91,""))</f>
        <v>0</v>
      </c>
      <c r="J182" s="9" cm="1">
        <f t="array" ref="J182">IFERROR(_xlfn.XLOOKUP('01_Input_Raw_Products'!F182,'10_Master_Gem_Types'!A:A,'10_Master_Gem_Types'!N:N),"")</f>
        <v>0</v>
      </c>
      <c r="K182" s="9" cm="1">
        <f t="array" ref="K182">IF('01_Input_Raw_Products'!J182&lt;&gt;"",'01_Input_Raw_Products'!J182,IFERROR(_xlfn.XLOOKUP('01_Input_Raw_Products'!F182,'10_Master_Gem_Types'!A:A,'10_Master_Gem_Types'!E:E),""))</f>
        <v>0</v>
      </c>
      <c r="L182" s="9">
        <f>'01_Input_Raw_Products'!P182</f>
        <v>0</v>
      </c>
      <c r="M182" s="9" cm="1">
        <f t="array" ref="M182">IFERROR(_xlfn.XLOOKUP('01_Input_Raw_Products'!K182,'12_Color_Mapping'!A:A,'12_Color_Mapping'!B:B),IFERROR(_xlfn.XLOOKUP('01_Input_Raw_Products'!F182,'10_Master_Gem_Types'!A:A,'10_Master_Gem_Types'!F:F),""))</f>
        <v>0</v>
      </c>
      <c r="N182" s="9">
        <f>IF(C182="","",IF('01_Input_Raw_Products'!F182&lt;&gt;"",'01_Input_Raw_Products'!F182,'01_Input_Raw_Products'!D182))</f>
        <v>0</v>
      </c>
      <c r="O182" s="9">
        <f>IF(C182="","","Catalog Automation")</f>
        <v>0</v>
      </c>
      <c r="P182" s="9">
        <f>'01_Input_Raw_Products'!U182</f>
        <v>0</v>
      </c>
      <c r="Q182" s="7">
        <f>IF('01_Input_Raw_Products'!O182&lt;&gt;"",'01_Input_Raw_Products'!O182,IF('01_Input_Raw_Products'!N182&lt;&gt;"",'01_Input_Raw_Products'!N182*1.1,""))</f>
        <v>0</v>
      </c>
      <c r="R182" s="9">
        <f>'01_Input_Raw_Products'!S182</f>
        <v>0</v>
      </c>
      <c r="S182" s="9" cm="1">
        <f t="array" ref="S182">IFERROR(_xlfn.XLOOKUP('01_Input_Raw_Products'!F182,'10_Master_Gem_Types'!A:A,'10_Master_Gem_Types'!H:H),"")</f>
        <v>0</v>
      </c>
      <c r="T182" s="8">
        <f>'01_Input_Raw_Products'!Q182</f>
        <v>0</v>
      </c>
      <c r="U182" s="8">
        <f>'01_Input_Raw_Products'!R182</f>
        <v>0</v>
      </c>
      <c r="V182" s="7">
        <f>I182</f>
        <v>0</v>
      </c>
      <c r="W182" s="9" cm="1">
        <f t="array" ref="W182">IF('01_Input_Raw_Products'!G182&lt;&gt;"",'01_Input_Raw_Products'!G182,IFERROR(_xlfn.XLOOKUP('01_Input_Raw_Products'!F182,'10_Master_Gem_Types'!A:A,'10_Master_Gem_Types'!L:L),""))</f>
        <v>0</v>
      </c>
      <c r="X182" s="9" cm="1">
        <f t="array" ref="X182">IFERROR(_xlfn.XLOOKUP('01_Input_Raw_Products'!F182,'10_Master_Gem_Types'!A:A,'10_Master_Gem_Types'!J:J),"")</f>
        <v>0</v>
      </c>
      <c r="Y182" s="9" cm="1">
        <f t="array" ref="Y182">IFERROR(_xlfn.XLOOKUP('01_Input_Raw_Products'!F182,'10_Master_Gem_Types'!A:A,'10_Master_Gem_Types'!I:I),"")</f>
        <v>0</v>
      </c>
      <c r="Z182" s="9" cm="1">
        <f t="array" ref="Z182">IFERROR(_xlfn.XLOOKUP('01_Input_Raw_Products'!L182,'13_Certification_Stickers'!A:A,'13_Certification_Stickers'!C:C),"")</f>
        <v>0</v>
      </c>
      <c r="AA182" s="9" cm="1">
        <f t="array" ref="AA182">IFERROR(_xlfn.XLOOKUP('01_Input_Raw_Products'!S182,'14_Shipping_Rules'!A:A,'14_Shipping_Rules'!B:B),"")</f>
        <v>0</v>
      </c>
      <c r="AB182" s="9" cm="1">
        <f t="array" ref="AB182">IFERROR(_xlfn.XLOOKUP('01_Input_Raw_Products'!D182,'16_Astro_Flags'!A:A,'16_Astro_Flags'!B:B),"")</f>
        <v>0</v>
      </c>
      <c r="AC182" s="9">
        <f>IF(C182="","","Catalog, Search")</f>
        <v>0</v>
      </c>
      <c r="AD182" s="9">
        <f>IF(C182="","",IF(OR(F182="",J182="",M182="",S182="",Y182=""),"Manual Review","Ready"))</f>
        <v>0</v>
      </c>
      <c r="AE182" s="9">
        <f>IF(C182="","",TEXTJOIN("; ",TRUE,IF(F182="","Missing url_key",""),IF(J182="","Missing classification",""),IF(M182="","Missing j_colour",""),IF(S182="","Missing hsn_code",""),IF(Y182="","Missing tax_class_id","")))</f>
        <v>0</v>
      </c>
    </row>
    <row r="183" spans="1:31">
      <c r="A183" s="9">
        <f>IF('01_Input_Raw_Products'!B183&lt;&gt;"",20,"")</f>
        <v>0</v>
      </c>
      <c r="B183" s="9" cm="1">
        <f t="array" ref="B183">IF('01_Input_Raw_Products'!M183&lt;&gt;"",'01_Input_Raw_Products'!M183,IFERROR(_xlfn.XLOOKUP('01_Input_Raw_Products'!F183,'10_Master_Gem_Types'!A:A,'10_Master_Gem_Types'!K:K),""))</f>
        <v>0</v>
      </c>
      <c r="C183" s="9">
        <f>'01_Input_Raw_Products'!B183</f>
        <v>0</v>
      </c>
      <c r="D183" s="9">
        <f>IF(C183="","",TEXT(I183,"0.00")&amp;" Ct "&amp;IF('01_Input_Raw_Products'!F183&lt;&gt;"",'01_Input_Raw_Products'!F183,'01_Input_Raw_Products'!D183)&amp;" "&amp;'01_Input_Raw_Products'!I183)</f>
        <v>0</v>
      </c>
      <c r="E183" s="9">
        <f>IF(C183="","",D183&amp;" | GemPundit")</f>
        <v>0</v>
      </c>
      <c r="F183" s="9" cm="1">
        <f t="array" ref="F183">IF('01_Input_Raw_Products'!X183&lt;&gt;"",'01_Input_Raw_Products'!X183,IFERROR(_xlfn.XLOOKUP('01_Input_Raw_Products'!F183,'10_Master_Gem_Types'!A:A,'10_Master_Gem_Types'!O:O),LOWER(SUBSTITUTE(IF('01_Input_Raw_Products'!F183&lt;&gt;"",'01_Input_Raw_Products'!F183,'01_Input_Raw_Products'!D183)," ","-"))))</f>
        <v>0</v>
      </c>
      <c r="G183" s="9">
        <f>'01_Input_Raw_Products'!C183</f>
        <v>0</v>
      </c>
      <c r="H183" s="9" cm="1">
        <f t="array" ref="H183">IF('01_Input_Raw_Products'!H183&lt;&gt;"",'01_Input_Raw_Products'!H183,IFERROR(_xlfn.XLOOKUP('01_Input_Raw_Products'!F183,'10_Master_Gem_Types'!A:A,'10_Master_Gem_Types'!D:D),""))</f>
        <v>0</v>
      </c>
      <c r="I183" s="7">
        <f>IF('01_Input_Raw_Products'!N183&lt;&gt;"",'01_Input_Raw_Products'!N183,IF('01_Input_Raw_Products'!O183&lt;&gt;"",'01_Input_Raw_Products'!O183*0.91,""))</f>
        <v>0</v>
      </c>
      <c r="J183" s="9" cm="1">
        <f t="array" ref="J183">IFERROR(_xlfn.XLOOKUP('01_Input_Raw_Products'!F183,'10_Master_Gem_Types'!A:A,'10_Master_Gem_Types'!N:N),"")</f>
        <v>0</v>
      </c>
      <c r="K183" s="9" cm="1">
        <f t="array" ref="K183">IF('01_Input_Raw_Products'!J183&lt;&gt;"",'01_Input_Raw_Products'!J183,IFERROR(_xlfn.XLOOKUP('01_Input_Raw_Products'!F183,'10_Master_Gem_Types'!A:A,'10_Master_Gem_Types'!E:E),""))</f>
        <v>0</v>
      </c>
      <c r="L183" s="9">
        <f>'01_Input_Raw_Products'!P183</f>
        <v>0</v>
      </c>
      <c r="M183" s="9" cm="1">
        <f t="array" ref="M183">IFERROR(_xlfn.XLOOKUP('01_Input_Raw_Products'!K183,'12_Color_Mapping'!A:A,'12_Color_Mapping'!B:B),IFERROR(_xlfn.XLOOKUP('01_Input_Raw_Products'!F183,'10_Master_Gem_Types'!A:A,'10_Master_Gem_Types'!F:F),""))</f>
        <v>0</v>
      </c>
      <c r="N183" s="9">
        <f>IF(C183="","",IF('01_Input_Raw_Products'!F183&lt;&gt;"",'01_Input_Raw_Products'!F183,'01_Input_Raw_Products'!D183))</f>
        <v>0</v>
      </c>
      <c r="O183" s="9">
        <f>IF(C183="","","Catalog Automation")</f>
        <v>0</v>
      </c>
      <c r="P183" s="9">
        <f>'01_Input_Raw_Products'!U183</f>
        <v>0</v>
      </c>
      <c r="Q183" s="7">
        <f>IF('01_Input_Raw_Products'!O183&lt;&gt;"",'01_Input_Raw_Products'!O183,IF('01_Input_Raw_Products'!N183&lt;&gt;"",'01_Input_Raw_Products'!N183*1.1,""))</f>
        <v>0</v>
      </c>
      <c r="R183" s="9">
        <f>'01_Input_Raw_Products'!S183</f>
        <v>0</v>
      </c>
      <c r="S183" s="9" cm="1">
        <f t="array" ref="S183">IFERROR(_xlfn.XLOOKUP('01_Input_Raw_Products'!F183,'10_Master_Gem_Types'!A:A,'10_Master_Gem_Types'!H:H),"")</f>
        <v>0</v>
      </c>
      <c r="T183" s="8">
        <f>'01_Input_Raw_Products'!Q183</f>
        <v>0</v>
      </c>
      <c r="U183" s="8">
        <f>'01_Input_Raw_Products'!R183</f>
        <v>0</v>
      </c>
      <c r="V183" s="7">
        <f>I183</f>
        <v>0</v>
      </c>
      <c r="W183" s="9" cm="1">
        <f t="array" ref="W183">IF('01_Input_Raw_Products'!G183&lt;&gt;"",'01_Input_Raw_Products'!G183,IFERROR(_xlfn.XLOOKUP('01_Input_Raw_Products'!F183,'10_Master_Gem_Types'!A:A,'10_Master_Gem_Types'!L:L),""))</f>
        <v>0</v>
      </c>
      <c r="X183" s="9" cm="1">
        <f t="array" ref="X183">IFERROR(_xlfn.XLOOKUP('01_Input_Raw_Products'!F183,'10_Master_Gem_Types'!A:A,'10_Master_Gem_Types'!J:J),"")</f>
        <v>0</v>
      </c>
      <c r="Y183" s="9" cm="1">
        <f t="array" ref="Y183">IFERROR(_xlfn.XLOOKUP('01_Input_Raw_Products'!F183,'10_Master_Gem_Types'!A:A,'10_Master_Gem_Types'!I:I),"")</f>
        <v>0</v>
      </c>
      <c r="Z183" s="9" cm="1">
        <f t="array" ref="Z183">IFERROR(_xlfn.XLOOKUP('01_Input_Raw_Products'!L183,'13_Certification_Stickers'!A:A,'13_Certification_Stickers'!C:C),"")</f>
        <v>0</v>
      </c>
      <c r="AA183" s="9" cm="1">
        <f t="array" ref="AA183">IFERROR(_xlfn.XLOOKUP('01_Input_Raw_Products'!S183,'14_Shipping_Rules'!A:A,'14_Shipping_Rules'!B:B),"")</f>
        <v>0</v>
      </c>
      <c r="AB183" s="9" cm="1">
        <f t="array" ref="AB183">IFERROR(_xlfn.XLOOKUP('01_Input_Raw_Products'!D183,'16_Astro_Flags'!A:A,'16_Astro_Flags'!B:B),"")</f>
        <v>0</v>
      </c>
      <c r="AC183" s="9">
        <f>IF(C183="","","Catalog, Search")</f>
        <v>0</v>
      </c>
      <c r="AD183" s="9">
        <f>IF(C183="","",IF(OR(F183="",J183="",M183="",S183="",Y183=""),"Manual Review","Ready"))</f>
        <v>0</v>
      </c>
      <c r="AE183" s="9">
        <f>IF(C183="","",TEXTJOIN("; ",TRUE,IF(F183="","Missing url_key",""),IF(J183="","Missing classification",""),IF(M183="","Missing j_colour",""),IF(S183="","Missing hsn_code",""),IF(Y183="","Missing tax_class_id","")))</f>
        <v>0</v>
      </c>
    </row>
    <row r="184" spans="1:31">
      <c r="A184" s="9">
        <f>IF('01_Input_Raw_Products'!B184&lt;&gt;"",20,"")</f>
        <v>0</v>
      </c>
      <c r="B184" s="9" cm="1">
        <f t="array" ref="B184">IF('01_Input_Raw_Products'!M184&lt;&gt;"",'01_Input_Raw_Products'!M184,IFERROR(_xlfn.XLOOKUP('01_Input_Raw_Products'!F184,'10_Master_Gem_Types'!A:A,'10_Master_Gem_Types'!K:K),""))</f>
        <v>0</v>
      </c>
      <c r="C184" s="9">
        <f>'01_Input_Raw_Products'!B184</f>
        <v>0</v>
      </c>
      <c r="D184" s="9">
        <f>IF(C184="","",TEXT(I184,"0.00")&amp;" Ct "&amp;IF('01_Input_Raw_Products'!F184&lt;&gt;"",'01_Input_Raw_Products'!F184,'01_Input_Raw_Products'!D184)&amp;" "&amp;'01_Input_Raw_Products'!I184)</f>
        <v>0</v>
      </c>
      <c r="E184" s="9">
        <f>IF(C184="","",D184&amp;" | GemPundit")</f>
        <v>0</v>
      </c>
      <c r="F184" s="9" cm="1">
        <f t="array" ref="F184">IF('01_Input_Raw_Products'!X184&lt;&gt;"",'01_Input_Raw_Products'!X184,IFERROR(_xlfn.XLOOKUP('01_Input_Raw_Products'!F184,'10_Master_Gem_Types'!A:A,'10_Master_Gem_Types'!O:O),LOWER(SUBSTITUTE(IF('01_Input_Raw_Products'!F184&lt;&gt;"",'01_Input_Raw_Products'!F184,'01_Input_Raw_Products'!D184)," ","-"))))</f>
        <v>0</v>
      </c>
      <c r="G184" s="9">
        <f>'01_Input_Raw_Products'!C184</f>
        <v>0</v>
      </c>
      <c r="H184" s="9" cm="1">
        <f t="array" ref="H184">IF('01_Input_Raw_Products'!H184&lt;&gt;"",'01_Input_Raw_Products'!H184,IFERROR(_xlfn.XLOOKUP('01_Input_Raw_Products'!F184,'10_Master_Gem_Types'!A:A,'10_Master_Gem_Types'!D:D),""))</f>
        <v>0</v>
      </c>
      <c r="I184" s="7">
        <f>IF('01_Input_Raw_Products'!N184&lt;&gt;"",'01_Input_Raw_Products'!N184,IF('01_Input_Raw_Products'!O184&lt;&gt;"",'01_Input_Raw_Products'!O184*0.91,""))</f>
        <v>0</v>
      </c>
      <c r="J184" s="9" cm="1">
        <f t="array" ref="J184">IFERROR(_xlfn.XLOOKUP('01_Input_Raw_Products'!F184,'10_Master_Gem_Types'!A:A,'10_Master_Gem_Types'!N:N),"")</f>
        <v>0</v>
      </c>
      <c r="K184" s="9" cm="1">
        <f t="array" ref="K184">IF('01_Input_Raw_Products'!J184&lt;&gt;"",'01_Input_Raw_Products'!J184,IFERROR(_xlfn.XLOOKUP('01_Input_Raw_Products'!F184,'10_Master_Gem_Types'!A:A,'10_Master_Gem_Types'!E:E),""))</f>
        <v>0</v>
      </c>
      <c r="L184" s="9">
        <f>'01_Input_Raw_Products'!P184</f>
        <v>0</v>
      </c>
      <c r="M184" s="9" cm="1">
        <f t="array" ref="M184">IFERROR(_xlfn.XLOOKUP('01_Input_Raw_Products'!K184,'12_Color_Mapping'!A:A,'12_Color_Mapping'!B:B),IFERROR(_xlfn.XLOOKUP('01_Input_Raw_Products'!F184,'10_Master_Gem_Types'!A:A,'10_Master_Gem_Types'!F:F),""))</f>
        <v>0</v>
      </c>
      <c r="N184" s="9">
        <f>IF(C184="","",IF('01_Input_Raw_Products'!F184&lt;&gt;"",'01_Input_Raw_Products'!F184,'01_Input_Raw_Products'!D184))</f>
        <v>0</v>
      </c>
      <c r="O184" s="9">
        <f>IF(C184="","","Catalog Automation")</f>
        <v>0</v>
      </c>
      <c r="P184" s="9">
        <f>'01_Input_Raw_Products'!U184</f>
        <v>0</v>
      </c>
      <c r="Q184" s="7">
        <f>IF('01_Input_Raw_Products'!O184&lt;&gt;"",'01_Input_Raw_Products'!O184,IF('01_Input_Raw_Products'!N184&lt;&gt;"",'01_Input_Raw_Products'!N184*1.1,""))</f>
        <v>0</v>
      </c>
      <c r="R184" s="9">
        <f>'01_Input_Raw_Products'!S184</f>
        <v>0</v>
      </c>
      <c r="S184" s="9" cm="1">
        <f t="array" ref="S184">IFERROR(_xlfn.XLOOKUP('01_Input_Raw_Products'!F184,'10_Master_Gem_Types'!A:A,'10_Master_Gem_Types'!H:H),"")</f>
        <v>0</v>
      </c>
      <c r="T184" s="8">
        <f>'01_Input_Raw_Products'!Q184</f>
        <v>0</v>
      </c>
      <c r="U184" s="8">
        <f>'01_Input_Raw_Products'!R184</f>
        <v>0</v>
      </c>
      <c r="V184" s="7">
        <f>I184</f>
        <v>0</v>
      </c>
      <c r="W184" s="9" cm="1">
        <f t="array" ref="W184">IF('01_Input_Raw_Products'!G184&lt;&gt;"",'01_Input_Raw_Products'!G184,IFERROR(_xlfn.XLOOKUP('01_Input_Raw_Products'!F184,'10_Master_Gem_Types'!A:A,'10_Master_Gem_Types'!L:L),""))</f>
        <v>0</v>
      </c>
      <c r="X184" s="9" cm="1">
        <f t="array" ref="X184">IFERROR(_xlfn.XLOOKUP('01_Input_Raw_Products'!F184,'10_Master_Gem_Types'!A:A,'10_Master_Gem_Types'!J:J),"")</f>
        <v>0</v>
      </c>
      <c r="Y184" s="9" cm="1">
        <f t="array" ref="Y184">IFERROR(_xlfn.XLOOKUP('01_Input_Raw_Products'!F184,'10_Master_Gem_Types'!A:A,'10_Master_Gem_Types'!I:I),"")</f>
        <v>0</v>
      </c>
      <c r="Z184" s="9" cm="1">
        <f t="array" ref="Z184">IFERROR(_xlfn.XLOOKUP('01_Input_Raw_Products'!L184,'13_Certification_Stickers'!A:A,'13_Certification_Stickers'!C:C),"")</f>
        <v>0</v>
      </c>
      <c r="AA184" s="9" cm="1">
        <f t="array" ref="AA184">IFERROR(_xlfn.XLOOKUP('01_Input_Raw_Products'!S184,'14_Shipping_Rules'!A:A,'14_Shipping_Rules'!B:B),"")</f>
        <v>0</v>
      </c>
      <c r="AB184" s="9" cm="1">
        <f t="array" ref="AB184">IFERROR(_xlfn.XLOOKUP('01_Input_Raw_Products'!D184,'16_Astro_Flags'!A:A,'16_Astro_Flags'!B:B),"")</f>
        <v>0</v>
      </c>
      <c r="AC184" s="9">
        <f>IF(C184="","","Catalog, Search")</f>
        <v>0</v>
      </c>
      <c r="AD184" s="9">
        <f>IF(C184="","",IF(OR(F184="",J184="",M184="",S184="",Y184=""),"Manual Review","Ready"))</f>
        <v>0</v>
      </c>
      <c r="AE184" s="9">
        <f>IF(C184="","",TEXTJOIN("; ",TRUE,IF(F184="","Missing url_key",""),IF(J184="","Missing classification",""),IF(M184="","Missing j_colour",""),IF(S184="","Missing hsn_code",""),IF(Y184="","Missing tax_class_id","")))</f>
        <v>0</v>
      </c>
    </row>
    <row r="185" spans="1:31">
      <c r="A185" s="9">
        <f>IF('01_Input_Raw_Products'!B185&lt;&gt;"",20,"")</f>
        <v>0</v>
      </c>
      <c r="B185" s="9" cm="1">
        <f t="array" ref="B185">IF('01_Input_Raw_Products'!M185&lt;&gt;"",'01_Input_Raw_Products'!M185,IFERROR(_xlfn.XLOOKUP('01_Input_Raw_Products'!F185,'10_Master_Gem_Types'!A:A,'10_Master_Gem_Types'!K:K),""))</f>
        <v>0</v>
      </c>
      <c r="C185" s="9">
        <f>'01_Input_Raw_Products'!B185</f>
        <v>0</v>
      </c>
      <c r="D185" s="9">
        <f>IF(C185="","",TEXT(I185,"0.00")&amp;" Ct "&amp;IF('01_Input_Raw_Products'!F185&lt;&gt;"",'01_Input_Raw_Products'!F185,'01_Input_Raw_Products'!D185)&amp;" "&amp;'01_Input_Raw_Products'!I185)</f>
        <v>0</v>
      </c>
      <c r="E185" s="9">
        <f>IF(C185="","",D185&amp;" | GemPundit")</f>
        <v>0</v>
      </c>
      <c r="F185" s="9" cm="1">
        <f t="array" ref="F185">IF('01_Input_Raw_Products'!X185&lt;&gt;"",'01_Input_Raw_Products'!X185,IFERROR(_xlfn.XLOOKUP('01_Input_Raw_Products'!F185,'10_Master_Gem_Types'!A:A,'10_Master_Gem_Types'!O:O),LOWER(SUBSTITUTE(IF('01_Input_Raw_Products'!F185&lt;&gt;"",'01_Input_Raw_Products'!F185,'01_Input_Raw_Products'!D185)," ","-"))))</f>
        <v>0</v>
      </c>
      <c r="G185" s="9">
        <f>'01_Input_Raw_Products'!C185</f>
        <v>0</v>
      </c>
      <c r="H185" s="9" cm="1">
        <f t="array" ref="H185">IF('01_Input_Raw_Products'!H185&lt;&gt;"",'01_Input_Raw_Products'!H185,IFERROR(_xlfn.XLOOKUP('01_Input_Raw_Products'!F185,'10_Master_Gem_Types'!A:A,'10_Master_Gem_Types'!D:D),""))</f>
        <v>0</v>
      </c>
      <c r="I185" s="7">
        <f>IF('01_Input_Raw_Products'!N185&lt;&gt;"",'01_Input_Raw_Products'!N185,IF('01_Input_Raw_Products'!O185&lt;&gt;"",'01_Input_Raw_Products'!O185*0.91,""))</f>
        <v>0</v>
      </c>
      <c r="J185" s="9" cm="1">
        <f t="array" ref="J185">IFERROR(_xlfn.XLOOKUP('01_Input_Raw_Products'!F185,'10_Master_Gem_Types'!A:A,'10_Master_Gem_Types'!N:N),"")</f>
        <v>0</v>
      </c>
      <c r="K185" s="9" cm="1">
        <f t="array" ref="K185">IF('01_Input_Raw_Products'!J185&lt;&gt;"",'01_Input_Raw_Products'!J185,IFERROR(_xlfn.XLOOKUP('01_Input_Raw_Products'!F185,'10_Master_Gem_Types'!A:A,'10_Master_Gem_Types'!E:E),""))</f>
        <v>0</v>
      </c>
      <c r="L185" s="9">
        <f>'01_Input_Raw_Products'!P185</f>
        <v>0</v>
      </c>
      <c r="M185" s="9" cm="1">
        <f t="array" ref="M185">IFERROR(_xlfn.XLOOKUP('01_Input_Raw_Products'!K185,'12_Color_Mapping'!A:A,'12_Color_Mapping'!B:B),IFERROR(_xlfn.XLOOKUP('01_Input_Raw_Products'!F185,'10_Master_Gem_Types'!A:A,'10_Master_Gem_Types'!F:F),""))</f>
        <v>0</v>
      </c>
      <c r="N185" s="9">
        <f>IF(C185="","",IF('01_Input_Raw_Products'!F185&lt;&gt;"",'01_Input_Raw_Products'!F185,'01_Input_Raw_Products'!D185))</f>
        <v>0</v>
      </c>
      <c r="O185" s="9">
        <f>IF(C185="","","Catalog Automation")</f>
        <v>0</v>
      </c>
      <c r="P185" s="9">
        <f>'01_Input_Raw_Products'!U185</f>
        <v>0</v>
      </c>
      <c r="Q185" s="7">
        <f>IF('01_Input_Raw_Products'!O185&lt;&gt;"",'01_Input_Raw_Products'!O185,IF('01_Input_Raw_Products'!N185&lt;&gt;"",'01_Input_Raw_Products'!N185*1.1,""))</f>
        <v>0</v>
      </c>
      <c r="R185" s="9">
        <f>'01_Input_Raw_Products'!S185</f>
        <v>0</v>
      </c>
      <c r="S185" s="9" cm="1">
        <f t="array" ref="S185">IFERROR(_xlfn.XLOOKUP('01_Input_Raw_Products'!F185,'10_Master_Gem_Types'!A:A,'10_Master_Gem_Types'!H:H),"")</f>
        <v>0</v>
      </c>
      <c r="T185" s="8">
        <f>'01_Input_Raw_Products'!Q185</f>
        <v>0</v>
      </c>
      <c r="U185" s="8">
        <f>'01_Input_Raw_Products'!R185</f>
        <v>0</v>
      </c>
      <c r="V185" s="7">
        <f>I185</f>
        <v>0</v>
      </c>
      <c r="W185" s="9" cm="1">
        <f t="array" ref="W185">IF('01_Input_Raw_Products'!G185&lt;&gt;"",'01_Input_Raw_Products'!G185,IFERROR(_xlfn.XLOOKUP('01_Input_Raw_Products'!F185,'10_Master_Gem_Types'!A:A,'10_Master_Gem_Types'!L:L),""))</f>
        <v>0</v>
      </c>
      <c r="X185" s="9" cm="1">
        <f t="array" ref="X185">IFERROR(_xlfn.XLOOKUP('01_Input_Raw_Products'!F185,'10_Master_Gem_Types'!A:A,'10_Master_Gem_Types'!J:J),"")</f>
        <v>0</v>
      </c>
      <c r="Y185" s="9" cm="1">
        <f t="array" ref="Y185">IFERROR(_xlfn.XLOOKUP('01_Input_Raw_Products'!F185,'10_Master_Gem_Types'!A:A,'10_Master_Gem_Types'!I:I),"")</f>
        <v>0</v>
      </c>
      <c r="Z185" s="9" cm="1">
        <f t="array" ref="Z185">IFERROR(_xlfn.XLOOKUP('01_Input_Raw_Products'!L185,'13_Certification_Stickers'!A:A,'13_Certification_Stickers'!C:C),"")</f>
        <v>0</v>
      </c>
      <c r="AA185" s="9" cm="1">
        <f t="array" ref="AA185">IFERROR(_xlfn.XLOOKUP('01_Input_Raw_Products'!S185,'14_Shipping_Rules'!A:A,'14_Shipping_Rules'!B:B),"")</f>
        <v>0</v>
      </c>
      <c r="AB185" s="9" cm="1">
        <f t="array" ref="AB185">IFERROR(_xlfn.XLOOKUP('01_Input_Raw_Products'!D185,'16_Astro_Flags'!A:A,'16_Astro_Flags'!B:B),"")</f>
        <v>0</v>
      </c>
      <c r="AC185" s="9">
        <f>IF(C185="","","Catalog, Search")</f>
        <v>0</v>
      </c>
      <c r="AD185" s="9">
        <f>IF(C185="","",IF(OR(F185="",J185="",M185="",S185="",Y185=""),"Manual Review","Ready"))</f>
        <v>0</v>
      </c>
      <c r="AE185" s="9">
        <f>IF(C185="","",TEXTJOIN("; ",TRUE,IF(F185="","Missing url_key",""),IF(J185="","Missing classification",""),IF(M185="","Missing j_colour",""),IF(S185="","Missing hsn_code",""),IF(Y185="","Missing tax_class_id","")))</f>
        <v>0</v>
      </c>
    </row>
    <row r="186" spans="1:31">
      <c r="A186" s="9">
        <f>IF('01_Input_Raw_Products'!B186&lt;&gt;"",20,"")</f>
        <v>0</v>
      </c>
      <c r="B186" s="9" cm="1">
        <f t="array" ref="B186">IF('01_Input_Raw_Products'!M186&lt;&gt;"",'01_Input_Raw_Products'!M186,IFERROR(_xlfn.XLOOKUP('01_Input_Raw_Products'!F186,'10_Master_Gem_Types'!A:A,'10_Master_Gem_Types'!K:K),""))</f>
        <v>0</v>
      </c>
      <c r="C186" s="9">
        <f>'01_Input_Raw_Products'!B186</f>
        <v>0</v>
      </c>
      <c r="D186" s="9">
        <f>IF(C186="","",TEXT(I186,"0.00")&amp;" Ct "&amp;IF('01_Input_Raw_Products'!F186&lt;&gt;"",'01_Input_Raw_Products'!F186,'01_Input_Raw_Products'!D186)&amp;" "&amp;'01_Input_Raw_Products'!I186)</f>
        <v>0</v>
      </c>
      <c r="E186" s="9">
        <f>IF(C186="","",D186&amp;" | GemPundit")</f>
        <v>0</v>
      </c>
      <c r="F186" s="9" cm="1">
        <f t="array" ref="F186">IF('01_Input_Raw_Products'!X186&lt;&gt;"",'01_Input_Raw_Products'!X186,IFERROR(_xlfn.XLOOKUP('01_Input_Raw_Products'!F186,'10_Master_Gem_Types'!A:A,'10_Master_Gem_Types'!O:O),LOWER(SUBSTITUTE(IF('01_Input_Raw_Products'!F186&lt;&gt;"",'01_Input_Raw_Products'!F186,'01_Input_Raw_Products'!D186)," ","-"))))</f>
        <v>0</v>
      </c>
      <c r="G186" s="9">
        <f>'01_Input_Raw_Products'!C186</f>
        <v>0</v>
      </c>
      <c r="H186" s="9" cm="1">
        <f t="array" ref="H186">IF('01_Input_Raw_Products'!H186&lt;&gt;"",'01_Input_Raw_Products'!H186,IFERROR(_xlfn.XLOOKUP('01_Input_Raw_Products'!F186,'10_Master_Gem_Types'!A:A,'10_Master_Gem_Types'!D:D),""))</f>
        <v>0</v>
      </c>
      <c r="I186" s="7">
        <f>IF('01_Input_Raw_Products'!N186&lt;&gt;"",'01_Input_Raw_Products'!N186,IF('01_Input_Raw_Products'!O186&lt;&gt;"",'01_Input_Raw_Products'!O186*0.91,""))</f>
        <v>0</v>
      </c>
      <c r="J186" s="9" cm="1">
        <f t="array" ref="J186">IFERROR(_xlfn.XLOOKUP('01_Input_Raw_Products'!F186,'10_Master_Gem_Types'!A:A,'10_Master_Gem_Types'!N:N),"")</f>
        <v>0</v>
      </c>
      <c r="K186" s="9" cm="1">
        <f t="array" ref="K186">IF('01_Input_Raw_Products'!J186&lt;&gt;"",'01_Input_Raw_Products'!J186,IFERROR(_xlfn.XLOOKUP('01_Input_Raw_Products'!F186,'10_Master_Gem_Types'!A:A,'10_Master_Gem_Types'!E:E),""))</f>
        <v>0</v>
      </c>
      <c r="L186" s="9">
        <f>'01_Input_Raw_Products'!P186</f>
        <v>0</v>
      </c>
      <c r="M186" s="9" cm="1">
        <f t="array" ref="M186">IFERROR(_xlfn.XLOOKUP('01_Input_Raw_Products'!K186,'12_Color_Mapping'!A:A,'12_Color_Mapping'!B:B),IFERROR(_xlfn.XLOOKUP('01_Input_Raw_Products'!F186,'10_Master_Gem_Types'!A:A,'10_Master_Gem_Types'!F:F),""))</f>
        <v>0</v>
      </c>
      <c r="N186" s="9">
        <f>IF(C186="","",IF('01_Input_Raw_Products'!F186&lt;&gt;"",'01_Input_Raw_Products'!F186,'01_Input_Raw_Products'!D186))</f>
        <v>0</v>
      </c>
      <c r="O186" s="9">
        <f>IF(C186="","","Catalog Automation")</f>
        <v>0</v>
      </c>
      <c r="P186" s="9">
        <f>'01_Input_Raw_Products'!U186</f>
        <v>0</v>
      </c>
      <c r="Q186" s="7">
        <f>IF('01_Input_Raw_Products'!O186&lt;&gt;"",'01_Input_Raw_Products'!O186,IF('01_Input_Raw_Products'!N186&lt;&gt;"",'01_Input_Raw_Products'!N186*1.1,""))</f>
        <v>0</v>
      </c>
      <c r="R186" s="9">
        <f>'01_Input_Raw_Products'!S186</f>
        <v>0</v>
      </c>
      <c r="S186" s="9" cm="1">
        <f t="array" ref="S186">IFERROR(_xlfn.XLOOKUP('01_Input_Raw_Products'!F186,'10_Master_Gem_Types'!A:A,'10_Master_Gem_Types'!H:H),"")</f>
        <v>0</v>
      </c>
      <c r="T186" s="8">
        <f>'01_Input_Raw_Products'!Q186</f>
        <v>0</v>
      </c>
      <c r="U186" s="8">
        <f>'01_Input_Raw_Products'!R186</f>
        <v>0</v>
      </c>
      <c r="V186" s="7">
        <f>I186</f>
        <v>0</v>
      </c>
      <c r="W186" s="9" cm="1">
        <f t="array" ref="W186">IF('01_Input_Raw_Products'!G186&lt;&gt;"",'01_Input_Raw_Products'!G186,IFERROR(_xlfn.XLOOKUP('01_Input_Raw_Products'!F186,'10_Master_Gem_Types'!A:A,'10_Master_Gem_Types'!L:L),""))</f>
        <v>0</v>
      </c>
      <c r="X186" s="9" cm="1">
        <f t="array" ref="X186">IFERROR(_xlfn.XLOOKUP('01_Input_Raw_Products'!F186,'10_Master_Gem_Types'!A:A,'10_Master_Gem_Types'!J:J),"")</f>
        <v>0</v>
      </c>
      <c r="Y186" s="9" cm="1">
        <f t="array" ref="Y186">IFERROR(_xlfn.XLOOKUP('01_Input_Raw_Products'!F186,'10_Master_Gem_Types'!A:A,'10_Master_Gem_Types'!I:I),"")</f>
        <v>0</v>
      </c>
      <c r="Z186" s="9" cm="1">
        <f t="array" ref="Z186">IFERROR(_xlfn.XLOOKUP('01_Input_Raw_Products'!L186,'13_Certification_Stickers'!A:A,'13_Certification_Stickers'!C:C),"")</f>
        <v>0</v>
      </c>
      <c r="AA186" s="9" cm="1">
        <f t="array" ref="AA186">IFERROR(_xlfn.XLOOKUP('01_Input_Raw_Products'!S186,'14_Shipping_Rules'!A:A,'14_Shipping_Rules'!B:B),"")</f>
        <v>0</v>
      </c>
      <c r="AB186" s="9" cm="1">
        <f t="array" ref="AB186">IFERROR(_xlfn.XLOOKUP('01_Input_Raw_Products'!D186,'16_Astro_Flags'!A:A,'16_Astro_Flags'!B:B),"")</f>
        <v>0</v>
      </c>
      <c r="AC186" s="9">
        <f>IF(C186="","","Catalog, Search")</f>
        <v>0</v>
      </c>
      <c r="AD186" s="9">
        <f>IF(C186="","",IF(OR(F186="",J186="",M186="",S186="",Y186=""),"Manual Review","Ready"))</f>
        <v>0</v>
      </c>
      <c r="AE186" s="9">
        <f>IF(C186="","",TEXTJOIN("; ",TRUE,IF(F186="","Missing url_key",""),IF(J186="","Missing classification",""),IF(M186="","Missing j_colour",""),IF(S186="","Missing hsn_code",""),IF(Y186="","Missing tax_class_id","")))</f>
        <v>0</v>
      </c>
    </row>
    <row r="187" spans="1:31">
      <c r="A187" s="9">
        <f>IF('01_Input_Raw_Products'!B187&lt;&gt;"",20,"")</f>
        <v>0</v>
      </c>
      <c r="B187" s="9" cm="1">
        <f t="array" ref="B187">IF('01_Input_Raw_Products'!M187&lt;&gt;"",'01_Input_Raw_Products'!M187,IFERROR(_xlfn.XLOOKUP('01_Input_Raw_Products'!F187,'10_Master_Gem_Types'!A:A,'10_Master_Gem_Types'!K:K),""))</f>
        <v>0</v>
      </c>
      <c r="C187" s="9">
        <f>'01_Input_Raw_Products'!B187</f>
        <v>0</v>
      </c>
      <c r="D187" s="9">
        <f>IF(C187="","",TEXT(I187,"0.00")&amp;" Ct "&amp;IF('01_Input_Raw_Products'!F187&lt;&gt;"",'01_Input_Raw_Products'!F187,'01_Input_Raw_Products'!D187)&amp;" "&amp;'01_Input_Raw_Products'!I187)</f>
        <v>0</v>
      </c>
      <c r="E187" s="9">
        <f>IF(C187="","",D187&amp;" | GemPundit")</f>
        <v>0</v>
      </c>
      <c r="F187" s="9" cm="1">
        <f t="array" ref="F187">IF('01_Input_Raw_Products'!X187&lt;&gt;"",'01_Input_Raw_Products'!X187,IFERROR(_xlfn.XLOOKUP('01_Input_Raw_Products'!F187,'10_Master_Gem_Types'!A:A,'10_Master_Gem_Types'!O:O),LOWER(SUBSTITUTE(IF('01_Input_Raw_Products'!F187&lt;&gt;"",'01_Input_Raw_Products'!F187,'01_Input_Raw_Products'!D187)," ","-"))))</f>
        <v>0</v>
      </c>
      <c r="G187" s="9">
        <f>'01_Input_Raw_Products'!C187</f>
        <v>0</v>
      </c>
      <c r="H187" s="9" cm="1">
        <f t="array" ref="H187">IF('01_Input_Raw_Products'!H187&lt;&gt;"",'01_Input_Raw_Products'!H187,IFERROR(_xlfn.XLOOKUP('01_Input_Raw_Products'!F187,'10_Master_Gem_Types'!A:A,'10_Master_Gem_Types'!D:D),""))</f>
        <v>0</v>
      </c>
      <c r="I187" s="7">
        <f>IF('01_Input_Raw_Products'!N187&lt;&gt;"",'01_Input_Raw_Products'!N187,IF('01_Input_Raw_Products'!O187&lt;&gt;"",'01_Input_Raw_Products'!O187*0.91,""))</f>
        <v>0</v>
      </c>
      <c r="J187" s="9" cm="1">
        <f t="array" ref="J187">IFERROR(_xlfn.XLOOKUP('01_Input_Raw_Products'!F187,'10_Master_Gem_Types'!A:A,'10_Master_Gem_Types'!N:N),"")</f>
        <v>0</v>
      </c>
      <c r="K187" s="9" cm="1">
        <f t="array" ref="K187">IF('01_Input_Raw_Products'!J187&lt;&gt;"",'01_Input_Raw_Products'!J187,IFERROR(_xlfn.XLOOKUP('01_Input_Raw_Products'!F187,'10_Master_Gem_Types'!A:A,'10_Master_Gem_Types'!E:E),""))</f>
        <v>0</v>
      </c>
      <c r="L187" s="9">
        <f>'01_Input_Raw_Products'!P187</f>
        <v>0</v>
      </c>
      <c r="M187" s="9" cm="1">
        <f t="array" ref="M187">IFERROR(_xlfn.XLOOKUP('01_Input_Raw_Products'!K187,'12_Color_Mapping'!A:A,'12_Color_Mapping'!B:B),IFERROR(_xlfn.XLOOKUP('01_Input_Raw_Products'!F187,'10_Master_Gem_Types'!A:A,'10_Master_Gem_Types'!F:F),""))</f>
        <v>0</v>
      </c>
      <c r="N187" s="9">
        <f>IF(C187="","",IF('01_Input_Raw_Products'!F187&lt;&gt;"",'01_Input_Raw_Products'!F187,'01_Input_Raw_Products'!D187))</f>
        <v>0</v>
      </c>
      <c r="O187" s="9">
        <f>IF(C187="","","Catalog Automation")</f>
        <v>0</v>
      </c>
      <c r="P187" s="9">
        <f>'01_Input_Raw_Products'!U187</f>
        <v>0</v>
      </c>
      <c r="Q187" s="7">
        <f>IF('01_Input_Raw_Products'!O187&lt;&gt;"",'01_Input_Raw_Products'!O187,IF('01_Input_Raw_Products'!N187&lt;&gt;"",'01_Input_Raw_Products'!N187*1.1,""))</f>
        <v>0</v>
      </c>
      <c r="R187" s="9">
        <f>'01_Input_Raw_Products'!S187</f>
        <v>0</v>
      </c>
      <c r="S187" s="9" cm="1">
        <f t="array" ref="S187">IFERROR(_xlfn.XLOOKUP('01_Input_Raw_Products'!F187,'10_Master_Gem_Types'!A:A,'10_Master_Gem_Types'!H:H),"")</f>
        <v>0</v>
      </c>
      <c r="T187" s="8">
        <f>'01_Input_Raw_Products'!Q187</f>
        <v>0</v>
      </c>
      <c r="U187" s="8">
        <f>'01_Input_Raw_Products'!R187</f>
        <v>0</v>
      </c>
      <c r="V187" s="7">
        <f>I187</f>
        <v>0</v>
      </c>
      <c r="W187" s="9" cm="1">
        <f t="array" ref="W187">IF('01_Input_Raw_Products'!G187&lt;&gt;"",'01_Input_Raw_Products'!G187,IFERROR(_xlfn.XLOOKUP('01_Input_Raw_Products'!F187,'10_Master_Gem_Types'!A:A,'10_Master_Gem_Types'!L:L),""))</f>
        <v>0</v>
      </c>
      <c r="X187" s="9" cm="1">
        <f t="array" ref="X187">IFERROR(_xlfn.XLOOKUP('01_Input_Raw_Products'!F187,'10_Master_Gem_Types'!A:A,'10_Master_Gem_Types'!J:J),"")</f>
        <v>0</v>
      </c>
      <c r="Y187" s="9" cm="1">
        <f t="array" ref="Y187">IFERROR(_xlfn.XLOOKUP('01_Input_Raw_Products'!F187,'10_Master_Gem_Types'!A:A,'10_Master_Gem_Types'!I:I),"")</f>
        <v>0</v>
      </c>
      <c r="Z187" s="9" cm="1">
        <f t="array" ref="Z187">IFERROR(_xlfn.XLOOKUP('01_Input_Raw_Products'!L187,'13_Certification_Stickers'!A:A,'13_Certification_Stickers'!C:C),"")</f>
        <v>0</v>
      </c>
      <c r="AA187" s="9" cm="1">
        <f t="array" ref="AA187">IFERROR(_xlfn.XLOOKUP('01_Input_Raw_Products'!S187,'14_Shipping_Rules'!A:A,'14_Shipping_Rules'!B:B),"")</f>
        <v>0</v>
      </c>
      <c r="AB187" s="9" cm="1">
        <f t="array" ref="AB187">IFERROR(_xlfn.XLOOKUP('01_Input_Raw_Products'!D187,'16_Astro_Flags'!A:A,'16_Astro_Flags'!B:B),"")</f>
        <v>0</v>
      </c>
      <c r="AC187" s="9">
        <f>IF(C187="","","Catalog, Search")</f>
        <v>0</v>
      </c>
      <c r="AD187" s="9">
        <f>IF(C187="","",IF(OR(F187="",J187="",M187="",S187="",Y187=""),"Manual Review","Ready"))</f>
        <v>0</v>
      </c>
      <c r="AE187" s="9">
        <f>IF(C187="","",TEXTJOIN("; ",TRUE,IF(F187="","Missing url_key",""),IF(J187="","Missing classification",""),IF(M187="","Missing j_colour",""),IF(S187="","Missing hsn_code",""),IF(Y187="","Missing tax_class_id","")))</f>
        <v>0</v>
      </c>
    </row>
    <row r="188" spans="1:31">
      <c r="A188" s="9">
        <f>IF('01_Input_Raw_Products'!B188&lt;&gt;"",20,"")</f>
        <v>0</v>
      </c>
      <c r="B188" s="9" cm="1">
        <f t="array" ref="B188">IF('01_Input_Raw_Products'!M188&lt;&gt;"",'01_Input_Raw_Products'!M188,IFERROR(_xlfn.XLOOKUP('01_Input_Raw_Products'!F188,'10_Master_Gem_Types'!A:A,'10_Master_Gem_Types'!K:K),""))</f>
        <v>0</v>
      </c>
      <c r="C188" s="9">
        <f>'01_Input_Raw_Products'!B188</f>
        <v>0</v>
      </c>
      <c r="D188" s="9">
        <f>IF(C188="","",TEXT(I188,"0.00")&amp;" Ct "&amp;IF('01_Input_Raw_Products'!F188&lt;&gt;"",'01_Input_Raw_Products'!F188,'01_Input_Raw_Products'!D188)&amp;" "&amp;'01_Input_Raw_Products'!I188)</f>
        <v>0</v>
      </c>
      <c r="E188" s="9">
        <f>IF(C188="","",D188&amp;" | GemPundit")</f>
        <v>0</v>
      </c>
      <c r="F188" s="9" cm="1">
        <f t="array" ref="F188">IF('01_Input_Raw_Products'!X188&lt;&gt;"",'01_Input_Raw_Products'!X188,IFERROR(_xlfn.XLOOKUP('01_Input_Raw_Products'!F188,'10_Master_Gem_Types'!A:A,'10_Master_Gem_Types'!O:O),LOWER(SUBSTITUTE(IF('01_Input_Raw_Products'!F188&lt;&gt;"",'01_Input_Raw_Products'!F188,'01_Input_Raw_Products'!D188)," ","-"))))</f>
        <v>0</v>
      </c>
      <c r="G188" s="9">
        <f>'01_Input_Raw_Products'!C188</f>
        <v>0</v>
      </c>
      <c r="H188" s="9" cm="1">
        <f t="array" ref="H188">IF('01_Input_Raw_Products'!H188&lt;&gt;"",'01_Input_Raw_Products'!H188,IFERROR(_xlfn.XLOOKUP('01_Input_Raw_Products'!F188,'10_Master_Gem_Types'!A:A,'10_Master_Gem_Types'!D:D),""))</f>
        <v>0</v>
      </c>
      <c r="I188" s="7">
        <f>IF('01_Input_Raw_Products'!N188&lt;&gt;"",'01_Input_Raw_Products'!N188,IF('01_Input_Raw_Products'!O188&lt;&gt;"",'01_Input_Raw_Products'!O188*0.91,""))</f>
        <v>0</v>
      </c>
      <c r="J188" s="9" cm="1">
        <f t="array" ref="J188">IFERROR(_xlfn.XLOOKUP('01_Input_Raw_Products'!F188,'10_Master_Gem_Types'!A:A,'10_Master_Gem_Types'!N:N),"")</f>
        <v>0</v>
      </c>
      <c r="K188" s="9" cm="1">
        <f t="array" ref="K188">IF('01_Input_Raw_Products'!J188&lt;&gt;"",'01_Input_Raw_Products'!J188,IFERROR(_xlfn.XLOOKUP('01_Input_Raw_Products'!F188,'10_Master_Gem_Types'!A:A,'10_Master_Gem_Types'!E:E),""))</f>
        <v>0</v>
      </c>
      <c r="L188" s="9">
        <f>'01_Input_Raw_Products'!P188</f>
        <v>0</v>
      </c>
      <c r="M188" s="9" cm="1">
        <f t="array" ref="M188">IFERROR(_xlfn.XLOOKUP('01_Input_Raw_Products'!K188,'12_Color_Mapping'!A:A,'12_Color_Mapping'!B:B),IFERROR(_xlfn.XLOOKUP('01_Input_Raw_Products'!F188,'10_Master_Gem_Types'!A:A,'10_Master_Gem_Types'!F:F),""))</f>
        <v>0</v>
      </c>
      <c r="N188" s="9">
        <f>IF(C188="","",IF('01_Input_Raw_Products'!F188&lt;&gt;"",'01_Input_Raw_Products'!F188,'01_Input_Raw_Products'!D188))</f>
        <v>0</v>
      </c>
      <c r="O188" s="9">
        <f>IF(C188="","","Catalog Automation")</f>
        <v>0</v>
      </c>
      <c r="P188" s="9">
        <f>'01_Input_Raw_Products'!U188</f>
        <v>0</v>
      </c>
      <c r="Q188" s="7">
        <f>IF('01_Input_Raw_Products'!O188&lt;&gt;"",'01_Input_Raw_Products'!O188,IF('01_Input_Raw_Products'!N188&lt;&gt;"",'01_Input_Raw_Products'!N188*1.1,""))</f>
        <v>0</v>
      </c>
      <c r="R188" s="9">
        <f>'01_Input_Raw_Products'!S188</f>
        <v>0</v>
      </c>
      <c r="S188" s="9" cm="1">
        <f t="array" ref="S188">IFERROR(_xlfn.XLOOKUP('01_Input_Raw_Products'!F188,'10_Master_Gem_Types'!A:A,'10_Master_Gem_Types'!H:H),"")</f>
        <v>0</v>
      </c>
      <c r="T188" s="8">
        <f>'01_Input_Raw_Products'!Q188</f>
        <v>0</v>
      </c>
      <c r="U188" s="8">
        <f>'01_Input_Raw_Products'!R188</f>
        <v>0</v>
      </c>
      <c r="V188" s="7">
        <f>I188</f>
        <v>0</v>
      </c>
      <c r="W188" s="9" cm="1">
        <f t="array" ref="W188">IF('01_Input_Raw_Products'!G188&lt;&gt;"",'01_Input_Raw_Products'!G188,IFERROR(_xlfn.XLOOKUP('01_Input_Raw_Products'!F188,'10_Master_Gem_Types'!A:A,'10_Master_Gem_Types'!L:L),""))</f>
        <v>0</v>
      </c>
      <c r="X188" s="9" cm="1">
        <f t="array" ref="X188">IFERROR(_xlfn.XLOOKUP('01_Input_Raw_Products'!F188,'10_Master_Gem_Types'!A:A,'10_Master_Gem_Types'!J:J),"")</f>
        <v>0</v>
      </c>
      <c r="Y188" s="9" cm="1">
        <f t="array" ref="Y188">IFERROR(_xlfn.XLOOKUP('01_Input_Raw_Products'!F188,'10_Master_Gem_Types'!A:A,'10_Master_Gem_Types'!I:I),"")</f>
        <v>0</v>
      </c>
      <c r="Z188" s="9" cm="1">
        <f t="array" ref="Z188">IFERROR(_xlfn.XLOOKUP('01_Input_Raw_Products'!L188,'13_Certification_Stickers'!A:A,'13_Certification_Stickers'!C:C),"")</f>
        <v>0</v>
      </c>
      <c r="AA188" s="9" cm="1">
        <f t="array" ref="AA188">IFERROR(_xlfn.XLOOKUP('01_Input_Raw_Products'!S188,'14_Shipping_Rules'!A:A,'14_Shipping_Rules'!B:B),"")</f>
        <v>0</v>
      </c>
      <c r="AB188" s="9" cm="1">
        <f t="array" ref="AB188">IFERROR(_xlfn.XLOOKUP('01_Input_Raw_Products'!D188,'16_Astro_Flags'!A:A,'16_Astro_Flags'!B:B),"")</f>
        <v>0</v>
      </c>
      <c r="AC188" s="9">
        <f>IF(C188="","","Catalog, Search")</f>
        <v>0</v>
      </c>
      <c r="AD188" s="9">
        <f>IF(C188="","",IF(OR(F188="",J188="",M188="",S188="",Y188=""),"Manual Review","Ready"))</f>
        <v>0</v>
      </c>
      <c r="AE188" s="9">
        <f>IF(C188="","",TEXTJOIN("; ",TRUE,IF(F188="","Missing url_key",""),IF(J188="","Missing classification",""),IF(M188="","Missing j_colour",""),IF(S188="","Missing hsn_code",""),IF(Y188="","Missing tax_class_id","")))</f>
        <v>0</v>
      </c>
    </row>
    <row r="189" spans="1:31">
      <c r="A189" s="9">
        <f>IF('01_Input_Raw_Products'!B189&lt;&gt;"",20,"")</f>
        <v>0</v>
      </c>
      <c r="B189" s="9" cm="1">
        <f t="array" ref="B189">IF('01_Input_Raw_Products'!M189&lt;&gt;"",'01_Input_Raw_Products'!M189,IFERROR(_xlfn.XLOOKUP('01_Input_Raw_Products'!F189,'10_Master_Gem_Types'!A:A,'10_Master_Gem_Types'!K:K),""))</f>
        <v>0</v>
      </c>
      <c r="C189" s="9">
        <f>'01_Input_Raw_Products'!B189</f>
        <v>0</v>
      </c>
      <c r="D189" s="9">
        <f>IF(C189="","",TEXT(I189,"0.00")&amp;" Ct "&amp;IF('01_Input_Raw_Products'!F189&lt;&gt;"",'01_Input_Raw_Products'!F189,'01_Input_Raw_Products'!D189)&amp;" "&amp;'01_Input_Raw_Products'!I189)</f>
        <v>0</v>
      </c>
      <c r="E189" s="9">
        <f>IF(C189="","",D189&amp;" | GemPundit")</f>
        <v>0</v>
      </c>
      <c r="F189" s="9" cm="1">
        <f t="array" ref="F189">IF('01_Input_Raw_Products'!X189&lt;&gt;"",'01_Input_Raw_Products'!X189,IFERROR(_xlfn.XLOOKUP('01_Input_Raw_Products'!F189,'10_Master_Gem_Types'!A:A,'10_Master_Gem_Types'!O:O),LOWER(SUBSTITUTE(IF('01_Input_Raw_Products'!F189&lt;&gt;"",'01_Input_Raw_Products'!F189,'01_Input_Raw_Products'!D189)," ","-"))))</f>
        <v>0</v>
      </c>
      <c r="G189" s="9">
        <f>'01_Input_Raw_Products'!C189</f>
        <v>0</v>
      </c>
      <c r="H189" s="9" cm="1">
        <f t="array" ref="H189">IF('01_Input_Raw_Products'!H189&lt;&gt;"",'01_Input_Raw_Products'!H189,IFERROR(_xlfn.XLOOKUP('01_Input_Raw_Products'!F189,'10_Master_Gem_Types'!A:A,'10_Master_Gem_Types'!D:D),""))</f>
        <v>0</v>
      </c>
      <c r="I189" s="7">
        <f>IF('01_Input_Raw_Products'!N189&lt;&gt;"",'01_Input_Raw_Products'!N189,IF('01_Input_Raw_Products'!O189&lt;&gt;"",'01_Input_Raw_Products'!O189*0.91,""))</f>
        <v>0</v>
      </c>
      <c r="J189" s="9" cm="1">
        <f t="array" ref="J189">IFERROR(_xlfn.XLOOKUP('01_Input_Raw_Products'!F189,'10_Master_Gem_Types'!A:A,'10_Master_Gem_Types'!N:N),"")</f>
        <v>0</v>
      </c>
      <c r="K189" s="9" cm="1">
        <f t="array" ref="K189">IF('01_Input_Raw_Products'!J189&lt;&gt;"",'01_Input_Raw_Products'!J189,IFERROR(_xlfn.XLOOKUP('01_Input_Raw_Products'!F189,'10_Master_Gem_Types'!A:A,'10_Master_Gem_Types'!E:E),""))</f>
        <v>0</v>
      </c>
      <c r="L189" s="9">
        <f>'01_Input_Raw_Products'!P189</f>
        <v>0</v>
      </c>
      <c r="M189" s="9" cm="1">
        <f t="array" ref="M189">IFERROR(_xlfn.XLOOKUP('01_Input_Raw_Products'!K189,'12_Color_Mapping'!A:A,'12_Color_Mapping'!B:B),IFERROR(_xlfn.XLOOKUP('01_Input_Raw_Products'!F189,'10_Master_Gem_Types'!A:A,'10_Master_Gem_Types'!F:F),""))</f>
        <v>0</v>
      </c>
      <c r="N189" s="9">
        <f>IF(C189="","",IF('01_Input_Raw_Products'!F189&lt;&gt;"",'01_Input_Raw_Products'!F189,'01_Input_Raw_Products'!D189))</f>
        <v>0</v>
      </c>
      <c r="O189" s="9">
        <f>IF(C189="","","Catalog Automation")</f>
        <v>0</v>
      </c>
      <c r="P189" s="9">
        <f>'01_Input_Raw_Products'!U189</f>
        <v>0</v>
      </c>
      <c r="Q189" s="7">
        <f>IF('01_Input_Raw_Products'!O189&lt;&gt;"",'01_Input_Raw_Products'!O189,IF('01_Input_Raw_Products'!N189&lt;&gt;"",'01_Input_Raw_Products'!N189*1.1,""))</f>
        <v>0</v>
      </c>
      <c r="R189" s="9">
        <f>'01_Input_Raw_Products'!S189</f>
        <v>0</v>
      </c>
      <c r="S189" s="9" cm="1">
        <f t="array" ref="S189">IFERROR(_xlfn.XLOOKUP('01_Input_Raw_Products'!F189,'10_Master_Gem_Types'!A:A,'10_Master_Gem_Types'!H:H),"")</f>
        <v>0</v>
      </c>
      <c r="T189" s="8">
        <f>'01_Input_Raw_Products'!Q189</f>
        <v>0</v>
      </c>
      <c r="U189" s="8">
        <f>'01_Input_Raw_Products'!R189</f>
        <v>0</v>
      </c>
      <c r="V189" s="7">
        <f>I189</f>
        <v>0</v>
      </c>
      <c r="W189" s="9" cm="1">
        <f t="array" ref="W189">IF('01_Input_Raw_Products'!G189&lt;&gt;"",'01_Input_Raw_Products'!G189,IFERROR(_xlfn.XLOOKUP('01_Input_Raw_Products'!F189,'10_Master_Gem_Types'!A:A,'10_Master_Gem_Types'!L:L),""))</f>
        <v>0</v>
      </c>
      <c r="X189" s="9" cm="1">
        <f t="array" ref="X189">IFERROR(_xlfn.XLOOKUP('01_Input_Raw_Products'!F189,'10_Master_Gem_Types'!A:A,'10_Master_Gem_Types'!J:J),"")</f>
        <v>0</v>
      </c>
      <c r="Y189" s="9" cm="1">
        <f t="array" ref="Y189">IFERROR(_xlfn.XLOOKUP('01_Input_Raw_Products'!F189,'10_Master_Gem_Types'!A:A,'10_Master_Gem_Types'!I:I),"")</f>
        <v>0</v>
      </c>
      <c r="Z189" s="9" cm="1">
        <f t="array" ref="Z189">IFERROR(_xlfn.XLOOKUP('01_Input_Raw_Products'!L189,'13_Certification_Stickers'!A:A,'13_Certification_Stickers'!C:C),"")</f>
        <v>0</v>
      </c>
      <c r="AA189" s="9" cm="1">
        <f t="array" ref="AA189">IFERROR(_xlfn.XLOOKUP('01_Input_Raw_Products'!S189,'14_Shipping_Rules'!A:A,'14_Shipping_Rules'!B:B),"")</f>
        <v>0</v>
      </c>
      <c r="AB189" s="9" cm="1">
        <f t="array" ref="AB189">IFERROR(_xlfn.XLOOKUP('01_Input_Raw_Products'!D189,'16_Astro_Flags'!A:A,'16_Astro_Flags'!B:B),"")</f>
        <v>0</v>
      </c>
      <c r="AC189" s="9">
        <f>IF(C189="","","Catalog, Search")</f>
        <v>0</v>
      </c>
      <c r="AD189" s="9">
        <f>IF(C189="","",IF(OR(F189="",J189="",M189="",S189="",Y189=""),"Manual Review","Ready"))</f>
        <v>0</v>
      </c>
      <c r="AE189" s="9">
        <f>IF(C189="","",TEXTJOIN("; ",TRUE,IF(F189="","Missing url_key",""),IF(J189="","Missing classification",""),IF(M189="","Missing j_colour",""),IF(S189="","Missing hsn_code",""),IF(Y189="","Missing tax_class_id","")))</f>
        <v>0</v>
      </c>
    </row>
    <row r="190" spans="1:31">
      <c r="A190" s="9">
        <f>IF('01_Input_Raw_Products'!B190&lt;&gt;"",20,"")</f>
        <v>0</v>
      </c>
      <c r="B190" s="9" cm="1">
        <f t="array" ref="B190">IF('01_Input_Raw_Products'!M190&lt;&gt;"",'01_Input_Raw_Products'!M190,IFERROR(_xlfn.XLOOKUP('01_Input_Raw_Products'!F190,'10_Master_Gem_Types'!A:A,'10_Master_Gem_Types'!K:K),""))</f>
        <v>0</v>
      </c>
      <c r="C190" s="9">
        <f>'01_Input_Raw_Products'!B190</f>
        <v>0</v>
      </c>
      <c r="D190" s="9">
        <f>IF(C190="","",TEXT(I190,"0.00")&amp;" Ct "&amp;IF('01_Input_Raw_Products'!F190&lt;&gt;"",'01_Input_Raw_Products'!F190,'01_Input_Raw_Products'!D190)&amp;" "&amp;'01_Input_Raw_Products'!I190)</f>
        <v>0</v>
      </c>
      <c r="E190" s="9">
        <f>IF(C190="","",D190&amp;" | GemPundit")</f>
        <v>0</v>
      </c>
      <c r="F190" s="9" cm="1">
        <f t="array" ref="F190">IF('01_Input_Raw_Products'!X190&lt;&gt;"",'01_Input_Raw_Products'!X190,IFERROR(_xlfn.XLOOKUP('01_Input_Raw_Products'!F190,'10_Master_Gem_Types'!A:A,'10_Master_Gem_Types'!O:O),LOWER(SUBSTITUTE(IF('01_Input_Raw_Products'!F190&lt;&gt;"",'01_Input_Raw_Products'!F190,'01_Input_Raw_Products'!D190)," ","-"))))</f>
        <v>0</v>
      </c>
      <c r="G190" s="9">
        <f>'01_Input_Raw_Products'!C190</f>
        <v>0</v>
      </c>
      <c r="H190" s="9" cm="1">
        <f t="array" ref="H190">IF('01_Input_Raw_Products'!H190&lt;&gt;"",'01_Input_Raw_Products'!H190,IFERROR(_xlfn.XLOOKUP('01_Input_Raw_Products'!F190,'10_Master_Gem_Types'!A:A,'10_Master_Gem_Types'!D:D),""))</f>
        <v>0</v>
      </c>
      <c r="I190" s="7">
        <f>IF('01_Input_Raw_Products'!N190&lt;&gt;"",'01_Input_Raw_Products'!N190,IF('01_Input_Raw_Products'!O190&lt;&gt;"",'01_Input_Raw_Products'!O190*0.91,""))</f>
        <v>0</v>
      </c>
      <c r="J190" s="9" cm="1">
        <f t="array" ref="J190">IFERROR(_xlfn.XLOOKUP('01_Input_Raw_Products'!F190,'10_Master_Gem_Types'!A:A,'10_Master_Gem_Types'!N:N),"")</f>
        <v>0</v>
      </c>
      <c r="K190" s="9" cm="1">
        <f t="array" ref="K190">IF('01_Input_Raw_Products'!J190&lt;&gt;"",'01_Input_Raw_Products'!J190,IFERROR(_xlfn.XLOOKUP('01_Input_Raw_Products'!F190,'10_Master_Gem_Types'!A:A,'10_Master_Gem_Types'!E:E),""))</f>
        <v>0</v>
      </c>
      <c r="L190" s="9">
        <f>'01_Input_Raw_Products'!P190</f>
        <v>0</v>
      </c>
      <c r="M190" s="9" cm="1">
        <f t="array" ref="M190">IFERROR(_xlfn.XLOOKUP('01_Input_Raw_Products'!K190,'12_Color_Mapping'!A:A,'12_Color_Mapping'!B:B),IFERROR(_xlfn.XLOOKUP('01_Input_Raw_Products'!F190,'10_Master_Gem_Types'!A:A,'10_Master_Gem_Types'!F:F),""))</f>
        <v>0</v>
      </c>
      <c r="N190" s="9">
        <f>IF(C190="","",IF('01_Input_Raw_Products'!F190&lt;&gt;"",'01_Input_Raw_Products'!F190,'01_Input_Raw_Products'!D190))</f>
        <v>0</v>
      </c>
      <c r="O190" s="9">
        <f>IF(C190="","","Catalog Automation")</f>
        <v>0</v>
      </c>
      <c r="P190" s="9">
        <f>'01_Input_Raw_Products'!U190</f>
        <v>0</v>
      </c>
      <c r="Q190" s="7">
        <f>IF('01_Input_Raw_Products'!O190&lt;&gt;"",'01_Input_Raw_Products'!O190,IF('01_Input_Raw_Products'!N190&lt;&gt;"",'01_Input_Raw_Products'!N190*1.1,""))</f>
        <v>0</v>
      </c>
      <c r="R190" s="9">
        <f>'01_Input_Raw_Products'!S190</f>
        <v>0</v>
      </c>
      <c r="S190" s="9" cm="1">
        <f t="array" ref="S190">IFERROR(_xlfn.XLOOKUP('01_Input_Raw_Products'!F190,'10_Master_Gem_Types'!A:A,'10_Master_Gem_Types'!H:H),"")</f>
        <v>0</v>
      </c>
      <c r="T190" s="8">
        <f>'01_Input_Raw_Products'!Q190</f>
        <v>0</v>
      </c>
      <c r="U190" s="8">
        <f>'01_Input_Raw_Products'!R190</f>
        <v>0</v>
      </c>
      <c r="V190" s="7">
        <f>I190</f>
        <v>0</v>
      </c>
      <c r="W190" s="9" cm="1">
        <f t="array" ref="W190">IF('01_Input_Raw_Products'!G190&lt;&gt;"",'01_Input_Raw_Products'!G190,IFERROR(_xlfn.XLOOKUP('01_Input_Raw_Products'!F190,'10_Master_Gem_Types'!A:A,'10_Master_Gem_Types'!L:L),""))</f>
        <v>0</v>
      </c>
      <c r="X190" s="9" cm="1">
        <f t="array" ref="X190">IFERROR(_xlfn.XLOOKUP('01_Input_Raw_Products'!F190,'10_Master_Gem_Types'!A:A,'10_Master_Gem_Types'!J:J),"")</f>
        <v>0</v>
      </c>
      <c r="Y190" s="9" cm="1">
        <f t="array" ref="Y190">IFERROR(_xlfn.XLOOKUP('01_Input_Raw_Products'!F190,'10_Master_Gem_Types'!A:A,'10_Master_Gem_Types'!I:I),"")</f>
        <v>0</v>
      </c>
      <c r="Z190" s="9" cm="1">
        <f t="array" ref="Z190">IFERROR(_xlfn.XLOOKUP('01_Input_Raw_Products'!L190,'13_Certification_Stickers'!A:A,'13_Certification_Stickers'!C:C),"")</f>
        <v>0</v>
      </c>
      <c r="AA190" s="9" cm="1">
        <f t="array" ref="AA190">IFERROR(_xlfn.XLOOKUP('01_Input_Raw_Products'!S190,'14_Shipping_Rules'!A:A,'14_Shipping_Rules'!B:B),"")</f>
        <v>0</v>
      </c>
      <c r="AB190" s="9" cm="1">
        <f t="array" ref="AB190">IFERROR(_xlfn.XLOOKUP('01_Input_Raw_Products'!D190,'16_Astro_Flags'!A:A,'16_Astro_Flags'!B:B),"")</f>
        <v>0</v>
      </c>
      <c r="AC190" s="9">
        <f>IF(C190="","","Catalog, Search")</f>
        <v>0</v>
      </c>
      <c r="AD190" s="9">
        <f>IF(C190="","",IF(OR(F190="",J190="",M190="",S190="",Y190=""),"Manual Review","Ready"))</f>
        <v>0</v>
      </c>
      <c r="AE190" s="9">
        <f>IF(C190="","",TEXTJOIN("; ",TRUE,IF(F190="","Missing url_key",""),IF(J190="","Missing classification",""),IF(M190="","Missing j_colour",""),IF(S190="","Missing hsn_code",""),IF(Y190="","Missing tax_class_id","")))</f>
        <v>0</v>
      </c>
    </row>
    <row r="191" spans="1:31">
      <c r="A191" s="9">
        <f>IF('01_Input_Raw_Products'!B191&lt;&gt;"",20,"")</f>
        <v>0</v>
      </c>
      <c r="B191" s="9" cm="1">
        <f t="array" ref="B191">IF('01_Input_Raw_Products'!M191&lt;&gt;"",'01_Input_Raw_Products'!M191,IFERROR(_xlfn.XLOOKUP('01_Input_Raw_Products'!F191,'10_Master_Gem_Types'!A:A,'10_Master_Gem_Types'!K:K),""))</f>
        <v>0</v>
      </c>
      <c r="C191" s="9">
        <f>'01_Input_Raw_Products'!B191</f>
        <v>0</v>
      </c>
      <c r="D191" s="9">
        <f>IF(C191="","",TEXT(I191,"0.00")&amp;" Ct "&amp;IF('01_Input_Raw_Products'!F191&lt;&gt;"",'01_Input_Raw_Products'!F191,'01_Input_Raw_Products'!D191)&amp;" "&amp;'01_Input_Raw_Products'!I191)</f>
        <v>0</v>
      </c>
      <c r="E191" s="9">
        <f>IF(C191="","",D191&amp;" | GemPundit")</f>
        <v>0</v>
      </c>
      <c r="F191" s="9" cm="1">
        <f t="array" ref="F191">IF('01_Input_Raw_Products'!X191&lt;&gt;"",'01_Input_Raw_Products'!X191,IFERROR(_xlfn.XLOOKUP('01_Input_Raw_Products'!F191,'10_Master_Gem_Types'!A:A,'10_Master_Gem_Types'!O:O),LOWER(SUBSTITUTE(IF('01_Input_Raw_Products'!F191&lt;&gt;"",'01_Input_Raw_Products'!F191,'01_Input_Raw_Products'!D191)," ","-"))))</f>
        <v>0</v>
      </c>
      <c r="G191" s="9">
        <f>'01_Input_Raw_Products'!C191</f>
        <v>0</v>
      </c>
      <c r="H191" s="9" cm="1">
        <f t="array" ref="H191">IF('01_Input_Raw_Products'!H191&lt;&gt;"",'01_Input_Raw_Products'!H191,IFERROR(_xlfn.XLOOKUP('01_Input_Raw_Products'!F191,'10_Master_Gem_Types'!A:A,'10_Master_Gem_Types'!D:D),""))</f>
        <v>0</v>
      </c>
      <c r="I191" s="7">
        <f>IF('01_Input_Raw_Products'!N191&lt;&gt;"",'01_Input_Raw_Products'!N191,IF('01_Input_Raw_Products'!O191&lt;&gt;"",'01_Input_Raw_Products'!O191*0.91,""))</f>
        <v>0</v>
      </c>
      <c r="J191" s="9" cm="1">
        <f t="array" ref="J191">IFERROR(_xlfn.XLOOKUP('01_Input_Raw_Products'!F191,'10_Master_Gem_Types'!A:A,'10_Master_Gem_Types'!N:N),"")</f>
        <v>0</v>
      </c>
      <c r="K191" s="9" cm="1">
        <f t="array" ref="K191">IF('01_Input_Raw_Products'!J191&lt;&gt;"",'01_Input_Raw_Products'!J191,IFERROR(_xlfn.XLOOKUP('01_Input_Raw_Products'!F191,'10_Master_Gem_Types'!A:A,'10_Master_Gem_Types'!E:E),""))</f>
        <v>0</v>
      </c>
      <c r="L191" s="9">
        <f>'01_Input_Raw_Products'!P191</f>
        <v>0</v>
      </c>
      <c r="M191" s="9" cm="1">
        <f t="array" ref="M191">IFERROR(_xlfn.XLOOKUP('01_Input_Raw_Products'!K191,'12_Color_Mapping'!A:A,'12_Color_Mapping'!B:B),IFERROR(_xlfn.XLOOKUP('01_Input_Raw_Products'!F191,'10_Master_Gem_Types'!A:A,'10_Master_Gem_Types'!F:F),""))</f>
        <v>0</v>
      </c>
      <c r="N191" s="9">
        <f>IF(C191="","",IF('01_Input_Raw_Products'!F191&lt;&gt;"",'01_Input_Raw_Products'!F191,'01_Input_Raw_Products'!D191))</f>
        <v>0</v>
      </c>
      <c r="O191" s="9">
        <f>IF(C191="","","Catalog Automation")</f>
        <v>0</v>
      </c>
      <c r="P191" s="9">
        <f>'01_Input_Raw_Products'!U191</f>
        <v>0</v>
      </c>
      <c r="Q191" s="7">
        <f>IF('01_Input_Raw_Products'!O191&lt;&gt;"",'01_Input_Raw_Products'!O191,IF('01_Input_Raw_Products'!N191&lt;&gt;"",'01_Input_Raw_Products'!N191*1.1,""))</f>
        <v>0</v>
      </c>
      <c r="R191" s="9">
        <f>'01_Input_Raw_Products'!S191</f>
        <v>0</v>
      </c>
      <c r="S191" s="9" cm="1">
        <f t="array" ref="S191">IFERROR(_xlfn.XLOOKUP('01_Input_Raw_Products'!F191,'10_Master_Gem_Types'!A:A,'10_Master_Gem_Types'!H:H),"")</f>
        <v>0</v>
      </c>
      <c r="T191" s="8">
        <f>'01_Input_Raw_Products'!Q191</f>
        <v>0</v>
      </c>
      <c r="U191" s="8">
        <f>'01_Input_Raw_Products'!R191</f>
        <v>0</v>
      </c>
      <c r="V191" s="7">
        <f>I191</f>
        <v>0</v>
      </c>
      <c r="W191" s="9" cm="1">
        <f t="array" ref="W191">IF('01_Input_Raw_Products'!G191&lt;&gt;"",'01_Input_Raw_Products'!G191,IFERROR(_xlfn.XLOOKUP('01_Input_Raw_Products'!F191,'10_Master_Gem_Types'!A:A,'10_Master_Gem_Types'!L:L),""))</f>
        <v>0</v>
      </c>
      <c r="X191" s="9" cm="1">
        <f t="array" ref="X191">IFERROR(_xlfn.XLOOKUP('01_Input_Raw_Products'!F191,'10_Master_Gem_Types'!A:A,'10_Master_Gem_Types'!J:J),"")</f>
        <v>0</v>
      </c>
      <c r="Y191" s="9" cm="1">
        <f t="array" ref="Y191">IFERROR(_xlfn.XLOOKUP('01_Input_Raw_Products'!F191,'10_Master_Gem_Types'!A:A,'10_Master_Gem_Types'!I:I),"")</f>
        <v>0</v>
      </c>
      <c r="Z191" s="9" cm="1">
        <f t="array" ref="Z191">IFERROR(_xlfn.XLOOKUP('01_Input_Raw_Products'!L191,'13_Certification_Stickers'!A:A,'13_Certification_Stickers'!C:C),"")</f>
        <v>0</v>
      </c>
      <c r="AA191" s="9" cm="1">
        <f t="array" ref="AA191">IFERROR(_xlfn.XLOOKUP('01_Input_Raw_Products'!S191,'14_Shipping_Rules'!A:A,'14_Shipping_Rules'!B:B),"")</f>
        <v>0</v>
      </c>
      <c r="AB191" s="9" cm="1">
        <f t="array" ref="AB191">IFERROR(_xlfn.XLOOKUP('01_Input_Raw_Products'!D191,'16_Astro_Flags'!A:A,'16_Astro_Flags'!B:B),"")</f>
        <v>0</v>
      </c>
      <c r="AC191" s="9">
        <f>IF(C191="","","Catalog, Search")</f>
        <v>0</v>
      </c>
      <c r="AD191" s="9">
        <f>IF(C191="","",IF(OR(F191="",J191="",M191="",S191="",Y191=""),"Manual Review","Ready"))</f>
        <v>0</v>
      </c>
      <c r="AE191" s="9">
        <f>IF(C191="","",TEXTJOIN("; ",TRUE,IF(F191="","Missing url_key",""),IF(J191="","Missing classification",""),IF(M191="","Missing j_colour",""),IF(S191="","Missing hsn_code",""),IF(Y191="","Missing tax_class_id","")))</f>
        <v>0</v>
      </c>
    </row>
    <row r="192" spans="1:31">
      <c r="A192" s="9">
        <f>IF('01_Input_Raw_Products'!B192&lt;&gt;"",20,"")</f>
        <v>0</v>
      </c>
      <c r="B192" s="9" cm="1">
        <f t="array" ref="B192">IF('01_Input_Raw_Products'!M192&lt;&gt;"",'01_Input_Raw_Products'!M192,IFERROR(_xlfn.XLOOKUP('01_Input_Raw_Products'!F192,'10_Master_Gem_Types'!A:A,'10_Master_Gem_Types'!K:K),""))</f>
        <v>0</v>
      </c>
      <c r="C192" s="9">
        <f>'01_Input_Raw_Products'!B192</f>
        <v>0</v>
      </c>
      <c r="D192" s="9">
        <f>IF(C192="","",TEXT(I192,"0.00")&amp;" Ct "&amp;IF('01_Input_Raw_Products'!F192&lt;&gt;"",'01_Input_Raw_Products'!F192,'01_Input_Raw_Products'!D192)&amp;" "&amp;'01_Input_Raw_Products'!I192)</f>
        <v>0</v>
      </c>
      <c r="E192" s="9">
        <f>IF(C192="","",D192&amp;" | GemPundit")</f>
        <v>0</v>
      </c>
      <c r="F192" s="9" cm="1">
        <f t="array" ref="F192">IF('01_Input_Raw_Products'!X192&lt;&gt;"",'01_Input_Raw_Products'!X192,IFERROR(_xlfn.XLOOKUP('01_Input_Raw_Products'!F192,'10_Master_Gem_Types'!A:A,'10_Master_Gem_Types'!O:O),LOWER(SUBSTITUTE(IF('01_Input_Raw_Products'!F192&lt;&gt;"",'01_Input_Raw_Products'!F192,'01_Input_Raw_Products'!D192)," ","-"))))</f>
        <v>0</v>
      </c>
      <c r="G192" s="9">
        <f>'01_Input_Raw_Products'!C192</f>
        <v>0</v>
      </c>
      <c r="H192" s="9" cm="1">
        <f t="array" ref="H192">IF('01_Input_Raw_Products'!H192&lt;&gt;"",'01_Input_Raw_Products'!H192,IFERROR(_xlfn.XLOOKUP('01_Input_Raw_Products'!F192,'10_Master_Gem_Types'!A:A,'10_Master_Gem_Types'!D:D),""))</f>
        <v>0</v>
      </c>
      <c r="I192" s="7">
        <f>IF('01_Input_Raw_Products'!N192&lt;&gt;"",'01_Input_Raw_Products'!N192,IF('01_Input_Raw_Products'!O192&lt;&gt;"",'01_Input_Raw_Products'!O192*0.91,""))</f>
        <v>0</v>
      </c>
      <c r="J192" s="9" cm="1">
        <f t="array" ref="J192">IFERROR(_xlfn.XLOOKUP('01_Input_Raw_Products'!F192,'10_Master_Gem_Types'!A:A,'10_Master_Gem_Types'!N:N),"")</f>
        <v>0</v>
      </c>
      <c r="K192" s="9" cm="1">
        <f t="array" ref="K192">IF('01_Input_Raw_Products'!J192&lt;&gt;"",'01_Input_Raw_Products'!J192,IFERROR(_xlfn.XLOOKUP('01_Input_Raw_Products'!F192,'10_Master_Gem_Types'!A:A,'10_Master_Gem_Types'!E:E),""))</f>
        <v>0</v>
      </c>
      <c r="L192" s="9">
        <f>'01_Input_Raw_Products'!P192</f>
        <v>0</v>
      </c>
      <c r="M192" s="9" cm="1">
        <f t="array" ref="M192">IFERROR(_xlfn.XLOOKUP('01_Input_Raw_Products'!K192,'12_Color_Mapping'!A:A,'12_Color_Mapping'!B:B),IFERROR(_xlfn.XLOOKUP('01_Input_Raw_Products'!F192,'10_Master_Gem_Types'!A:A,'10_Master_Gem_Types'!F:F),""))</f>
        <v>0</v>
      </c>
      <c r="N192" s="9">
        <f>IF(C192="","",IF('01_Input_Raw_Products'!F192&lt;&gt;"",'01_Input_Raw_Products'!F192,'01_Input_Raw_Products'!D192))</f>
        <v>0</v>
      </c>
      <c r="O192" s="9">
        <f>IF(C192="","","Catalog Automation")</f>
        <v>0</v>
      </c>
      <c r="P192" s="9">
        <f>'01_Input_Raw_Products'!U192</f>
        <v>0</v>
      </c>
      <c r="Q192" s="7">
        <f>IF('01_Input_Raw_Products'!O192&lt;&gt;"",'01_Input_Raw_Products'!O192,IF('01_Input_Raw_Products'!N192&lt;&gt;"",'01_Input_Raw_Products'!N192*1.1,""))</f>
        <v>0</v>
      </c>
      <c r="R192" s="9">
        <f>'01_Input_Raw_Products'!S192</f>
        <v>0</v>
      </c>
      <c r="S192" s="9" cm="1">
        <f t="array" ref="S192">IFERROR(_xlfn.XLOOKUP('01_Input_Raw_Products'!F192,'10_Master_Gem_Types'!A:A,'10_Master_Gem_Types'!H:H),"")</f>
        <v>0</v>
      </c>
      <c r="T192" s="8">
        <f>'01_Input_Raw_Products'!Q192</f>
        <v>0</v>
      </c>
      <c r="U192" s="8">
        <f>'01_Input_Raw_Products'!R192</f>
        <v>0</v>
      </c>
      <c r="V192" s="7">
        <f>I192</f>
        <v>0</v>
      </c>
      <c r="W192" s="9" cm="1">
        <f t="array" ref="W192">IF('01_Input_Raw_Products'!G192&lt;&gt;"",'01_Input_Raw_Products'!G192,IFERROR(_xlfn.XLOOKUP('01_Input_Raw_Products'!F192,'10_Master_Gem_Types'!A:A,'10_Master_Gem_Types'!L:L),""))</f>
        <v>0</v>
      </c>
      <c r="X192" s="9" cm="1">
        <f t="array" ref="X192">IFERROR(_xlfn.XLOOKUP('01_Input_Raw_Products'!F192,'10_Master_Gem_Types'!A:A,'10_Master_Gem_Types'!J:J),"")</f>
        <v>0</v>
      </c>
      <c r="Y192" s="9" cm="1">
        <f t="array" ref="Y192">IFERROR(_xlfn.XLOOKUP('01_Input_Raw_Products'!F192,'10_Master_Gem_Types'!A:A,'10_Master_Gem_Types'!I:I),"")</f>
        <v>0</v>
      </c>
      <c r="Z192" s="9" cm="1">
        <f t="array" ref="Z192">IFERROR(_xlfn.XLOOKUP('01_Input_Raw_Products'!L192,'13_Certification_Stickers'!A:A,'13_Certification_Stickers'!C:C),"")</f>
        <v>0</v>
      </c>
      <c r="AA192" s="9" cm="1">
        <f t="array" ref="AA192">IFERROR(_xlfn.XLOOKUP('01_Input_Raw_Products'!S192,'14_Shipping_Rules'!A:A,'14_Shipping_Rules'!B:B),"")</f>
        <v>0</v>
      </c>
      <c r="AB192" s="9" cm="1">
        <f t="array" ref="AB192">IFERROR(_xlfn.XLOOKUP('01_Input_Raw_Products'!D192,'16_Astro_Flags'!A:A,'16_Astro_Flags'!B:B),"")</f>
        <v>0</v>
      </c>
      <c r="AC192" s="9">
        <f>IF(C192="","","Catalog, Search")</f>
        <v>0</v>
      </c>
      <c r="AD192" s="9">
        <f>IF(C192="","",IF(OR(F192="",J192="",M192="",S192="",Y192=""),"Manual Review","Ready"))</f>
        <v>0</v>
      </c>
      <c r="AE192" s="9">
        <f>IF(C192="","",TEXTJOIN("; ",TRUE,IF(F192="","Missing url_key",""),IF(J192="","Missing classification",""),IF(M192="","Missing j_colour",""),IF(S192="","Missing hsn_code",""),IF(Y192="","Missing tax_class_id","")))</f>
        <v>0</v>
      </c>
    </row>
    <row r="193" spans="1:31">
      <c r="A193" s="9">
        <f>IF('01_Input_Raw_Products'!B193&lt;&gt;"",20,"")</f>
        <v>0</v>
      </c>
      <c r="B193" s="9" cm="1">
        <f t="array" ref="B193">IF('01_Input_Raw_Products'!M193&lt;&gt;"",'01_Input_Raw_Products'!M193,IFERROR(_xlfn.XLOOKUP('01_Input_Raw_Products'!F193,'10_Master_Gem_Types'!A:A,'10_Master_Gem_Types'!K:K),""))</f>
        <v>0</v>
      </c>
      <c r="C193" s="9">
        <f>'01_Input_Raw_Products'!B193</f>
        <v>0</v>
      </c>
      <c r="D193" s="9">
        <f>IF(C193="","",TEXT(I193,"0.00")&amp;" Ct "&amp;IF('01_Input_Raw_Products'!F193&lt;&gt;"",'01_Input_Raw_Products'!F193,'01_Input_Raw_Products'!D193)&amp;" "&amp;'01_Input_Raw_Products'!I193)</f>
        <v>0</v>
      </c>
      <c r="E193" s="9">
        <f>IF(C193="","",D193&amp;" | GemPundit")</f>
        <v>0</v>
      </c>
      <c r="F193" s="9" cm="1">
        <f t="array" ref="F193">IF('01_Input_Raw_Products'!X193&lt;&gt;"",'01_Input_Raw_Products'!X193,IFERROR(_xlfn.XLOOKUP('01_Input_Raw_Products'!F193,'10_Master_Gem_Types'!A:A,'10_Master_Gem_Types'!O:O),LOWER(SUBSTITUTE(IF('01_Input_Raw_Products'!F193&lt;&gt;"",'01_Input_Raw_Products'!F193,'01_Input_Raw_Products'!D193)," ","-"))))</f>
        <v>0</v>
      </c>
      <c r="G193" s="9">
        <f>'01_Input_Raw_Products'!C193</f>
        <v>0</v>
      </c>
      <c r="H193" s="9" cm="1">
        <f t="array" ref="H193">IF('01_Input_Raw_Products'!H193&lt;&gt;"",'01_Input_Raw_Products'!H193,IFERROR(_xlfn.XLOOKUP('01_Input_Raw_Products'!F193,'10_Master_Gem_Types'!A:A,'10_Master_Gem_Types'!D:D),""))</f>
        <v>0</v>
      </c>
      <c r="I193" s="7">
        <f>IF('01_Input_Raw_Products'!N193&lt;&gt;"",'01_Input_Raw_Products'!N193,IF('01_Input_Raw_Products'!O193&lt;&gt;"",'01_Input_Raw_Products'!O193*0.91,""))</f>
        <v>0</v>
      </c>
      <c r="J193" s="9" cm="1">
        <f t="array" ref="J193">IFERROR(_xlfn.XLOOKUP('01_Input_Raw_Products'!F193,'10_Master_Gem_Types'!A:A,'10_Master_Gem_Types'!N:N),"")</f>
        <v>0</v>
      </c>
      <c r="K193" s="9" cm="1">
        <f t="array" ref="K193">IF('01_Input_Raw_Products'!J193&lt;&gt;"",'01_Input_Raw_Products'!J193,IFERROR(_xlfn.XLOOKUP('01_Input_Raw_Products'!F193,'10_Master_Gem_Types'!A:A,'10_Master_Gem_Types'!E:E),""))</f>
        <v>0</v>
      </c>
      <c r="L193" s="9">
        <f>'01_Input_Raw_Products'!P193</f>
        <v>0</v>
      </c>
      <c r="M193" s="9" cm="1">
        <f t="array" ref="M193">IFERROR(_xlfn.XLOOKUP('01_Input_Raw_Products'!K193,'12_Color_Mapping'!A:A,'12_Color_Mapping'!B:B),IFERROR(_xlfn.XLOOKUP('01_Input_Raw_Products'!F193,'10_Master_Gem_Types'!A:A,'10_Master_Gem_Types'!F:F),""))</f>
        <v>0</v>
      </c>
      <c r="N193" s="9">
        <f>IF(C193="","",IF('01_Input_Raw_Products'!F193&lt;&gt;"",'01_Input_Raw_Products'!F193,'01_Input_Raw_Products'!D193))</f>
        <v>0</v>
      </c>
      <c r="O193" s="9">
        <f>IF(C193="","","Catalog Automation")</f>
        <v>0</v>
      </c>
      <c r="P193" s="9">
        <f>'01_Input_Raw_Products'!U193</f>
        <v>0</v>
      </c>
      <c r="Q193" s="7">
        <f>IF('01_Input_Raw_Products'!O193&lt;&gt;"",'01_Input_Raw_Products'!O193,IF('01_Input_Raw_Products'!N193&lt;&gt;"",'01_Input_Raw_Products'!N193*1.1,""))</f>
        <v>0</v>
      </c>
      <c r="R193" s="9">
        <f>'01_Input_Raw_Products'!S193</f>
        <v>0</v>
      </c>
      <c r="S193" s="9" cm="1">
        <f t="array" ref="S193">IFERROR(_xlfn.XLOOKUP('01_Input_Raw_Products'!F193,'10_Master_Gem_Types'!A:A,'10_Master_Gem_Types'!H:H),"")</f>
        <v>0</v>
      </c>
      <c r="T193" s="8">
        <f>'01_Input_Raw_Products'!Q193</f>
        <v>0</v>
      </c>
      <c r="U193" s="8">
        <f>'01_Input_Raw_Products'!R193</f>
        <v>0</v>
      </c>
      <c r="V193" s="7">
        <f>I193</f>
        <v>0</v>
      </c>
      <c r="W193" s="9" cm="1">
        <f t="array" ref="W193">IF('01_Input_Raw_Products'!G193&lt;&gt;"",'01_Input_Raw_Products'!G193,IFERROR(_xlfn.XLOOKUP('01_Input_Raw_Products'!F193,'10_Master_Gem_Types'!A:A,'10_Master_Gem_Types'!L:L),""))</f>
        <v>0</v>
      </c>
      <c r="X193" s="9" cm="1">
        <f t="array" ref="X193">IFERROR(_xlfn.XLOOKUP('01_Input_Raw_Products'!F193,'10_Master_Gem_Types'!A:A,'10_Master_Gem_Types'!J:J),"")</f>
        <v>0</v>
      </c>
      <c r="Y193" s="9" cm="1">
        <f t="array" ref="Y193">IFERROR(_xlfn.XLOOKUP('01_Input_Raw_Products'!F193,'10_Master_Gem_Types'!A:A,'10_Master_Gem_Types'!I:I),"")</f>
        <v>0</v>
      </c>
      <c r="Z193" s="9" cm="1">
        <f t="array" ref="Z193">IFERROR(_xlfn.XLOOKUP('01_Input_Raw_Products'!L193,'13_Certification_Stickers'!A:A,'13_Certification_Stickers'!C:C),"")</f>
        <v>0</v>
      </c>
      <c r="AA193" s="9" cm="1">
        <f t="array" ref="AA193">IFERROR(_xlfn.XLOOKUP('01_Input_Raw_Products'!S193,'14_Shipping_Rules'!A:A,'14_Shipping_Rules'!B:B),"")</f>
        <v>0</v>
      </c>
      <c r="AB193" s="9" cm="1">
        <f t="array" ref="AB193">IFERROR(_xlfn.XLOOKUP('01_Input_Raw_Products'!D193,'16_Astro_Flags'!A:A,'16_Astro_Flags'!B:B),"")</f>
        <v>0</v>
      </c>
      <c r="AC193" s="9">
        <f>IF(C193="","","Catalog, Search")</f>
        <v>0</v>
      </c>
      <c r="AD193" s="9">
        <f>IF(C193="","",IF(OR(F193="",J193="",M193="",S193="",Y193=""),"Manual Review","Ready"))</f>
        <v>0</v>
      </c>
      <c r="AE193" s="9">
        <f>IF(C193="","",TEXTJOIN("; ",TRUE,IF(F193="","Missing url_key",""),IF(J193="","Missing classification",""),IF(M193="","Missing j_colour",""),IF(S193="","Missing hsn_code",""),IF(Y193="","Missing tax_class_id","")))</f>
        <v>0</v>
      </c>
    </row>
    <row r="194" spans="1:31">
      <c r="A194" s="9">
        <f>IF('01_Input_Raw_Products'!B194&lt;&gt;"",20,"")</f>
        <v>0</v>
      </c>
      <c r="B194" s="9" cm="1">
        <f t="array" ref="B194">IF('01_Input_Raw_Products'!M194&lt;&gt;"",'01_Input_Raw_Products'!M194,IFERROR(_xlfn.XLOOKUP('01_Input_Raw_Products'!F194,'10_Master_Gem_Types'!A:A,'10_Master_Gem_Types'!K:K),""))</f>
        <v>0</v>
      </c>
      <c r="C194" s="9">
        <f>'01_Input_Raw_Products'!B194</f>
        <v>0</v>
      </c>
      <c r="D194" s="9">
        <f>IF(C194="","",TEXT(I194,"0.00")&amp;" Ct "&amp;IF('01_Input_Raw_Products'!F194&lt;&gt;"",'01_Input_Raw_Products'!F194,'01_Input_Raw_Products'!D194)&amp;" "&amp;'01_Input_Raw_Products'!I194)</f>
        <v>0</v>
      </c>
      <c r="E194" s="9">
        <f>IF(C194="","",D194&amp;" | GemPundit")</f>
        <v>0</v>
      </c>
      <c r="F194" s="9" cm="1">
        <f t="array" ref="F194">IF('01_Input_Raw_Products'!X194&lt;&gt;"",'01_Input_Raw_Products'!X194,IFERROR(_xlfn.XLOOKUP('01_Input_Raw_Products'!F194,'10_Master_Gem_Types'!A:A,'10_Master_Gem_Types'!O:O),LOWER(SUBSTITUTE(IF('01_Input_Raw_Products'!F194&lt;&gt;"",'01_Input_Raw_Products'!F194,'01_Input_Raw_Products'!D194)," ","-"))))</f>
        <v>0</v>
      </c>
      <c r="G194" s="9">
        <f>'01_Input_Raw_Products'!C194</f>
        <v>0</v>
      </c>
      <c r="H194" s="9" cm="1">
        <f t="array" ref="H194">IF('01_Input_Raw_Products'!H194&lt;&gt;"",'01_Input_Raw_Products'!H194,IFERROR(_xlfn.XLOOKUP('01_Input_Raw_Products'!F194,'10_Master_Gem_Types'!A:A,'10_Master_Gem_Types'!D:D),""))</f>
        <v>0</v>
      </c>
      <c r="I194" s="7">
        <f>IF('01_Input_Raw_Products'!N194&lt;&gt;"",'01_Input_Raw_Products'!N194,IF('01_Input_Raw_Products'!O194&lt;&gt;"",'01_Input_Raw_Products'!O194*0.91,""))</f>
        <v>0</v>
      </c>
      <c r="J194" s="9" cm="1">
        <f t="array" ref="J194">IFERROR(_xlfn.XLOOKUP('01_Input_Raw_Products'!F194,'10_Master_Gem_Types'!A:A,'10_Master_Gem_Types'!N:N),"")</f>
        <v>0</v>
      </c>
      <c r="K194" s="9" cm="1">
        <f t="array" ref="K194">IF('01_Input_Raw_Products'!J194&lt;&gt;"",'01_Input_Raw_Products'!J194,IFERROR(_xlfn.XLOOKUP('01_Input_Raw_Products'!F194,'10_Master_Gem_Types'!A:A,'10_Master_Gem_Types'!E:E),""))</f>
        <v>0</v>
      </c>
      <c r="L194" s="9">
        <f>'01_Input_Raw_Products'!P194</f>
        <v>0</v>
      </c>
      <c r="M194" s="9" cm="1">
        <f t="array" ref="M194">IFERROR(_xlfn.XLOOKUP('01_Input_Raw_Products'!K194,'12_Color_Mapping'!A:A,'12_Color_Mapping'!B:B),IFERROR(_xlfn.XLOOKUP('01_Input_Raw_Products'!F194,'10_Master_Gem_Types'!A:A,'10_Master_Gem_Types'!F:F),""))</f>
        <v>0</v>
      </c>
      <c r="N194" s="9">
        <f>IF(C194="","",IF('01_Input_Raw_Products'!F194&lt;&gt;"",'01_Input_Raw_Products'!F194,'01_Input_Raw_Products'!D194))</f>
        <v>0</v>
      </c>
      <c r="O194" s="9">
        <f>IF(C194="","","Catalog Automation")</f>
        <v>0</v>
      </c>
      <c r="P194" s="9">
        <f>'01_Input_Raw_Products'!U194</f>
        <v>0</v>
      </c>
      <c r="Q194" s="7">
        <f>IF('01_Input_Raw_Products'!O194&lt;&gt;"",'01_Input_Raw_Products'!O194,IF('01_Input_Raw_Products'!N194&lt;&gt;"",'01_Input_Raw_Products'!N194*1.1,""))</f>
        <v>0</v>
      </c>
      <c r="R194" s="9">
        <f>'01_Input_Raw_Products'!S194</f>
        <v>0</v>
      </c>
      <c r="S194" s="9" cm="1">
        <f t="array" ref="S194">IFERROR(_xlfn.XLOOKUP('01_Input_Raw_Products'!F194,'10_Master_Gem_Types'!A:A,'10_Master_Gem_Types'!H:H),"")</f>
        <v>0</v>
      </c>
      <c r="T194" s="8">
        <f>'01_Input_Raw_Products'!Q194</f>
        <v>0</v>
      </c>
      <c r="U194" s="8">
        <f>'01_Input_Raw_Products'!R194</f>
        <v>0</v>
      </c>
      <c r="V194" s="7">
        <f>I194</f>
        <v>0</v>
      </c>
      <c r="W194" s="9" cm="1">
        <f t="array" ref="W194">IF('01_Input_Raw_Products'!G194&lt;&gt;"",'01_Input_Raw_Products'!G194,IFERROR(_xlfn.XLOOKUP('01_Input_Raw_Products'!F194,'10_Master_Gem_Types'!A:A,'10_Master_Gem_Types'!L:L),""))</f>
        <v>0</v>
      </c>
      <c r="X194" s="9" cm="1">
        <f t="array" ref="X194">IFERROR(_xlfn.XLOOKUP('01_Input_Raw_Products'!F194,'10_Master_Gem_Types'!A:A,'10_Master_Gem_Types'!J:J),"")</f>
        <v>0</v>
      </c>
      <c r="Y194" s="9" cm="1">
        <f t="array" ref="Y194">IFERROR(_xlfn.XLOOKUP('01_Input_Raw_Products'!F194,'10_Master_Gem_Types'!A:A,'10_Master_Gem_Types'!I:I),"")</f>
        <v>0</v>
      </c>
      <c r="Z194" s="9" cm="1">
        <f t="array" ref="Z194">IFERROR(_xlfn.XLOOKUP('01_Input_Raw_Products'!L194,'13_Certification_Stickers'!A:A,'13_Certification_Stickers'!C:C),"")</f>
        <v>0</v>
      </c>
      <c r="AA194" s="9" cm="1">
        <f t="array" ref="AA194">IFERROR(_xlfn.XLOOKUP('01_Input_Raw_Products'!S194,'14_Shipping_Rules'!A:A,'14_Shipping_Rules'!B:B),"")</f>
        <v>0</v>
      </c>
      <c r="AB194" s="9" cm="1">
        <f t="array" ref="AB194">IFERROR(_xlfn.XLOOKUP('01_Input_Raw_Products'!D194,'16_Astro_Flags'!A:A,'16_Astro_Flags'!B:B),"")</f>
        <v>0</v>
      </c>
      <c r="AC194" s="9">
        <f>IF(C194="","","Catalog, Search")</f>
        <v>0</v>
      </c>
      <c r="AD194" s="9">
        <f>IF(C194="","",IF(OR(F194="",J194="",M194="",S194="",Y194=""),"Manual Review","Ready"))</f>
        <v>0</v>
      </c>
      <c r="AE194" s="9">
        <f>IF(C194="","",TEXTJOIN("; ",TRUE,IF(F194="","Missing url_key",""),IF(J194="","Missing classification",""),IF(M194="","Missing j_colour",""),IF(S194="","Missing hsn_code",""),IF(Y194="","Missing tax_class_id","")))</f>
        <v>0</v>
      </c>
    </row>
    <row r="195" spans="1:31">
      <c r="A195" s="9">
        <f>IF('01_Input_Raw_Products'!B195&lt;&gt;"",20,"")</f>
        <v>0</v>
      </c>
      <c r="B195" s="9" cm="1">
        <f t="array" ref="B195">IF('01_Input_Raw_Products'!M195&lt;&gt;"",'01_Input_Raw_Products'!M195,IFERROR(_xlfn.XLOOKUP('01_Input_Raw_Products'!F195,'10_Master_Gem_Types'!A:A,'10_Master_Gem_Types'!K:K),""))</f>
        <v>0</v>
      </c>
      <c r="C195" s="9">
        <f>'01_Input_Raw_Products'!B195</f>
        <v>0</v>
      </c>
      <c r="D195" s="9">
        <f>IF(C195="","",TEXT(I195,"0.00")&amp;" Ct "&amp;IF('01_Input_Raw_Products'!F195&lt;&gt;"",'01_Input_Raw_Products'!F195,'01_Input_Raw_Products'!D195)&amp;" "&amp;'01_Input_Raw_Products'!I195)</f>
        <v>0</v>
      </c>
      <c r="E195" s="9">
        <f>IF(C195="","",D195&amp;" | GemPundit")</f>
        <v>0</v>
      </c>
      <c r="F195" s="9" cm="1">
        <f t="array" ref="F195">IF('01_Input_Raw_Products'!X195&lt;&gt;"",'01_Input_Raw_Products'!X195,IFERROR(_xlfn.XLOOKUP('01_Input_Raw_Products'!F195,'10_Master_Gem_Types'!A:A,'10_Master_Gem_Types'!O:O),LOWER(SUBSTITUTE(IF('01_Input_Raw_Products'!F195&lt;&gt;"",'01_Input_Raw_Products'!F195,'01_Input_Raw_Products'!D195)," ","-"))))</f>
        <v>0</v>
      </c>
      <c r="G195" s="9">
        <f>'01_Input_Raw_Products'!C195</f>
        <v>0</v>
      </c>
      <c r="H195" s="9" cm="1">
        <f t="array" ref="H195">IF('01_Input_Raw_Products'!H195&lt;&gt;"",'01_Input_Raw_Products'!H195,IFERROR(_xlfn.XLOOKUP('01_Input_Raw_Products'!F195,'10_Master_Gem_Types'!A:A,'10_Master_Gem_Types'!D:D),""))</f>
        <v>0</v>
      </c>
      <c r="I195" s="7">
        <f>IF('01_Input_Raw_Products'!N195&lt;&gt;"",'01_Input_Raw_Products'!N195,IF('01_Input_Raw_Products'!O195&lt;&gt;"",'01_Input_Raw_Products'!O195*0.91,""))</f>
        <v>0</v>
      </c>
      <c r="J195" s="9" cm="1">
        <f t="array" ref="J195">IFERROR(_xlfn.XLOOKUP('01_Input_Raw_Products'!F195,'10_Master_Gem_Types'!A:A,'10_Master_Gem_Types'!N:N),"")</f>
        <v>0</v>
      </c>
      <c r="K195" s="9" cm="1">
        <f t="array" ref="K195">IF('01_Input_Raw_Products'!J195&lt;&gt;"",'01_Input_Raw_Products'!J195,IFERROR(_xlfn.XLOOKUP('01_Input_Raw_Products'!F195,'10_Master_Gem_Types'!A:A,'10_Master_Gem_Types'!E:E),""))</f>
        <v>0</v>
      </c>
      <c r="L195" s="9">
        <f>'01_Input_Raw_Products'!P195</f>
        <v>0</v>
      </c>
      <c r="M195" s="9" cm="1">
        <f t="array" ref="M195">IFERROR(_xlfn.XLOOKUP('01_Input_Raw_Products'!K195,'12_Color_Mapping'!A:A,'12_Color_Mapping'!B:B),IFERROR(_xlfn.XLOOKUP('01_Input_Raw_Products'!F195,'10_Master_Gem_Types'!A:A,'10_Master_Gem_Types'!F:F),""))</f>
        <v>0</v>
      </c>
      <c r="N195" s="9">
        <f>IF(C195="","",IF('01_Input_Raw_Products'!F195&lt;&gt;"",'01_Input_Raw_Products'!F195,'01_Input_Raw_Products'!D195))</f>
        <v>0</v>
      </c>
      <c r="O195" s="9">
        <f>IF(C195="","","Catalog Automation")</f>
        <v>0</v>
      </c>
      <c r="P195" s="9">
        <f>'01_Input_Raw_Products'!U195</f>
        <v>0</v>
      </c>
      <c r="Q195" s="7">
        <f>IF('01_Input_Raw_Products'!O195&lt;&gt;"",'01_Input_Raw_Products'!O195,IF('01_Input_Raw_Products'!N195&lt;&gt;"",'01_Input_Raw_Products'!N195*1.1,""))</f>
        <v>0</v>
      </c>
      <c r="R195" s="9">
        <f>'01_Input_Raw_Products'!S195</f>
        <v>0</v>
      </c>
      <c r="S195" s="9" cm="1">
        <f t="array" ref="S195">IFERROR(_xlfn.XLOOKUP('01_Input_Raw_Products'!F195,'10_Master_Gem_Types'!A:A,'10_Master_Gem_Types'!H:H),"")</f>
        <v>0</v>
      </c>
      <c r="T195" s="8">
        <f>'01_Input_Raw_Products'!Q195</f>
        <v>0</v>
      </c>
      <c r="U195" s="8">
        <f>'01_Input_Raw_Products'!R195</f>
        <v>0</v>
      </c>
      <c r="V195" s="7">
        <f>I195</f>
        <v>0</v>
      </c>
      <c r="W195" s="9" cm="1">
        <f t="array" ref="W195">IF('01_Input_Raw_Products'!G195&lt;&gt;"",'01_Input_Raw_Products'!G195,IFERROR(_xlfn.XLOOKUP('01_Input_Raw_Products'!F195,'10_Master_Gem_Types'!A:A,'10_Master_Gem_Types'!L:L),""))</f>
        <v>0</v>
      </c>
      <c r="X195" s="9" cm="1">
        <f t="array" ref="X195">IFERROR(_xlfn.XLOOKUP('01_Input_Raw_Products'!F195,'10_Master_Gem_Types'!A:A,'10_Master_Gem_Types'!J:J),"")</f>
        <v>0</v>
      </c>
      <c r="Y195" s="9" cm="1">
        <f t="array" ref="Y195">IFERROR(_xlfn.XLOOKUP('01_Input_Raw_Products'!F195,'10_Master_Gem_Types'!A:A,'10_Master_Gem_Types'!I:I),"")</f>
        <v>0</v>
      </c>
      <c r="Z195" s="9" cm="1">
        <f t="array" ref="Z195">IFERROR(_xlfn.XLOOKUP('01_Input_Raw_Products'!L195,'13_Certification_Stickers'!A:A,'13_Certification_Stickers'!C:C),"")</f>
        <v>0</v>
      </c>
      <c r="AA195" s="9" cm="1">
        <f t="array" ref="AA195">IFERROR(_xlfn.XLOOKUP('01_Input_Raw_Products'!S195,'14_Shipping_Rules'!A:A,'14_Shipping_Rules'!B:B),"")</f>
        <v>0</v>
      </c>
      <c r="AB195" s="9" cm="1">
        <f t="array" ref="AB195">IFERROR(_xlfn.XLOOKUP('01_Input_Raw_Products'!D195,'16_Astro_Flags'!A:A,'16_Astro_Flags'!B:B),"")</f>
        <v>0</v>
      </c>
      <c r="AC195" s="9">
        <f>IF(C195="","","Catalog, Search")</f>
        <v>0</v>
      </c>
      <c r="AD195" s="9">
        <f>IF(C195="","",IF(OR(F195="",J195="",M195="",S195="",Y195=""),"Manual Review","Ready"))</f>
        <v>0</v>
      </c>
      <c r="AE195" s="9">
        <f>IF(C195="","",TEXTJOIN("; ",TRUE,IF(F195="","Missing url_key",""),IF(J195="","Missing classification",""),IF(M195="","Missing j_colour",""),IF(S195="","Missing hsn_code",""),IF(Y195="","Missing tax_class_id","")))</f>
        <v>0</v>
      </c>
    </row>
    <row r="196" spans="1:31">
      <c r="A196" s="9">
        <f>IF('01_Input_Raw_Products'!B196&lt;&gt;"",20,"")</f>
        <v>0</v>
      </c>
      <c r="B196" s="9" cm="1">
        <f t="array" ref="B196">IF('01_Input_Raw_Products'!M196&lt;&gt;"",'01_Input_Raw_Products'!M196,IFERROR(_xlfn.XLOOKUP('01_Input_Raw_Products'!F196,'10_Master_Gem_Types'!A:A,'10_Master_Gem_Types'!K:K),""))</f>
        <v>0</v>
      </c>
      <c r="C196" s="9">
        <f>'01_Input_Raw_Products'!B196</f>
        <v>0</v>
      </c>
      <c r="D196" s="9">
        <f>IF(C196="","",TEXT(I196,"0.00")&amp;" Ct "&amp;IF('01_Input_Raw_Products'!F196&lt;&gt;"",'01_Input_Raw_Products'!F196,'01_Input_Raw_Products'!D196)&amp;" "&amp;'01_Input_Raw_Products'!I196)</f>
        <v>0</v>
      </c>
      <c r="E196" s="9">
        <f>IF(C196="","",D196&amp;" | GemPundit")</f>
        <v>0</v>
      </c>
      <c r="F196" s="9" cm="1">
        <f t="array" ref="F196">IF('01_Input_Raw_Products'!X196&lt;&gt;"",'01_Input_Raw_Products'!X196,IFERROR(_xlfn.XLOOKUP('01_Input_Raw_Products'!F196,'10_Master_Gem_Types'!A:A,'10_Master_Gem_Types'!O:O),LOWER(SUBSTITUTE(IF('01_Input_Raw_Products'!F196&lt;&gt;"",'01_Input_Raw_Products'!F196,'01_Input_Raw_Products'!D196)," ","-"))))</f>
        <v>0</v>
      </c>
      <c r="G196" s="9">
        <f>'01_Input_Raw_Products'!C196</f>
        <v>0</v>
      </c>
      <c r="H196" s="9" cm="1">
        <f t="array" ref="H196">IF('01_Input_Raw_Products'!H196&lt;&gt;"",'01_Input_Raw_Products'!H196,IFERROR(_xlfn.XLOOKUP('01_Input_Raw_Products'!F196,'10_Master_Gem_Types'!A:A,'10_Master_Gem_Types'!D:D),""))</f>
        <v>0</v>
      </c>
      <c r="I196" s="7">
        <f>IF('01_Input_Raw_Products'!N196&lt;&gt;"",'01_Input_Raw_Products'!N196,IF('01_Input_Raw_Products'!O196&lt;&gt;"",'01_Input_Raw_Products'!O196*0.91,""))</f>
        <v>0</v>
      </c>
      <c r="J196" s="9" cm="1">
        <f t="array" ref="J196">IFERROR(_xlfn.XLOOKUP('01_Input_Raw_Products'!F196,'10_Master_Gem_Types'!A:A,'10_Master_Gem_Types'!N:N),"")</f>
        <v>0</v>
      </c>
      <c r="K196" s="9" cm="1">
        <f t="array" ref="K196">IF('01_Input_Raw_Products'!J196&lt;&gt;"",'01_Input_Raw_Products'!J196,IFERROR(_xlfn.XLOOKUP('01_Input_Raw_Products'!F196,'10_Master_Gem_Types'!A:A,'10_Master_Gem_Types'!E:E),""))</f>
        <v>0</v>
      </c>
      <c r="L196" s="9">
        <f>'01_Input_Raw_Products'!P196</f>
        <v>0</v>
      </c>
      <c r="M196" s="9" cm="1">
        <f t="array" ref="M196">IFERROR(_xlfn.XLOOKUP('01_Input_Raw_Products'!K196,'12_Color_Mapping'!A:A,'12_Color_Mapping'!B:B),IFERROR(_xlfn.XLOOKUP('01_Input_Raw_Products'!F196,'10_Master_Gem_Types'!A:A,'10_Master_Gem_Types'!F:F),""))</f>
        <v>0</v>
      </c>
      <c r="N196" s="9">
        <f>IF(C196="","",IF('01_Input_Raw_Products'!F196&lt;&gt;"",'01_Input_Raw_Products'!F196,'01_Input_Raw_Products'!D196))</f>
        <v>0</v>
      </c>
      <c r="O196" s="9">
        <f>IF(C196="","","Catalog Automation")</f>
        <v>0</v>
      </c>
      <c r="P196" s="9">
        <f>'01_Input_Raw_Products'!U196</f>
        <v>0</v>
      </c>
      <c r="Q196" s="7">
        <f>IF('01_Input_Raw_Products'!O196&lt;&gt;"",'01_Input_Raw_Products'!O196,IF('01_Input_Raw_Products'!N196&lt;&gt;"",'01_Input_Raw_Products'!N196*1.1,""))</f>
        <v>0</v>
      </c>
      <c r="R196" s="9">
        <f>'01_Input_Raw_Products'!S196</f>
        <v>0</v>
      </c>
      <c r="S196" s="9" cm="1">
        <f t="array" ref="S196">IFERROR(_xlfn.XLOOKUP('01_Input_Raw_Products'!F196,'10_Master_Gem_Types'!A:A,'10_Master_Gem_Types'!H:H),"")</f>
        <v>0</v>
      </c>
      <c r="T196" s="8">
        <f>'01_Input_Raw_Products'!Q196</f>
        <v>0</v>
      </c>
      <c r="U196" s="8">
        <f>'01_Input_Raw_Products'!R196</f>
        <v>0</v>
      </c>
      <c r="V196" s="7">
        <f>I196</f>
        <v>0</v>
      </c>
      <c r="W196" s="9" cm="1">
        <f t="array" ref="W196">IF('01_Input_Raw_Products'!G196&lt;&gt;"",'01_Input_Raw_Products'!G196,IFERROR(_xlfn.XLOOKUP('01_Input_Raw_Products'!F196,'10_Master_Gem_Types'!A:A,'10_Master_Gem_Types'!L:L),""))</f>
        <v>0</v>
      </c>
      <c r="X196" s="9" cm="1">
        <f t="array" ref="X196">IFERROR(_xlfn.XLOOKUP('01_Input_Raw_Products'!F196,'10_Master_Gem_Types'!A:A,'10_Master_Gem_Types'!J:J),"")</f>
        <v>0</v>
      </c>
      <c r="Y196" s="9" cm="1">
        <f t="array" ref="Y196">IFERROR(_xlfn.XLOOKUP('01_Input_Raw_Products'!F196,'10_Master_Gem_Types'!A:A,'10_Master_Gem_Types'!I:I),"")</f>
        <v>0</v>
      </c>
      <c r="Z196" s="9" cm="1">
        <f t="array" ref="Z196">IFERROR(_xlfn.XLOOKUP('01_Input_Raw_Products'!L196,'13_Certification_Stickers'!A:A,'13_Certification_Stickers'!C:C),"")</f>
        <v>0</v>
      </c>
      <c r="AA196" s="9" cm="1">
        <f t="array" ref="AA196">IFERROR(_xlfn.XLOOKUP('01_Input_Raw_Products'!S196,'14_Shipping_Rules'!A:A,'14_Shipping_Rules'!B:B),"")</f>
        <v>0</v>
      </c>
      <c r="AB196" s="9" cm="1">
        <f t="array" ref="AB196">IFERROR(_xlfn.XLOOKUP('01_Input_Raw_Products'!D196,'16_Astro_Flags'!A:A,'16_Astro_Flags'!B:B),"")</f>
        <v>0</v>
      </c>
      <c r="AC196" s="9">
        <f>IF(C196="","","Catalog, Search")</f>
        <v>0</v>
      </c>
      <c r="AD196" s="9">
        <f>IF(C196="","",IF(OR(F196="",J196="",M196="",S196="",Y196=""),"Manual Review","Ready"))</f>
        <v>0</v>
      </c>
      <c r="AE196" s="9">
        <f>IF(C196="","",TEXTJOIN("; ",TRUE,IF(F196="","Missing url_key",""),IF(J196="","Missing classification",""),IF(M196="","Missing j_colour",""),IF(S196="","Missing hsn_code",""),IF(Y196="","Missing tax_class_id","")))</f>
        <v>0</v>
      </c>
    </row>
    <row r="197" spans="1:31">
      <c r="A197" s="9">
        <f>IF('01_Input_Raw_Products'!B197&lt;&gt;"",20,"")</f>
        <v>0</v>
      </c>
      <c r="B197" s="9" cm="1">
        <f t="array" ref="B197">IF('01_Input_Raw_Products'!M197&lt;&gt;"",'01_Input_Raw_Products'!M197,IFERROR(_xlfn.XLOOKUP('01_Input_Raw_Products'!F197,'10_Master_Gem_Types'!A:A,'10_Master_Gem_Types'!K:K),""))</f>
        <v>0</v>
      </c>
      <c r="C197" s="9">
        <f>'01_Input_Raw_Products'!B197</f>
        <v>0</v>
      </c>
      <c r="D197" s="9">
        <f>IF(C197="","",TEXT(I197,"0.00")&amp;" Ct "&amp;IF('01_Input_Raw_Products'!F197&lt;&gt;"",'01_Input_Raw_Products'!F197,'01_Input_Raw_Products'!D197)&amp;" "&amp;'01_Input_Raw_Products'!I197)</f>
        <v>0</v>
      </c>
      <c r="E197" s="9">
        <f>IF(C197="","",D197&amp;" | GemPundit")</f>
        <v>0</v>
      </c>
      <c r="F197" s="9" cm="1">
        <f t="array" ref="F197">IF('01_Input_Raw_Products'!X197&lt;&gt;"",'01_Input_Raw_Products'!X197,IFERROR(_xlfn.XLOOKUP('01_Input_Raw_Products'!F197,'10_Master_Gem_Types'!A:A,'10_Master_Gem_Types'!O:O),LOWER(SUBSTITUTE(IF('01_Input_Raw_Products'!F197&lt;&gt;"",'01_Input_Raw_Products'!F197,'01_Input_Raw_Products'!D197)," ","-"))))</f>
        <v>0</v>
      </c>
      <c r="G197" s="9">
        <f>'01_Input_Raw_Products'!C197</f>
        <v>0</v>
      </c>
      <c r="H197" s="9" cm="1">
        <f t="array" ref="H197">IF('01_Input_Raw_Products'!H197&lt;&gt;"",'01_Input_Raw_Products'!H197,IFERROR(_xlfn.XLOOKUP('01_Input_Raw_Products'!F197,'10_Master_Gem_Types'!A:A,'10_Master_Gem_Types'!D:D),""))</f>
        <v>0</v>
      </c>
      <c r="I197" s="7">
        <f>IF('01_Input_Raw_Products'!N197&lt;&gt;"",'01_Input_Raw_Products'!N197,IF('01_Input_Raw_Products'!O197&lt;&gt;"",'01_Input_Raw_Products'!O197*0.91,""))</f>
        <v>0</v>
      </c>
      <c r="J197" s="9" cm="1">
        <f t="array" ref="J197">IFERROR(_xlfn.XLOOKUP('01_Input_Raw_Products'!F197,'10_Master_Gem_Types'!A:A,'10_Master_Gem_Types'!N:N),"")</f>
        <v>0</v>
      </c>
      <c r="K197" s="9" cm="1">
        <f t="array" ref="K197">IF('01_Input_Raw_Products'!J197&lt;&gt;"",'01_Input_Raw_Products'!J197,IFERROR(_xlfn.XLOOKUP('01_Input_Raw_Products'!F197,'10_Master_Gem_Types'!A:A,'10_Master_Gem_Types'!E:E),""))</f>
        <v>0</v>
      </c>
      <c r="L197" s="9">
        <f>'01_Input_Raw_Products'!P197</f>
        <v>0</v>
      </c>
      <c r="M197" s="9" cm="1">
        <f t="array" ref="M197">IFERROR(_xlfn.XLOOKUP('01_Input_Raw_Products'!K197,'12_Color_Mapping'!A:A,'12_Color_Mapping'!B:B),IFERROR(_xlfn.XLOOKUP('01_Input_Raw_Products'!F197,'10_Master_Gem_Types'!A:A,'10_Master_Gem_Types'!F:F),""))</f>
        <v>0</v>
      </c>
      <c r="N197" s="9">
        <f>IF(C197="","",IF('01_Input_Raw_Products'!F197&lt;&gt;"",'01_Input_Raw_Products'!F197,'01_Input_Raw_Products'!D197))</f>
        <v>0</v>
      </c>
      <c r="O197" s="9">
        <f>IF(C197="","","Catalog Automation")</f>
        <v>0</v>
      </c>
      <c r="P197" s="9">
        <f>'01_Input_Raw_Products'!U197</f>
        <v>0</v>
      </c>
      <c r="Q197" s="7">
        <f>IF('01_Input_Raw_Products'!O197&lt;&gt;"",'01_Input_Raw_Products'!O197,IF('01_Input_Raw_Products'!N197&lt;&gt;"",'01_Input_Raw_Products'!N197*1.1,""))</f>
        <v>0</v>
      </c>
      <c r="R197" s="9">
        <f>'01_Input_Raw_Products'!S197</f>
        <v>0</v>
      </c>
      <c r="S197" s="9" cm="1">
        <f t="array" ref="S197">IFERROR(_xlfn.XLOOKUP('01_Input_Raw_Products'!F197,'10_Master_Gem_Types'!A:A,'10_Master_Gem_Types'!H:H),"")</f>
        <v>0</v>
      </c>
      <c r="T197" s="8">
        <f>'01_Input_Raw_Products'!Q197</f>
        <v>0</v>
      </c>
      <c r="U197" s="8">
        <f>'01_Input_Raw_Products'!R197</f>
        <v>0</v>
      </c>
      <c r="V197" s="7">
        <f>I197</f>
        <v>0</v>
      </c>
      <c r="W197" s="9" cm="1">
        <f t="array" ref="W197">IF('01_Input_Raw_Products'!G197&lt;&gt;"",'01_Input_Raw_Products'!G197,IFERROR(_xlfn.XLOOKUP('01_Input_Raw_Products'!F197,'10_Master_Gem_Types'!A:A,'10_Master_Gem_Types'!L:L),""))</f>
        <v>0</v>
      </c>
      <c r="X197" s="9" cm="1">
        <f t="array" ref="X197">IFERROR(_xlfn.XLOOKUP('01_Input_Raw_Products'!F197,'10_Master_Gem_Types'!A:A,'10_Master_Gem_Types'!J:J),"")</f>
        <v>0</v>
      </c>
      <c r="Y197" s="9" cm="1">
        <f t="array" ref="Y197">IFERROR(_xlfn.XLOOKUP('01_Input_Raw_Products'!F197,'10_Master_Gem_Types'!A:A,'10_Master_Gem_Types'!I:I),"")</f>
        <v>0</v>
      </c>
      <c r="Z197" s="9" cm="1">
        <f t="array" ref="Z197">IFERROR(_xlfn.XLOOKUP('01_Input_Raw_Products'!L197,'13_Certification_Stickers'!A:A,'13_Certification_Stickers'!C:C),"")</f>
        <v>0</v>
      </c>
      <c r="AA197" s="9" cm="1">
        <f t="array" ref="AA197">IFERROR(_xlfn.XLOOKUP('01_Input_Raw_Products'!S197,'14_Shipping_Rules'!A:A,'14_Shipping_Rules'!B:B),"")</f>
        <v>0</v>
      </c>
      <c r="AB197" s="9" cm="1">
        <f t="array" ref="AB197">IFERROR(_xlfn.XLOOKUP('01_Input_Raw_Products'!D197,'16_Astro_Flags'!A:A,'16_Astro_Flags'!B:B),"")</f>
        <v>0</v>
      </c>
      <c r="AC197" s="9">
        <f>IF(C197="","","Catalog, Search")</f>
        <v>0</v>
      </c>
      <c r="AD197" s="9">
        <f>IF(C197="","",IF(OR(F197="",J197="",M197="",S197="",Y197=""),"Manual Review","Ready"))</f>
        <v>0</v>
      </c>
      <c r="AE197" s="9">
        <f>IF(C197="","",TEXTJOIN("; ",TRUE,IF(F197="","Missing url_key",""),IF(J197="","Missing classification",""),IF(M197="","Missing j_colour",""),IF(S197="","Missing hsn_code",""),IF(Y197="","Missing tax_class_id","")))</f>
        <v>0</v>
      </c>
    </row>
    <row r="198" spans="1:31">
      <c r="A198" s="9">
        <f>IF('01_Input_Raw_Products'!B198&lt;&gt;"",20,"")</f>
        <v>0</v>
      </c>
      <c r="B198" s="9" cm="1">
        <f t="array" ref="B198">IF('01_Input_Raw_Products'!M198&lt;&gt;"",'01_Input_Raw_Products'!M198,IFERROR(_xlfn.XLOOKUP('01_Input_Raw_Products'!F198,'10_Master_Gem_Types'!A:A,'10_Master_Gem_Types'!K:K),""))</f>
        <v>0</v>
      </c>
      <c r="C198" s="9">
        <f>'01_Input_Raw_Products'!B198</f>
        <v>0</v>
      </c>
      <c r="D198" s="9">
        <f>IF(C198="","",TEXT(I198,"0.00")&amp;" Ct "&amp;IF('01_Input_Raw_Products'!F198&lt;&gt;"",'01_Input_Raw_Products'!F198,'01_Input_Raw_Products'!D198)&amp;" "&amp;'01_Input_Raw_Products'!I198)</f>
        <v>0</v>
      </c>
      <c r="E198" s="9">
        <f>IF(C198="","",D198&amp;" | GemPundit")</f>
        <v>0</v>
      </c>
      <c r="F198" s="9" cm="1">
        <f t="array" ref="F198">IF('01_Input_Raw_Products'!X198&lt;&gt;"",'01_Input_Raw_Products'!X198,IFERROR(_xlfn.XLOOKUP('01_Input_Raw_Products'!F198,'10_Master_Gem_Types'!A:A,'10_Master_Gem_Types'!O:O),LOWER(SUBSTITUTE(IF('01_Input_Raw_Products'!F198&lt;&gt;"",'01_Input_Raw_Products'!F198,'01_Input_Raw_Products'!D198)," ","-"))))</f>
        <v>0</v>
      </c>
      <c r="G198" s="9">
        <f>'01_Input_Raw_Products'!C198</f>
        <v>0</v>
      </c>
      <c r="H198" s="9" cm="1">
        <f t="array" ref="H198">IF('01_Input_Raw_Products'!H198&lt;&gt;"",'01_Input_Raw_Products'!H198,IFERROR(_xlfn.XLOOKUP('01_Input_Raw_Products'!F198,'10_Master_Gem_Types'!A:A,'10_Master_Gem_Types'!D:D),""))</f>
        <v>0</v>
      </c>
      <c r="I198" s="7">
        <f>IF('01_Input_Raw_Products'!N198&lt;&gt;"",'01_Input_Raw_Products'!N198,IF('01_Input_Raw_Products'!O198&lt;&gt;"",'01_Input_Raw_Products'!O198*0.91,""))</f>
        <v>0</v>
      </c>
      <c r="J198" s="9" cm="1">
        <f t="array" ref="J198">IFERROR(_xlfn.XLOOKUP('01_Input_Raw_Products'!F198,'10_Master_Gem_Types'!A:A,'10_Master_Gem_Types'!N:N),"")</f>
        <v>0</v>
      </c>
      <c r="K198" s="9" cm="1">
        <f t="array" ref="K198">IF('01_Input_Raw_Products'!J198&lt;&gt;"",'01_Input_Raw_Products'!J198,IFERROR(_xlfn.XLOOKUP('01_Input_Raw_Products'!F198,'10_Master_Gem_Types'!A:A,'10_Master_Gem_Types'!E:E),""))</f>
        <v>0</v>
      </c>
      <c r="L198" s="9">
        <f>'01_Input_Raw_Products'!P198</f>
        <v>0</v>
      </c>
      <c r="M198" s="9" cm="1">
        <f t="array" ref="M198">IFERROR(_xlfn.XLOOKUP('01_Input_Raw_Products'!K198,'12_Color_Mapping'!A:A,'12_Color_Mapping'!B:B),IFERROR(_xlfn.XLOOKUP('01_Input_Raw_Products'!F198,'10_Master_Gem_Types'!A:A,'10_Master_Gem_Types'!F:F),""))</f>
        <v>0</v>
      </c>
      <c r="N198" s="9">
        <f>IF(C198="","",IF('01_Input_Raw_Products'!F198&lt;&gt;"",'01_Input_Raw_Products'!F198,'01_Input_Raw_Products'!D198))</f>
        <v>0</v>
      </c>
      <c r="O198" s="9">
        <f>IF(C198="","","Catalog Automation")</f>
        <v>0</v>
      </c>
      <c r="P198" s="9">
        <f>'01_Input_Raw_Products'!U198</f>
        <v>0</v>
      </c>
      <c r="Q198" s="7">
        <f>IF('01_Input_Raw_Products'!O198&lt;&gt;"",'01_Input_Raw_Products'!O198,IF('01_Input_Raw_Products'!N198&lt;&gt;"",'01_Input_Raw_Products'!N198*1.1,""))</f>
        <v>0</v>
      </c>
      <c r="R198" s="9">
        <f>'01_Input_Raw_Products'!S198</f>
        <v>0</v>
      </c>
      <c r="S198" s="9" cm="1">
        <f t="array" ref="S198">IFERROR(_xlfn.XLOOKUP('01_Input_Raw_Products'!F198,'10_Master_Gem_Types'!A:A,'10_Master_Gem_Types'!H:H),"")</f>
        <v>0</v>
      </c>
      <c r="T198" s="8">
        <f>'01_Input_Raw_Products'!Q198</f>
        <v>0</v>
      </c>
      <c r="U198" s="8">
        <f>'01_Input_Raw_Products'!R198</f>
        <v>0</v>
      </c>
      <c r="V198" s="7">
        <f>I198</f>
        <v>0</v>
      </c>
      <c r="W198" s="9" cm="1">
        <f t="array" ref="W198">IF('01_Input_Raw_Products'!G198&lt;&gt;"",'01_Input_Raw_Products'!G198,IFERROR(_xlfn.XLOOKUP('01_Input_Raw_Products'!F198,'10_Master_Gem_Types'!A:A,'10_Master_Gem_Types'!L:L),""))</f>
        <v>0</v>
      </c>
      <c r="X198" s="9" cm="1">
        <f t="array" ref="X198">IFERROR(_xlfn.XLOOKUP('01_Input_Raw_Products'!F198,'10_Master_Gem_Types'!A:A,'10_Master_Gem_Types'!J:J),"")</f>
        <v>0</v>
      </c>
      <c r="Y198" s="9" cm="1">
        <f t="array" ref="Y198">IFERROR(_xlfn.XLOOKUP('01_Input_Raw_Products'!F198,'10_Master_Gem_Types'!A:A,'10_Master_Gem_Types'!I:I),"")</f>
        <v>0</v>
      </c>
      <c r="Z198" s="9" cm="1">
        <f t="array" ref="Z198">IFERROR(_xlfn.XLOOKUP('01_Input_Raw_Products'!L198,'13_Certification_Stickers'!A:A,'13_Certification_Stickers'!C:C),"")</f>
        <v>0</v>
      </c>
      <c r="AA198" s="9" cm="1">
        <f t="array" ref="AA198">IFERROR(_xlfn.XLOOKUP('01_Input_Raw_Products'!S198,'14_Shipping_Rules'!A:A,'14_Shipping_Rules'!B:B),"")</f>
        <v>0</v>
      </c>
      <c r="AB198" s="9" cm="1">
        <f t="array" ref="AB198">IFERROR(_xlfn.XLOOKUP('01_Input_Raw_Products'!D198,'16_Astro_Flags'!A:A,'16_Astro_Flags'!B:B),"")</f>
        <v>0</v>
      </c>
      <c r="AC198" s="9">
        <f>IF(C198="","","Catalog, Search")</f>
        <v>0</v>
      </c>
      <c r="AD198" s="9">
        <f>IF(C198="","",IF(OR(F198="",J198="",M198="",S198="",Y198=""),"Manual Review","Ready"))</f>
        <v>0</v>
      </c>
      <c r="AE198" s="9">
        <f>IF(C198="","",TEXTJOIN("; ",TRUE,IF(F198="","Missing url_key",""),IF(J198="","Missing classification",""),IF(M198="","Missing j_colour",""),IF(S198="","Missing hsn_code",""),IF(Y198="","Missing tax_class_id","")))</f>
        <v>0</v>
      </c>
    </row>
    <row r="199" spans="1:31">
      <c r="A199" s="9">
        <f>IF('01_Input_Raw_Products'!B199&lt;&gt;"",20,"")</f>
        <v>0</v>
      </c>
      <c r="B199" s="9" cm="1">
        <f t="array" ref="B199">IF('01_Input_Raw_Products'!M199&lt;&gt;"",'01_Input_Raw_Products'!M199,IFERROR(_xlfn.XLOOKUP('01_Input_Raw_Products'!F199,'10_Master_Gem_Types'!A:A,'10_Master_Gem_Types'!K:K),""))</f>
        <v>0</v>
      </c>
      <c r="C199" s="9">
        <f>'01_Input_Raw_Products'!B199</f>
        <v>0</v>
      </c>
      <c r="D199" s="9">
        <f>IF(C199="","",TEXT(I199,"0.00")&amp;" Ct "&amp;IF('01_Input_Raw_Products'!F199&lt;&gt;"",'01_Input_Raw_Products'!F199,'01_Input_Raw_Products'!D199)&amp;" "&amp;'01_Input_Raw_Products'!I199)</f>
        <v>0</v>
      </c>
      <c r="E199" s="9">
        <f>IF(C199="","",D199&amp;" | GemPundit")</f>
        <v>0</v>
      </c>
      <c r="F199" s="9" cm="1">
        <f t="array" ref="F199">IF('01_Input_Raw_Products'!X199&lt;&gt;"",'01_Input_Raw_Products'!X199,IFERROR(_xlfn.XLOOKUP('01_Input_Raw_Products'!F199,'10_Master_Gem_Types'!A:A,'10_Master_Gem_Types'!O:O),LOWER(SUBSTITUTE(IF('01_Input_Raw_Products'!F199&lt;&gt;"",'01_Input_Raw_Products'!F199,'01_Input_Raw_Products'!D199)," ","-"))))</f>
        <v>0</v>
      </c>
      <c r="G199" s="9">
        <f>'01_Input_Raw_Products'!C199</f>
        <v>0</v>
      </c>
      <c r="H199" s="9" cm="1">
        <f t="array" ref="H199">IF('01_Input_Raw_Products'!H199&lt;&gt;"",'01_Input_Raw_Products'!H199,IFERROR(_xlfn.XLOOKUP('01_Input_Raw_Products'!F199,'10_Master_Gem_Types'!A:A,'10_Master_Gem_Types'!D:D),""))</f>
        <v>0</v>
      </c>
      <c r="I199" s="7">
        <f>IF('01_Input_Raw_Products'!N199&lt;&gt;"",'01_Input_Raw_Products'!N199,IF('01_Input_Raw_Products'!O199&lt;&gt;"",'01_Input_Raw_Products'!O199*0.91,""))</f>
        <v>0</v>
      </c>
      <c r="J199" s="9" cm="1">
        <f t="array" ref="J199">IFERROR(_xlfn.XLOOKUP('01_Input_Raw_Products'!F199,'10_Master_Gem_Types'!A:A,'10_Master_Gem_Types'!N:N),"")</f>
        <v>0</v>
      </c>
      <c r="K199" s="9" cm="1">
        <f t="array" ref="K199">IF('01_Input_Raw_Products'!J199&lt;&gt;"",'01_Input_Raw_Products'!J199,IFERROR(_xlfn.XLOOKUP('01_Input_Raw_Products'!F199,'10_Master_Gem_Types'!A:A,'10_Master_Gem_Types'!E:E),""))</f>
        <v>0</v>
      </c>
      <c r="L199" s="9">
        <f>'01_Input_Raw_Products'!P199</f>
        <v>0</v>
      </c>
      <c r="M199" s="9" cm="1">
        <f t="array" ref="M199">IFERROR(_xlfn.XLOOKUP('01_Input_Raw_Products'!K199,'12_Color_Mapping'!A:A,'12_Color_Mapping'!B:B),IFERROR(_xlfn.XLOOKUP('01_Input_Raw_Products'!F199,'10_Master_Gem_Types'!A:A,'10_Master_Gem_Types'!F:F),""))</f>
        <v>0</v>
      </c>
      <c r="N199" s="9">
        <f>IF(C199="","",IF('01_Input_Raw_Products'!F199&lt;&gt;"",'01_Input_Raw_Products'!F199,'01_Input_Raw_Products'!D199))</f>
        <v>0</v>
      </c>
      <c r="O199" s="9">
        <f>IF(C199="","","Catalog Automation")</f>
        <v>0</v>
      </c>
      <c r="P199" s="9">
        <f>'01_Input_Raw_Products'!U199</f>
        <v>0</v>
      </c>
      <c r="Q199" s="7">
        <f>IF('01_Input_Raw_Products'!O199&lt;&gt;"",'01_Input_Raw_Products'!O199,IF('01_Input_Raw_Products'!N199&lt;&gt;"",'01_Input_Raw_Products'!N199*1.1,""))</f>
        <v>0</v>
      </c>
      <c r="R199" s="9">
        <f>'01_Input_Raw_Products'!S199</f>
        <v>0</v>
      </c>
      <c r="S199" s="9" cm="1">
        <f t="array" ref="S199">IFERROR(_xlfn.XLOOKUP('01_Input_Raw_Products'!F199,'10_Master_Gem_Types'!A:A,'10_Master_Gem_Types'!H:H),"")</f>
        <v>0</v>
      </c>
      <c r="T199" s="8">
        <f>'01_Input_Raw_Products'!Q199</f>
        <v>0</v>
      </c>
      <c r="U199" s="8">
        <f>'01_Input_Raw_Products'!R199</f>
        <v>0</v>
      </c>
      <c r="V199" s="7">
        <f>I199</f>
        <v>0</v>
      </c>
      <c r="W199" s="9" cm="1">
        <f t="array" ref="W199">IF('01_Input_Raw_Products'!G199&lt;&gt;"",'01_Input_Raw_Products'!G199,IFERROR(_xlfn.XLOOKUP('01_Input_Raw_Products'!F199,'10_Master_Gem_Types'!A:A,'10_Master_Gem_Types'!L:L),""))</f>
        <v>0</v>
      </c>
      <c r="X199" s="9" cm="1">
        <f t="array" ref="X199">IFERROR(_xlfn.XLOOKUP('01_Input_Raw_Products'!F199,'10_Master_Gem_Types'!A:A,'10_Master_Gem_Types'!J:J),"")</f>
        <v>0</v>
      </c>
      <c r="Y199" s="9" cm="1">
        <f t="array" ref="Y199">IFERROR(_xlfn.XLOOKUP('01_Input_Raw_Products'!F199,'10_Master_Gem_Types'!A:A,'10_Master_Gem_Types'!I:I),"")</f>
        <v>0</v>
      </c>
      <c r="Z199" s="9" cm="1">
        <f t="array" ref="Z199">IFERROR(_xlfn.XLOOKUP('01_Input_Raw_Products'!L199,'13_Certification_Stickers'!A:A,'13_Certification_Stickers'!C:C),"")</f>
        <v>0</v>
      </c>
      <c r="AA199" s="9" cm="1">
        <f t="array" ref="AA199">IFERROR(_xlfn.XLOOKUP('01_Input_Raw_Products'!S199,'14_Shipping_Rules'!A:A,'14_Shipping_Rules'!B:B),"")</f>
        <v>0</v>
      </c>
      <c r="AB199" s="9" cm="1">
        <f t="array" ref="AB199">IFERROR(_xlfn.XLOOKUP('01_Input_Raw_Products'!D199,'16_Astro_Flags'!A:A,'16_Astro_Flags'!B:B),"")</f>
        <v>0</v>
      </c>
      <c r="AC199" s="9">
        <f>IF(C199="","","Catalog, Search")</f>
        <v>0</v>
      </c>
      <c r="AD199" s="9">
        <f>IF(C199="","",IF(OR(F199="",J199="",M199="",S199="",Y199=""),"Manual Review","Ready"))</f>
        <v>0</v>
      </c>
      <c r="AE199" s="9">
        <f>IF(C199="","",TEXTJOIN("; ",TRUE,IF(F199="","Missing url_key",""),IF(J199="","Missing classification",""),IF(M199="","Missing j_colour",""),IF(S199="","Missing hsn_code",""),IF(Y199="","Missing tax_class_id","")))</f>
        <v>0</v>
      </c>
    </row>
    <row r="200" spans="1:31">
      <c r="A200" s="9">
        <f>IF('01_Input_Raw_Products'!B200&lt;&gt;"",20,"")</f>
        <v>0</v>
      </c>
      <c r="B200" s="9" cm="1">
        <f t="array" ref="B200">IF('01_Input_Raw_Products'!M200&lt;&gt;"",'01_Input_Raw_Products'!M200,IFERROR(_xlfn.XLOOKUP('01_Input_Raw_Products'!F200,'10_Master_Gem_Types'!A:A,'10_Master_Gem_Types'!K:K),""))</f>
        <v>0</v>
      </c>
      <c r="C200" s="9">
        <f>'01_Input_Raw_Products'!B200</f>
        <v>0</v>
      </c>
      <c r="D200" s="9">
        <f>IF(C200="","",TEXT(I200,"0.00")&amp;" Ct "&amp;IF('01_Input_Raw_Products'!F200&lt;&gt;"",'01_Input_Raw_Products'!F200,'01_Input_Raw_Products'!D200)&amp;" "&amp;'01_Input_Raw_Products'!I200)</f>
        <v>0</v>
      </c>
      <c r="E200" s="9">
        <f>IF(C200="","",D200&amp;" | GemPundit")</f>
        <v>0</v>
      </c>
      <c r="F200" s="9" cm="1">
        <f t="array" ref="F200">IF('01_Input_Raw_Products'!X200&lt;&gt;"",'01_Input_Raw_Products'!X200,IFERROR(_xlfn.XLOOKUP('01_Input_Raw_Products'!F200,'10_Master_Gem_Types'!A:A,'10_Master_Gem_Types'!O:O),LOWER(SUBSTITUTE(IF('01_Input_Raw_Products'!F200&lt;&gt;"",'01_Input_Raw_Products'!F200,'01_Input_Raw_Products'!D200)," ","-"))))</f>
        <v>0</v>
      </c>
      <c r="G200" s="9">
        <f>'01_Input_Raw_Products'!C200</f>
        <v>0</v>
      </c>
      <c r="H200" s="9" cm="1">
        <f t="array" ref="H200">IF('01_Input_Raw_Products'!H200&lt;&gt;"",'01_Input_Raw_Products'!H200,IFERROR(_xlfn.XLOOKUP('01_Input_Raw_Products'!F200,'10_Master_Gem_Types'!A:A,'10_Master_Gem_Types'!D:D),""))</f>
        <v>0</v>
      </c>
      <c r="I200" s="7">
        <f>IF('01_Input_Raw_Products'!N200&lt;&gt;"",'01_Input_Raw_Products'!N200,IF('01_Input_Raw_Products'!O200&lt;&gt;"",'01_Input_Raw_Products'!O200*0.91,""))</f>
        <v>0</v>
      </c>
      <c r="J200" s="9" cm="1">
        <f t="array" ref="J200">IFERROR(_xlfn.XLOOKUP('01_Input_Raw_Products'!F200,'10_Master_Gem_Types'!A:A,'10_Master_Gem_Types'!N:N),"")</f>
        <v>0</v>
      </c>
      <c r="K200" s="9" cm="1">
        <f t="array" ref="K200">IF('01_Input_Raw_Products'!J200&lt;&gt;"",'01_Input_Raw_Products'!J200,IFERROR(_xlfn.XLOOKUP('01_Input_Raw_Products'!F200,'10_Master_Gem_Types'!A:A,'10_Master_Gem_Types'!E:E),""))</f>
        <v>0</v>
      </c>
      <c r="L200" s="9">
        <f>'01_Input_Raw_Products'!P200</f>
        <v>0</v>
      </c>
      <c r="M200" s="9" cm="1">
        <f t="array" ref="M200">IFERROR(_xlfn.XLOOKUP('01_Input_Raw_Products'!K200,'12_Color_Mapping'!A:A,'12_Color_Mapping'!B:B),IFERROR(_xlfn.XLOOKUP('01_Input_Raw_Products'!F200,'10_Master_Gem_Types'!A:A,'10_Master_Gem_Types'!F:F),""))</f>
        <v>0</v>
      </c>
      <c r="N200" s="9">
        <f>IF(C200="","",IF('01_Input_Raw_Products'!F200&lt;&gt;"",'01_Input_Raw_Products'!F200,'01_Input_Raw_Products'!D200))</f>
        <v>0</v>
      </c>
      <c r="O200" s="9">
        <f>IF(C200="","","Catalog Automation")</f>
        <v>0</v>
      </c>
      <c r="P200" s="9">
        <f>'01_Input_Raw_Products'!U200</f>
        <v>0</v>
      </c>
      <c r="Q200" s="7">
        <f>IF('01_Input_Raw_Products'!O200&lt;&gt;"",'01_Input_Raw_Products'!O200,IF('01_Input_Raw_Products'!N200&lt;&gt;"",'01_Input_Raw_Products'!N200*1.1,""))</f>
        <v>0</v>
      </c>
      <c r="R200" s="9">
        <f>'01_Input_Raw_Products'!S200</f>
        <v>0</v>
      </c>
      <c r="S200" s="9" cm="1">
        <f t="array" ref="S200">IFERROR(_xlfn.XLOOKUP('01_Input_Raw_Products'!F200,'10_Master_Gem_Types'!A:A,'10_Master_Gem_Types'!H:H),"")</f>
        <v>0</v>
      </c>
      <c r="T200" s="8">
        <f>'01_Input_Raw_Products'!Q200</f>
        <v>0</v>
      </c>
      <c r="U200" s="8">
        <f>'01_Input_Raw_Products'!R200</f>
        <v>0</v>
      </c>
      <c r="V200" s="7">
        <f>I200</f>
        <v>0</v>
      </c>
      <c r="W200" s="9" cm="1">
        <f t="array" ref="W200">IF('01_Input_Raw_Products'!G200&lt;&gt;"",'01_Input_Raw_Products'!G200,IFERROR(_xlfn.XLOOKUP('01_Input_Raw_Products'!F200,'10_Master_Gem_Types'!A:A,'10_Master_Gem_Types'!L:L),""))</f>
        <v>0</v>
      </c>
      <c r="X200" s="9" cm="1">
        <f t="array" ref="X200">IFERROR(_xlfn.XLOOKUP('01_Input_Raw_Products'!F200,'10_Master_Gem_Types'!A:A,'10_Master_Gem_Types'!J:J),"")</f>
        <v>0</v>
      </c>
      <c r="Y200" s="9" cm="1">
        <f t="array" ref="Y200">IFERROR(_xlfn.XLOOKUP('01_Input_Raw_Products'!F200,'10_Master_Gem_Types'!A:A,'10_Master_Gem_Types'!I:I),"")</f>
        <v>0</v>
      </c>
      <c r="Z200" s="9" cm="1">
        <f t="array" ref="Z200">IFERROR(_xlfn.XLOOKUP('01_Input_Raw_Products'!L200,'13_Certification_Stickers'!A:A,'13_Certification_Stickers'!C:C),"")</f>
        <v>0</v>
      </c>
      <c r="AA200" s="9" cm="1">
        <f t="array" ref="AA200">IFERROR(_xlfn.XLOOKUP('01_Input_Raw_Products'!S200,'14_Shipping_Rules'!A:A,'14_Shipping_Rules'!B:B),"")</f>
        <v>0</v>
      </c>
      <c r="AB200" s="9" cm="1">
        <f t="array" ref="AB200">IFERROR(_xlfn.XLOOKUP('01_Input_Raw_Products'!D200,'16_Astro_Flags'!A:A,'16_Astro_Flags'!B:B),"")</f>
        <v>0</v>
      </c>
      <c r="AC200" s="9">
        <f>IF(C200="","","Catalog, Search")</f>
        <v>0</v>
      </c>
      <c r="AD200" s="9">
        <f>IF(C200="","",IF(OR(F200="",J200="",M200="",S200="",Y200=""),"Manual Review","Ready"))</f>
        <v>0</v>
      </c>
      <c r="AE200" s="9">
        <f>IF(C200="","",TEXTJOIN("; ",TRUE,IF(F200="","Missing url_key",""),IF(J200="","Missing classification",""),IF(M200="","Missing j_colour",""),IF(S200="","Missing hsn_code",""),IF(Y200="","Missing tax_class_id","")))</f>
        <v>0</v>
      </c>
    </row>
    <row r="201" spans="1:31">
      <c r="A201" s="9">
        <f>IF('01_Input_Raw_Products'!B201&lt;&gt;"",20,"")</f>
        <v>0</v>
      </c>
      <c r="B201" s="9" cm="1">
        <f t="array" ref="B201">IF('01_Input_Raw_Products'!M201&lt;&gt;"",'01_Input_Raw_Products'!M201,IFERROR(_xlfn.XLOOKUP('01_Input_Raw_Products'!F201,'10_Master_Gem_Types'!A:A,'10_Master_Gem_Types'!K:K),""))</f>
        <v>0</v>
      </c>
      <c r="C201" s="9">
        <f>'01_Input_Raw_Products'!B201</f>
        <v>0</v>
      </c>
      <c r="D201" s="9">
        <f>IF(C201="","",TEXT(I201,"0.00")&amp;" Ct "&amp;IF('01_Input_Raw_Products'!F201&lt;&gt;"",'01_Input_Raw_Products'!F201,'01_Input_Raw_Products'!D201)&amp;" "&amp;'01_Input_Raw_Products'!I201)</f>
        <v>0</v>
      </c>
      <c r="E201" s="9">
        <f>IF(C201="","",D201&amp;" | GemPundit")</f>
        <v>0</v>
      </c>
      <c r="F201" s="9" cm="1">
        <f t="array" ref="F201">IF('01_Input_Raw_Products'!X201&lt;&gt;"",'01_Input_Raw_Products'!X201,IFERROR(_xlfn.XLOOKUP('01_Input_Raw_Products'!F201,'10_Master_Gem_Types'!A:A,'10_Master_Gem_Types'!O:O),LOWER(SUBSTITUTE(IF('01_Input_Raw_Products'!F201&lt;&gt;"",'01_Input_Raw_Products'!F201,'01_Input_Raw_Products'!D201)," ","-"))))</f>
        <v>0</v>
      </c>
      <c r="G201" s="9">
        <f>'01_Input_Raw_Products'!C201</f>
        <v>0</v>
      </c>
      <c r="H201" s="9" cm="1">
        <f t="array" ref="H201">IF('01_Input_Raw_Products'!H201&lt;&gt;"",'01_Input_Raw_Products'!H201,IFERROR(_xlfn.XLOOKUP('01_Input_Raw_Products'!F201,'10_Master_Gem_Types'!A:A,'10_Master_Gem_Types'!D:D),""))</f>
        <v>0</v>
      </c>
      <c r="I201" s="7">
        <f>IF('01_Input_Raw_Products'!N201&lt;&gt;"",'01_Input_Raw_Products'!N201,IF('01_Input_Raw_Products'!O201&lt;&gt;"",'01_Input_Raw_Products'!O201*0.91,""))</f>
        <v>0</v>
      </c>
      <c r="J201" s="9" cm="1">
        <f t="array" ref="J201">IFERROR(_xlfn.XLOOKUP('01_Input_Raw_Products'!F201,'10_Master_Gem_Types'!A:A,'10_Master_Gem_Types'!N:N),"")</f>
        <v>0</v>
      </c>
      <c r="K201" s="9" cm="1">
        <f t="array" ref="K201">IF('01_Input_Raw_Products'!J201&lt;&gt;"",'01_Input_Raw_Products'!J201,IFERROR(_xlfn.XLOOKUP('01_Input_Raw_Products'!F201,'10_Master_Gem_Types'!A:A,'10_Master_Gem_Types'!E:E),""))</f>
        <v>0</v>
      </c>
      <c r="L201" s="9">
        <f>'01_Input_Raw_Products'!P201</f>
        <v>0</v>
      </c>
      <c r="M201" s="9" cm="1">
        <f t="array" ref="M201">IFERROR(_xlfn.XLOOKUP('01_Input_Raw_Products'!K201,'12_Color_Mapping'!A:A,'12_Color_Mapping'!B:B),IFERROR(_xlfn.XLOOKUP('01_Input_Raw_Products'!F201,'10_Master_Gem_Types'!A:A,'10_Master_Gem_Types'!F:F),""))</f>
        <v>0</v>
      </c>
      <c r="N201" s="9">
        <f>IF(C201="","",IF('01_Input_Raw_Products'!F201&lt;&gt;"",'01_Input_Raw_Products'!F201,'01_Input_Raw_Products'!D201))</f>
        <v>0</v>
      </c>
      <c r="O201" s="9">
        <f>IF(C201="","","Catalog Automation")</f>
        <v>0</v>
      </c>
      <c r="P201" s="9">
        <f>'01_Input_Raw_Products'!U201</f>
        <v>0</v>
      </c>
      <c r="Q201" s="7">
        <f>IF('01_Input_Raw_Products'!O201&lt;&gt;"",'01_Input_Raw_Products'!O201,IF('01_Input_Raw_Products'!N201&lt;&gt;"",'01_Input_Raw_Products'!N201*1.1,""))</f>
        <v>0</v>
      </c>
      <c r="R201" s="9">
        <f>'01_Input_Raw_Products'!S201</f>
        <v>0</v>
      </c>
      <c r="S201" s="9" cm="1">
        <f t="array" ref="S201">IFERROR(_xlfn.XLOOKUP('01_Input_Raw_Products'!F201,'10_Master_Gem_Types'!A:A,'10_Master_Gem_Types'!H:H),"")</f>
        <v>0</v>
      </c>
      <c r="T201" s="8">
        <f>'01_Input_Raw_Products'!Q201</f>
        <v>0</v>
      </c>
      <c r="U201" s="8">
        <f>'01_Input_Raw_Products'!R201</f>
        <v>0</v>
      </c>
      <c r="V201" s="7">
        <f>I201</f>
        <v>0</v>
      </c>
      <c r="W201" s="9" cm="1">
        <f t="array" ref="W201">IF('01_Input_Raw_Products'!G201&lt;&gt;"",'01_Input_Raw_Products'!G201,IFERROR(_xlfn.XLOOKUP('01_Input_Raw_Products'!F201,'10_Master_Gem_Types'!A:A,'10_Master_Gem_Types'!L:L),""))</f>
        <v>0</v>
      </c>
      <c r="X201" s="9" cm="1">
        <f t="array" ref="X201">IFERROR(_xlfn.XLOOKUP('01_Input_Raw_Products'!F201,'10_Master_Gem_Types'!A:A,'10_Master_Gem_Types'!J:J),"")</f>
        <v>0</v>
      </c>
      <c r="Y201" s="9" cm="1">
        <f t="array" ref="Y201">IFERROR(_xlfn.XLOOKUP('01_Input_Raw_Products'!F201,'10_Master_Gem_Types'!A:A,'10_Master_Gem_Types'!I:I),"")</f>
        <v>0</v>
      </c>
      <c r="Z201" s="9" cm="1">
        <f t="array" ref="Z201">IFERROR(_xlfn.XLOOKUP('01_Input_Raw_Products'!L201,'13_Certification_Stickers'!A:A,'13_Certification_Stickers'!C:C),"")</f>
        <v>0</v>
      </c>
      <c r="AA201" s="9" cm="1">
        <f t="array" ref="AA201">IFERROR(_xlfn.XLOOKUP('01_Input_Raw_Products'!S201,'14_Shipping_Rules'!A:A,'14_Shipping_Rules'!B:B),"")</f>
        <v>0</v>
      </c>
      <c r="AB201" s="9" cm="1">
        <f t="array" ref="AB201">IFERROR(_xlfn.XLOOKUP('01_Input_Raw_Products'!D201,'16_Astro_Flags'!A:A,'16_Astro_Flags'!B:B),"")</f>
        <v>0</v>
      </c>
      <c r="AC201" s="9">
        <f>IF(C201="","","Catalog, Search")</f>
        <v>0</v>
      </c>
      <c r="AD201" s="9">
        <f>IF(C201="","",IF(OR(F201="",J201="",M201="",S201="",Y201=""),"Manual Review","Ready"))</f>
        <v>0</v>
      </c>
      <c r="AE201" s="9">
        <f>IF(C201="","",TEXTJOIN("; ",TRUE,IF(F201="","Missing url_key",""),IF(J201="","Missing classification",""),IF(M201="","Missing j_colour",""),IF(S201="","Missing hsn_code",""),IF(Y201="","Missing tax_class_id","")))</f>
        <v>0</v>
      </c>
    </row>
    <row r="202" spans="1:31">
      <c r="A202" s="9">
        <f>IF('01_Input_Raw_Products'!B202&lt;&gt;"",20,"")</f>
        <v>0</v>
      </c>
      <c r="B202" s="9" cm="1">
        <f t="array" ref="B202">IF('01_Input_Raw_Products'!M202&lt;&gt;"",'01_Input_Raw_Products'!M202,IFERROR(_xlfn.XLOOKUP('01_Input_Raw_Products'!F202,'10_Master_Gem_Types'!A:A,'10_Master_Gem_Types'!K:K),""))</f>
        <v>0</v>
      </c>
      <c r="C202" s="9">
        <f>'01_Input_Raw_Products'!B202</f>
        <v>0</v>
      </c>
      <c r="D202" s="9">
        <f>IF(C202="","",TEXT(I202,"0.00")&amp;" Ct "&amp;IF('01_Input_Raw_Products'!F202&lt;&gt;"",'01_Input_Raw_Products'!F202,'01_Input_Raw_Products'!D202)&amp;" "&amp;'01_Input_Raw_Products'!I202)</f>
        <v>0</v>
      </c>
      <c r="E202" s="9">
        <f>IF(C202="","",D202&amp;" | GemPundit")</f>
        <v>0</v>
      </c>
      <c r="F202" s="9" cm="1">
        <f t="array" ref="F202">IF('01_Input_Raw_Products'!X202&lt;&gt;"",'01_Input_Raw_Products'!X202,IFERROR(_xlfn.XLOOKUP('01_Input_Raw_Products'!F202,'10_Master_Gem_Types'!A:A,'10_Master_Gem_Types'!O:O),LOWER(SUBSTITUTE(IF('01_Input_Raw_Products'!F202&lt;&gt;"",'01_Input_Raw_Products'!F202,'01_Input_Raw_Products'!D202)," ","-"))))</f>
        <v>0</v>
      </c>
      <c r="G202" s="9">
        <f>'01_Input_Raw_Products'!C202</f>
        <v>0</v>
      </c>
      <c r="H202" s="9" cm="1">
        <f t="array" ref="H202">IF('01_Input_Raw_Products'!H202&lt;&gt;"",'01_Input_Raw_Products'!H202,IFERROR(_xlfn.XLOOKUP('01_Input_Raw_Products'!F202,'10_Master_Gem_Types'!A:A,'10_Master_Gem_Types'!D:D),""))</f>
        <v>0</v>
      </c>
      <c r="I202" s="7">
        <f>IF('01_Input_Raw_Products'!N202&lt;&gt;"",'01_Input_Raw_Products'!N202,IF('01_Input_Raw_Products'!O202&lt;&gt;"",'01_Input_Raw_Products'!O202*0.91,""))</f>
        <v>0</v>
      </c>
      <c r="J202" s="9" cm="1">
        <f t="array" ref="J202">IFERROR(_xlfn.XLOOKUP('01_Input_Raw_Products'!F202,'10_Master_Gem_Types'!A:A,'10_Master_Gem_Types'!N:N),"")</f>
        <v>0</v>
      </c>
      <c r="K202" s="9" cm="1">
        <f t="array" ref="K202">IF('01_Input_Raw_Products'!J202&lt;&gt;"",'01_Input_Raw_Products'!J202,IFERROR(_xlfn.XLOOKUP('01_Input_Raw_Products'!F202,'10_Master_Gem_Types'!A:A,'10_Master_Gem_Types'!E:E),""))</f>
        <v>0</v>
      </c>
      <c r="L202" s="9">
        <f>'01_Input_Raw_Products'!P202</f>
        <v>0</v>
      </c>
      <c r="M202" s="9" cm="1">
        <f t="array" ref="M202">IFERROR(_xlfn.XLOOKUP('01_Input_Raw_Products'!K202,'12_Color_Mapping'!A:A,'12_Color_Mapping'!B:B),IFERROR(_xlfn.XLOOKUP('01_Input_Raw_Products'!F202,'10_Master_Gem_Types'!A:A,'10_Master_Gem_Types'!F:F),""))</f>
        <v>0</v>
      </c>
      <c r="N202" s="9">
        <f>IF(C202="","",IF('01_Input_Raw_Products'!F202&lt;&gt;"",'01_Input_Raw_Products'!F202,'01_Input_Raw_Products'!D202))</f>
        <v>0</v>
      </c>
      <c r="O202" s="9">
        <f>IF(C202="","","Catalog Automation")</f>
        <v>0</v>
      </c>
      <c r="P202" s="9">
        <f>'01_Input_Raw_Products'!U202</f>
        <v>0</v>
      </c>
      <c r="Q202" s="7">
        <f>IF('01_Input_Raw_Products'!O202&lt;&gt;"",'01_Input_Raw_Products'!O202,IF('01_Input_Raw_Products'!N202&lt;&gt;"",'01_Input_Raw_Products'!N202*1.1,""))</f>
        <v>0</v>
      </c>
      <c r="R202" s="9">
        <f>'01_Input_Raw_Products'!S202</f>
        <v>0</v>
      </c>
      <c r="S202" s="9" cm="1">
        <f t="array" ref="S202">IFERROR(_xlfn.XLOOKUP('01_Input_Raw_Products'!F202,'10_Master_Gem_Types'!A:A,'10_Master_Gem_Types'!H:H),"")</f>
        <v>0</v>
      </c>
      <c r="T202" s="8">
        <f>'01_Input_Raw_Products'!Q202</f>
        <v>0</v>
      </c>
      <c r="U202" s="8">
        <f>'01_Input_Raw_Products'!R202</f>
        <v>0</v>
      </c>
      <c r="V202" s="7">
        <f>I202</f>
        <v>0</v>
      </c>
      <c r="W202" s="9" cm="1">
        <f t="array" ref="W202">IF('01_Input_Raw_Products'!G202&lt;&gt;"",'01_Input_Raw_Products'!G202,IFERROR(_xlfn.XLOOKUP('01_Input_Raw_Products'!F202,'10_Master_Gem_Types'!A:A,'10_Master_Gem_Types'!L:L),""))</f>
        <v>0</v>
      </c>
      <c r="X202" s="9" cm="1">
        <f t="array" ref="X202">IFERROR(_xlfn.XLOOKUP('01_Input_Raw_Products'!F202,'10_Master_Gem_Types'!A:A,'10_Master_Gem_Types'!J:J),"")</f>
        <v>0</v>
      </c>
      <c r="Y202" s="9" cm="1">
        <f t="array" ref="Y202">IFERROR(_xlfn.XLOOKUP('01_Input_Raw_Products'!F202,'10_Master_Gem_Types'!A:A,'10_Master_Gem_Types'!I:I),"")</f>
        <v>0</v>
      </c>
      <c r="Z202" s="9" cm="1">
        <f t="array" ref="Z202">IFERROR(_xlfn.XLOOKUP('01_Input_Raw_Products'!L202,'13_Certification_Stickers'!A:A,'13_Certification_Stickers'!C:C),"")</f>
        <v>0</v>
      </c>
      <c r="AA202" s="9" cm="1">
        <f t="array" ref="AA202">IFERROR(_xlfn.XLOOKUP('01_Input_Raw_Products'!S202,'14_Shipping_Rules'!A:A,'14_Shipping_Rules'!B:B),"")</f>
        <v>0</v>
      </c>
      <c r="AB202" s="9" cm="1">
        <f t="array" ref="AB202">IFERROR(_xlfn.XLOOKUP('01_Input_Raw_Products'!D202,'16_Astro_Flags'!A:A,'16_Astro_Flags'!B:B),"")</f>
        <v>0</v>
      </c>
      <c r="AC202" s="9">
        <f>IF(C202="","","Catalog, Search")</f>
        <v>0</v>
      </c>
      <c r="AD202" s="9">
        <f>IF(C202="","",IF(OR(F202="",J202="",M202="",S202="",Y202=""),"Manual Review","Ready"))</f>
        <v>0</v>
      </c>
      <c r="AE202" s="9">
        <f>IF(C202="","",TEXTJOIN("; ",TRUE,IF(F202="","Missing url_key",""),IF(J202="","Missing classification",""),IF(M202="","Missing j_colour",""),IF(S202="","Missing hsn_code",""),IF(Y202="","Missing tax_class_id","")))</f>
        <v>0</v>
      </c>
    </row>
    <row r="203" spans="1:31">
      <c r="A203" s="9">
        <f>IF('01_Input_Raw_Products'!B203&lt;&gt;"",20,"")</f>
        <v>0</v>
      </c>
      <c r="B203" s="9" cm="1">
        <f t="array" ref="B203">IF('01_Input_Raw_Products'!M203&lt;&gt;"",'01_Input_Raw_Products'!M203,IFERROR(_xlfn.XLOOKUP('01_Input_Raw_Products'!F203,'10_Master_Gem_Types'!A:A,'10_Master_Gem_Types'!K:K),""))</f>
        <v>0</v>
      </c>
      <c r="C203" s="9">
        <f>'01_Input_Raw_Products'!B203</f>
        <v>0</v>
      </c>
      <c r="D203" s="9">
        <f>IF(C203="","",TEXT(I203,"0.00")&amp;" Ct "&amp;IF('01_Input_Raw_Products'!F203&lt;&gt;"",'01_Input_Raw_Products'!F203,'01_Input_Raw_Products'!D203)&amp;" "&amp;'01_Input_Raw_Products'!I203)</f>
        <v>0</v>
      </c>
      <c r="E203" s="9">
        <f>IF(C203="","",D203&amp;" | GemPundit")</f>
        <v>0</v>
      </c>
      <c r="F203" s="9" cm="1">
        <f t="array" ref="F203">IF('01_Input_Raw_Products'!X203&lt;&gt;"",'01_Input_Raw_Products'!X203,IFERROR(_xlfn.XLOOKUP('01_Input_Raw_Products'!F203,'10_Master_Gem_Types'!A:A,'10_Master_Gem_Types'!O:O),LOWER(SUBSTITUTE(IF('01_Input_Raw_Products'!F203&lt;&gt;"",'01_Input_Raw_Products'!F203,'01_Input_Raw_Products'!D203)," ","-"))))</f>
        <v>0</v>
      </c>
      <c r="G203" s="9">
        <f>'01_Input_Raw_Products'!C203</f>
        <v>0</v>
      </c>
      <c r="H203" s="9" cm="1">
        <f t="array" ref="H203">IF('01_Input_Raw_Products'!H203&lt;&gt;"",'01_Input_Raw_Products'!H203,IFERROR(_xlfn.XLOOKUP('01_Input_Raw_Products'!F203,'10_Master_Gem_Types'!A:A,'10_Master_Gem_Types'!D:D),""))</f>
        <v>0</v>
      </c>
      <c r="I203" s="7">
        <f>IF('01_Input_Raw_Products'!N203&lt;&gt;"",'01_Input_Raw_Products'!N203,IF('01_Input_Raw_Products'!O203&lt;&gt;"",'01_Input_Raw_Products'!O203*0.91,""))</f>
        <v>0</v>
      </c>
      <c r="J203" s="9" cm="1">
        <f t="array" ref="J203">IFERROR(_xlfn.XLOOKUP('01_Input_Raw_Products'!F203,'10_Master_Gem_Types'!A:A,'10_Master_Gem_Types'!N:N),"")</f>
        <v>0</v>
      </c>
      <c r="K203" s="9" cm="1">
        <f t="array" ref="K203">IF('01_Input_Raw_Products'!J203&lt;&gt;"",'01_Input_Raw_Products'!J203,IFERROR(_xlfn.XLOOKUP('01_Input_Raw_Products'!F203,'10_Master_Gem_Types'!A:A,'10_Master_Gem_Types'!E:E),""))</f>
        <v>0</v>
      </c>
      <c r="L203" s="9">
        <f>'01_Input_Raw_Products'!P203</f>
        <v>0</v>
      </c>
      <c r="M203" s="9" cm="1">
        <f t="array" ref="M203">IFERROR(_xlfn.XLOOKUP('01_Input_Raw_Products'!K203,'12_Color_Mapping'!A:A,'12_Color_Mapping'!B:B),IFERROR(_xlfn.XLOOKUP('01_Input_Raw_Products'!F203,'10_Master_Gem_Types'!A:A,'10_Master_Gem_Types'!F:F),""))</f>
        <v>0</v>
      </c>
      <c r="N203" s="9">
        <f>IF(C203="","",IF('01_Input_Raw_Products'!F203&lt;&gt;"",'01_Input_Raw_Products'!F203,'01_Input_Raw_Products'!D203))</f>
        <v>0</v>
      </c>
      <c r="O203" s="9">
        <f>IF(C203="","","Catalog Automation")</f>
        <v>0</v>
      </c>
      <c r="P203" s="9">
        <f>'01_Input_Raw_Products'!U203</f>
        <v>0</v>
      </c>
      <c r="Q203" s="7">
        <f>IF('01_Input_Raw_Products'!O203&lt;&gt;"",'01_Input_Raw_Products'!O203,IF('01_Input_Raw_Products'!N203&lt;&gt;"",'01_Input_Raw_Products'!N203*1.1,""))</f>
        <v>0</v>
      </c>
      <c r="R203" s="9">
        <f>'01_Input_Raw_Products'!S203</f>
        <v>0</v>
      </c>
      <c r="S203" s="9" cm="1">
        <f t="array" ref="S203">IFERROR(_xlfn.XLOOKUP('01_Input_Raw_Products'!F203,'10_Master_Gem_Types'!A:A,'10_Master_Gem_Types'!H:H),"")</f>
        <v>0</v>
      </c>
      <c r="T203" s="8">
        <f>'01_Input_Raw_Products'!Q203</f>
        <v>0</v>
      </c>
      <c r="U203" s="8">
        <f>'01_Input_Raw_Products'!R203</f>
        <v>0</v>
      </c>
      <c r="V203" s="7">
        <f>I203</f>
        <v>0</v>
      </c>
      <c r="W203" s="9" cm="1">
        <f t="array" ref="W203">IF('01_Input_Raw_Products'!G203&lt;&gt;"",'01_Input_Raw_Products'!G203,IFERROR(_xlfn.XLOOKUP('01_Input_Raw_Products'!F203,'10_Master_Gem_Types'!A:A,'10_Master_Gem_Types'!L:L),""))</f>
        <v>0</v>
      </c>
      <c r="X203" s="9" cm="1">
        <f t="array" ref="X203">IFERROR(_xlfn.XLOOKUP('01_Input_Raw_Products'!F203,'10_Master_Gem_Types'!A:A,'10_Master_Gem_Types'!J:J),"")</f>
        <v>0</v>
      </c>
      <c r="Y203" s="9" cm="1">
        <f t="array" ref="Y203">IFERROR(_xlfn.XLOOKUP('01_Input_Raw_Products'!F203,'10_Master_Gem_Types'!A:A,'10_Master_Gem_Types'!I:I),"")</f>
        <v>0</v>
      </c>
      <c r="Z203" s="9" cm="1">
        <f t="array" ref="Z203">IFERROR(_xlfn.XLOOKUP('01_Input_Raw_Products'!L203,'13_Certification_Stickers'!A:A,'13_Certification_Stickers'!C:C),"")</f>
        <v>0</v>
      </c>
      <c r="AA203" s="9" cm="1">
        <f t="array" ref="AA203">IFERROR(_xlfn.XLOOKUP('01_Input_Raw_Products'!S203,'14_Shipping_Rules'!A:A,'14_Shipping_Rules'!B:B),"")</f>
        <v>0</v>
      </c>
      <c r="AB203" s="9" cm="1">
        <f t="array" ref="AB203">IFERROR(_xlfn.XLOOKUP('01_Input_Raw_Products'!D203,'16_Astro_Flags'!A:A,'16_Astro_Flags'!B:B),"")</f>
        <v>0</v>
      </c>
      <c r="AC203" s="9">
        <f>IF(C203="","","Catalog, Search")</f>
        <v>0</v>
      </c>
      <c r="AD203" s="9">
        <f>IF(C203="","",IF(OR(F203="",J203="",M203="",S203="",Y203=""),"Manual Review","Ready"))</f>
        <v>0</v>
      </c>
      <c r="AE203" s="9">
        <f>IF(C203="","",TEXTJOIN("; ",TRUE,IF(F203="","Missing url_key",""),IF(J203="","Missing classification",""),IF(M203="","Missing j_colour",""),IF(S203="","Missing hsn_code",""),IF(Y203="","Missing tax_class_id","")))</f>
        <v>0</v>
      </c>
    </row>
    <row r="204" spans="1:31">
      <c r="A204" s="9">
        <f>IF('01_Input_Raw_Products'!B204&lt;&gt;"",20,"")</f>
        <v>0</v>
      </c>
      <c r="B204" s="9" cm="1">
        <f t="array" ref="B204">IF('01_Input_Raw_Products'!M204&lt;&gt;"",'01_Input_Raw_Products'!M204,IFERROR(_xlfn.XLOOKUP('01_Input_Raw_Products'!F204,'10_Master_Gem_Types'!A:A,'10_Master_Gem_Types'!K:K),""))</f>
        <v>0</v>
      </c>
      <c r="C204" s="9">
        <f>'01_Input_Raw_Products'!B204</f>
        <v>0</v>
      </c>
      <c r="D204" s="9">
        <f>IF(C204="","",TEXT(I204,"0.00")&amp;" Ct "&amp;IF('01_Input_Raw_Products'!F204&lt;&gt;"",'01_Input_Raw_Products'!F204,'01_Input_Raw_Products'!D204)&amp;" "&amp;'01_Input_Raw_Products'!I204)</f>
        <v>0</v>
      </c>
      <c r="E204" s="9">
        <f>IF(C204="","",D204&amp;" | GemPundit")</f>
        <v>0</v>
      </c>
      <c r="F204" s="9" cm="1">
        <f t="array" ref="F204">IF('01_Input_Raw_Products'!X204&lt;&gt;"",'01_Input_Raw_Products'!X204,IFERROR(_xlfn.XLOOKUP('01_Input_Raw_Products'!F204,'10_Master_Gem_Types'!A:A,'10_Master_Gem_Types'!O:O),LOWER(SUBSTITUTE(IF('01_Input_Raw_Products'!F204&lt;&gt;"",'01_Input_Raw_Products'!F204,'01_Input_Raw_Products'!D204)," ","-"))))</f>
        <v>0</v>
      </c>
      <c r="G204" s="9">
        <f>'01_Input_Raw_Products'!C204</f>
        <v>0</v>
      </c>
      <c r="H204" s="9" cm="1">
        <f t="array" ref="H204">IF('01_Input_Raw_Products'!H204&lt;&gt;"",'01_Input_Raw_Products'!H204,IFERROR(_xlfn.XLOOKUP('01_Input_Raw_Products'!F204,'10_Master_Gem_Types'!A:A,'10_Master_Gem_Types'!D:D),""))</f>
        <v>0</v>
      </c>
      <c r="I204" s="7">
        <f>IF('01_Input_Raw_Products'!N204&lt;&gt;"",'01_Input_Raw_Products'!N204,IF('01_Input_Raw_Products'!O204&lt;&gt;"",'01_Input_Raw_Products'!O204*0.91,""))</f>
        <v>0</v>
      </c>
      <c r="J204" s="9" cm="1">
        <f t="array" ref="J204">IFERROR(_xlfn.XLOOKUP('01_Input_Raw_Products'!F204,'10_Master_Gem_Types'!A:A,'10_Master_Gem_Types'!N:N),"")</f>
        <v>0</v>
      </c>
      <c r="K204" s="9" cm="1">
        <f t="array" ref="K204">IF('01_Input_Raw_Products'!J204&lt;&gt;"",'01_Input_Raw_Products'!J204,IFERROR(_xlfn.XLOOKUP('01_Input_Raw_Products'!F204,'10_Master_Gem_Types'!A:A,'10_Master_Gem_Types'!E:E),""))</f>
        <v>0</v>
      </c>
      <c r="L204" s="9">
        <f>'01_Input_Raw_Products'!P204</f>
        <v>0</v>
      </c>
      <c r="M204" s="9" cm="1">
        <f t="array" ref="M204">IFERROR(_xlfn.XLOOKUP('01_Input_Raw_Products'!K204,'12_Color_Mapping'!A:A,'12_Color_Mapping'!B:B),IFERROR(_xlfn.XLOOKUP('01_Input_Raw_Products'!F204,'10_Master_Gem_Types'!A:A,'10_Master_Gem_Types'!F:F),""))</f>
        <v>0</v>
      </c>
      <c r="N204" s="9">
        <f>IF(C204="","",IF('01_Input_Raw_Products'!F204&lt;&gt;"",'01_Input_Raw_Products'!F204,'01_Input_Raw_Products'!D204))</f>
        <v>0</v>
      </c>
      <c r="O204" s="9">
        <f>IF(C204="","","Catalog Automation")</f>
        <v>0</v>
      </c>
      <c r="P204" s="9">
        <f>'01_Input_Raw_Products'!U204</f>
        <v>0</v>
      </c>
      <c r="Q204" s="7">
        <f>IF('01_Input_Raw_Products'!O204&lt;&gt;"",'01_Input_Raw_Products'!O204,IF('01_Input_Raw_Products'!N204&lt;&gt;"",'01_Input_Raw_Products'!N204*1.1,""))</f>
        <v>0</v>
      </c>
      <c r="R204" s="9">
        <f>'01_Input_Raw_Products'!S204</f>
        <v>0</v>
      </c>
      <c r="S204" s="9" cm="1">
        <f t="array" ref="S204">IFERROR(_xlfn.XLOOKUP('01_Input_Raw_Products'!F204,'10_Master_Gem_Types'!A:A,'10_Master_Gem_Types'!H:H),"")</f>
        <v>0</v>
      </c>
      <c r="T204" s="8">
        <f>'01_Input_Raw_Products'!Q204</f>
        <v>0</v>
      </c>
      <c r="U204" s="8">
        <f>'01_Input_Raw_Products'!R204</f>
        <v>0</v>
      </c>
      <c r="V204" s="7">
        <f>I204</f>
        <v>0</v>
      </c>
      <c r="W204" s="9" cm="1">
        <f t="array" ref="W204">IF('01_Input_Raw_Products'!G204&lt;&gt;"",'01_Input_Raw_Products'!G204,IFERROR(_xlfn.XLOOKUP('01_Input_Raw_Products'!F204,'10_Master_Gem_Types'!A:A,'10_Master_Gem_Types'!L:L),""))</f>
        <v>0</v>
      </c>
      <c r="X204" s="9" cm="1">
        <f t="array" ref="X204">IFERROR(_xlfn.XLOOKUP('01_Input_Raw_Products'!F204,'10_Master_Gem_Types'!A:A,'10_Master_Gem_Types'!J:J),"")</f>
        <v>0</v>
      </c>
      <c r="Y204" s="9" cm="1">
        <f t="array" ref="Y204">IFERROR(_xlfn.XLOOKUP('01_Input_Raw_Products'!F204,'10_Master_Gem_Types'!A:A,'10_Master_Gem_Types'!I:I),"")</f>
        <v>0</v>
      </c>
      <c r="Z204" s="9" cm="1">
        <f t="array" ref="Z204">IFERROR(_xlfn.XLOOKUP('01_Input_Raw_Products'!L204,'13_Certification_Stickers'!A:A,'13_Certification_Stickers'!C:C),"")</f>
        <v>0</v>
      </c>
      <c r="AA204" s="9" cm="1">
        <f t="array" ref="AA204">IFERROR(_xlfn.XLOOKUP('01_Input_Raw_Products'!S204,'14_Shipping_Rules'!A:A,'14_Shipping_Rules'!B:B),"")</f>
        <v>0</v>
      </c>
      <c r="AB204" s="9" cm="1">
        <f t="array" ref="AB204">IFERROR(_xlfn.XLOOKUP('01_Input_Raw_Products'!D204,'16_Astro_Flags'!A:A,'16_Astro_Flags'!B:B),"")</f>
        <v>0</v>
      </c>
      <c r="AC204" s="9">
        <f>IF(C204="","","Catalog, Search")</f>
        <v>0</v>
      </c>
      <c r="AD204" s="9">
        <f>IF(C204="","",IF(OR(F204="",J204="",M204="",S204="",Y204=""),"Manual Review","Ready"))</f>
        <v>0</v>
      </c>
      <c r="AE204" s="9">
        <f>IF(C204="","",TEXTJOIN("; ",TRUE,IF(F204="","Missing url_key",""),IF(J204="","Missing classification",""),IF(M204="","Missing j_colour",""),IF(S204="","Missing hsn_code",""),IF(Y204="","Missing tax_class_id","")))</f>
        <v>0</v>
      </c>
    </row>
    <row r="205" spans="1:31">
      <c r="A205" s="9">
        <f>IF('01_Input_Raw_Products'!B205&lt;&gt;"",20,"")</f>
        <v>0</v>
      </c>
      <c r="B205" s="9" cm="1">
        <f t="array" ref="B205">IF('01_Input_Raw_Products'!M205&lt;&gt;"",'01_Input_Raw_Products'!M205,IFERROR(_xlfn.XLOOKUP('01_Input_Raw_Products'!F205,'10_Master_Gem_Types'!A:A,'10_Master_Gem_Types'!K:K),""))</f>
        <v>0</v>
      </c>
      <c r="C205" s="9">
        <f>'01_Input_Raw_Products'!B205</f>
        <v>0</v>
      </c>
      <c r="D205" s="9">
        <f>IF(C205="","",TEXT(I205,"0.00")&amp;" Ct "&amp;IF('01_Input_Raw_Products'!F205&lt;&gt;"",'01_Input_Raw_Products'!F205,'01_Input_Raw_Products'!D205)&amp;" "&amp;'01_Input_Raw_Products'!I205)</f>
        <v>0</v>
      </c>
      <c r="E205" s="9">
        <f>IF(C205="","",D205&amp;" | GemPundit")</f>
        <v>0</v>
      </c>
      <c r="F205" s="9" cm="1">
        <f t="array" ref="F205">IF('01_Input_Raw_Products'!X205&lt;&gt;"",'01_Input_Raw_Products'!X205,IFERROR(_xlfn.XLOOKUP('01_Input_Raw_Products'!F205,'10_Master_Gem_Types'!A:A,'10_Master_Gem_Types'!O:O),LOWER(SUBSTITUTE(IF('01_Input_Raw_Products'!F205&lt;&gt;"",'01_Input_Raw_Products'!F205,'01_Input_Raw_Products'!D205)," ","-"))))</f>
        <v>0</v>
      </c>
      <c r="G205" s="9">
        <f>'01_Input_Raw_Products'!C205</f>
        <v>0</v>
      </c>
      <c r="H205" s="9" cm="1">
        <f t="array" ref="H205">IF('01_Input_Raw_Products'!H205&lt;&gt;"",'01_Input_Raw_Products'!H205,IFERROR(_xlfn.XLOOKUP('01_Input_Raw_Products'!F205,'10_Master_Gem_Types'!A:A,'10_Master_Gem_Types'!D:D),""))</f>
        <v>0</v>
      </c>
      <c r="I205" s="7">
        <f>IF('01_Input_Raw_Products'!N205&lt;&gt;"",'01_Input_Raw_Products'!N205,IF('01_Input_Raw_Products'!O205&lt;&gt;"",'01_Input_Raw_Products'!O205*0.91,""))</f>
        <v>0</v>
      </c>
      <c r="J205" s="9" cm="1">
        <f t="array" ref="J205">IFERROR(_xlfn.XLOOKUP('01_Input_Raw_Products'!F205,'10_Master_Gem_Types'!A:A,'10_Master_Gem_Types'!N:N),"")</f>
        <v>0</v>
      </c>
      <c r="K205" s="9" cm="1">
        <f t="array" ref="K205">IF('01_Input_Raw_Products'!J205&lt;&gt;"",'01_Input_Raw_Products'!J205,IFERROR(_xlfn.XLOOKUP('01_Input_Raw_Products'!F205,'10_Master_Gem_Types'!A:A,'10_Master_Gem_Types'!E:E),""))</f>
        <v>0</v>
      </c>
      <c r="L205" s="9">
        <f>'01_Input_Raw_Products'!P205</f>
        <v>0</v>
      </c>
      <c r="M205" s="9" cm="1">
        <f t="array" ref="M205">IFERROR(_xlfn.XLOOKUP('01_Input_Raw_Products'!K205,'12_Color_Mapping'!A:A,'12_Color_Mapping'!B:B),IFERROR(_xlfn.XLOOKUP('01_Input_Raw_Products'!F205,'10_Master_Gem_Types'!A:A,'10_Master_Gem_Types'!F:F),""))</f>
        <v>0</v>
      </c>
      <c r="N205" s="9">
        <f>IF(C205="","",IF('01_Input_Raw_Products'!F205&lt;&gt;"",'01_Input_Raw_Products'!F205,'01_Input_Raw_Products'!D205))</f>
        <v>0</v>
      </c>
      <c r="O205" s="9">
        <f>IF(C205="","","Catalog Automation")</f>
        <v>0</v>
      </c>
      <c r="P205" s="9">
        <f>'01_Input_Raw_Products'!U205</f>
        <v>0</v>
      </c>
      <c r="Q205" s="7">
        <f>IF('01_Input_Raw_Products'!O205&lt;&gt;"",'01_Input_Raw_Products'!O205,IF('01_Input_Raw_Products'!N205&lt;&gt;"",'01_Input_Raw_Products'!N205*1.1,""))</f>
        <v>0</v>
      </c>
      <c r="R205" s="9">
        <f>'01_Input_Raw_Products'!S205</f>
        <v>0</v>
      </c>
      <c r="S205" s="9" cm="1">
        <f t="array" ref="S205">IFERROR(_xlfn.XLOOKUP('01_Input_Raw_Products'!F205,'10_Master_Gem_Types'!A:A,'10_Master_Gem_Types'!H:H),"")</f>
        <v>0</v>
      </c>
      <c r="T205" s="8">
        <f>'01_Input_Raw_Products'!Q205</f>
        <v>0</v>
      </c>
      <c r="U205" s="8">
        <f>'01_Input_Raw_Products'!R205</f>
        <v>0</v>
      </c>
      <c r="V205" s="7">
        <f>I205</f>
        <v>0</v>
      </c>
      <c r="W205" s="9" cm="1">
        <f t="array" ref="W205">IF('01_Input_Raw_Products'!G205&lt;&gt;"",'01_Input_Raw_Products'!G205,IFERROR(_xlfn.XLOOKUP('01_Input_Raw_Products'!F205,'10_Master_Gem_Types'!A:A,'10_Master_Gem_Types'!L:L),""))</f>
        <v>0</v>
      </c>
      <c r="X205" s="9" cm="1">
        <f t="array" ref="X205">IFERROR(_xlfn.XLOOKUP('01_Input_Raw_Products'!F205,'10_Master_Gem_Types'!A:A,'10_Master_Gem_Types'!J:J),"")</f>
        <v>0</v>
      </c>
      <c r="Y205" s="9" cm="1">
        <f t="array" ref="Y205">IFERROR(_xlfn.XLOOKUP('01_Input_Raw_Products'!F205,'10_Master_Gem_Types'!A:A,'10_Master_Gem_Types'!I:I),"")</f>
        <v>0</v>
      </c>
      <c r="Z205" s="9" cm="1">
        <f t="array" ref="Z205">IFERROR(_xlfn.XLOOKUP('01_Input_Raw_Products'!L205,'13_Certification_Stickers'!A:A,'13_Certification_Stickers'!C:C),"")</f>
        <v>0</v>
      </c>
      <c r="AA205" s="9" cm="1">
        <f t="array" ref="AA205">IFERROR(_xlfn.XLOOKUP('01_Input_Raw_Products'!S205,'14_Shipping_Rules'!A:A,'14_Shipping_Rules'!B:B),"")</f>
        <v>0</v>
      </c>
      <c r="AB205" s="9" cm="1">
        <f t="array" ref="AB205">IFERROR(_xlfn.XLOOKUP('01_Input_Raw_Products'!D205,'16_Astro_Flags'!A:A,'16_Astro_Flags'!B:B),"")</f>
        <v>0</v>
      </c>
      <c r="AC205" s="9">
        <f>IF(C205="","","Catalog, Search")</f>
        <v>0</v>
      </c>
      <c r="AD205" s="9">
        <f>IF(C205="","",IF(OR(F205="",J205="",M205="",S205="",Y205=""),"Manual Review","Ready"))</f>
        <v>0</v>
      </c>
      <c r="AE205" s="9">
        <f>IF(C205="","",TEXTJOIN("; ",TRUE,IF(F205="","Missing url_key",""),IF(J205="","Missing classification",""),IF(M205="","Missing j_colour",""),IF(S205="","Missing hsn_code",""),IF(Y205="","Missing tax_class_id","")))</f>
        <v>0</v>
      </c>
    </row>
    <row r="206" spans="1:31">
      <c r="A206" s="9">
        <f>IF('01_Input_Raw_Products'!B206&lt;&gt;"",20,"")</f>
        <v>0</v>
      </c>
      <c r="B206" s="9" cm="1">
        <f t="array" ref="B206">IF('01_Input_Raw_Products'!M206&lt;&gt;"",'01_Input_Raw_Products'!M206,IFERROR(_xlfn.XLOOKUP('01_Input_Raw_Products'!F206,'10_Master_Gem_Types'!A:A,'10_Master_Gem_Types'!K:K),""))</f>
        <v>0</v>
      </c>
      <c r="C206" s="9">
        <f>'01_Input_Raw_Products'!B206</f>
        <v>0</v>
      </c>
      <c r="D206" s="9">
        <f>IF(C206="","",TEXT(I206,"0.00")&amp;" Ct "&amp;IF('01_Input_Raw_Products'!F206&lt;&gt;"",'01_Input_Raw_Products'!F206,'01_Input_Raw_Products'!D206)&amp;" "&amp;'01_Input_Raw_Products'!I206)</f>
        <v>0</v>
      </c>
      <c r="E206" s="9">
        <f>IF(C206="","",D206&amp;" | GemPundit")</f>
        <v>0</v>
      </c>
      <c r="F206" s="9" cm="1">
        <f t="array" ref="F206">IF('01_Input_Raw_Products'!X206&lt;&gt;"",'01_Input_Raw_Products'!X206,IFERROR(_xlfn.XLOOKUP('01_Input_Raw_Products'!F206,'10_Master_Gem_Types'!A:A,'10_Master_Gem_Types'!O:O),LOWER(SUBSTITUTE(IF('01_Input_Raw_Products'!F206&lt;&gt;"",'01_Input_Raw_Products'!F206,'01_Input_Raw_Products'!D206)," ","-"))))</f>
        <v>0</v>
      </c>
      <c r="G206" s="9">
        <f>'01_Input_Raw_Products'!C206</f>
        <v>0</v>
      </c>
      <c r="H206" s="9" cm="1">
        <f t="array" ref="H206">IF('01_Input_Raw_Products'!H206&lt;&gt;"",'01_Input_Raw_Products'!H206,IFERROR(_xlfn.XLOOKUP('01_Input_Raw_Products'!F206,'10_Master_Gem_Types'!A:A,'10_Master_Gem_Types'!D:D),""))</f>
        <v>0</v>
      </c>
      <c r="I206" s="7">
        <f>IF('01_Input_Raw_Products'!N206&lt;&gt;"",'01_Input_Raw_Products'!N206,IF('01_Input_Raw_Products'!O206&lt;&gt;"",'01_Input_Raw_Products'!O206*0.91,""))</f>
        <v>0</v>
      </c>
      <c r="J206" s="9" cm="1">
        <f t="array" ref="J206">IFERROR(_xlfn.XLOOKUP('01_Input_Raw_Products'!F206,'10_Master_Gem_Types'!A:A,'10_Master_Gem_Types'!N:N),"")</f>
        <v>0</v>
      </c>
      <c r="K206" s="9" cm="1">
        <f t="array" ref="K206">IF('01_Input_Raw_Products'!J206&lt;&gt;"",'01_Input_Raw_Products'!J206,IFERROR(_xlfn.XLOOKUP('01_Input_Raw_Products'!F206,'10_Master_Gem_Types'!A:A,'10_Master_Gem_Types'!E:E),""))</f>
        <v>0</v>
      </c>
      <c r="L206" s="9">
        <f>'01_Input_Raw_Products'!P206</f>
        <v>0</v>
      </c>
      <c r="M206" s="9" cm="1">
        <f t="array" ref="M206">IFERROR(_xlfn.XLOOKUP('01_Input_Raw_Products'!K206,'12_Color_Mapping'!A:A,'12_Color_Mapping'!B:B),IFERROR(_xlfn.XLOOKUP('01_Input_Raw_Products'!F206,'10_Master_Gem_Types'!A:A,'10_Master_Gem_Types'!F:F),""))</f>
        <v>0</v>
      </c>
      <c r="N206" s="9">
        <f>IF(C206="","",IF('01_Input_Raw_Products'!F206&lt;&gt;"",'01_Input_Raw_Products'!F206,'01_Input_Raw_Products'!D206))</f>
        <v>0</v>
      </c>
      <c r="O206" s="9">
        <f>IF(C206="","","Catalog Automation")</f>
        <v>0</v>
      </c>
      <c r="P206" s="9">
        <f>'01_Input_Raw_Products'!U206</f>
        <v>0</v>
      </c>
      <c r="Q206" s="7">
        <f>IF('01_Input_Raw_Products'!O206&lt;&gt;"",'01_Input_Raw_Products'!O206,IF('01_Input_Raw_Products'!N206&lt;&gt;"",'01_Input_Raw_Products'!N206*1.1,""))</f>
        <v>0</v>
      </c>
      <c r="R206" s="9">
        <f>'01_Input_Raw_Products'!S206</f>
        <v>0</v>
      </c>
      <c r="S206" s="9" cm="1">
        <f t="array" ref="S206">IFERROR(_xlfn.XLOOKUP('01_Input_Raw_Products'!F206,'10_Master_Gem_Types'!A:A,'10_Master_Gem_Types'!H:H),"")</f>
        <v>0</v>
      </c>
      <c r="T206" s="8">
        <f>'01_Input_Raw_Products'!Q206</f>
        <v>0</v>
      </c>
      <c r="U206" s="8">
        <f>'01_Input_Raw_Products'!R206</f>
        <v>0</v>
      </c>
      <c r="V206" s="7">
        <f>I206</f>
        <v>0</v>
      </c>
      <c r="W206" s="9" cm="1">
        <f t="array" ref="W206">IF('01_Input_Raw_Products'!G206&lt;&gt;"",'01_Input_Raw_Products'!G206,IFERROR(_xlfn.XLOOKUP('01_Input_Raw_Products'!F206,'10_Master_Gem_Types'!A:A,'10_Master_Gem_Types'!L:L),""))</f>
        <v>0</v>
      </c>
      <c r="X206" s="9" cm="1">
        <f t="array" ref="X206">IFERROR(_xlfn.XLOOKUP('01_Input_Raw_Products'!F206,'10_Master_Gem_Types'!A:A,'10_Master_Gem_Types'!J:J),"")</f>
        <v>0</v>
      </c>
      <c r="Y206" s="9" cm="1">
        <f t="array" ref="Y206">IFERROR(_xlfn.XLOOKUP('01_Input_Raw_Products'!F206,'10_Master_Gem_Types'!A:A,'10_Master_Gem_Types'!I:I),"")</f>
        <v>0</v>
      </c>
      <c r="Z206" s="9" cm="1">
        <f t="array" ref="Z206">IFERROR(_xlfn.XLOOKUP('01_Input_Raw_Products'!L206,'13_Certification_Stickers'!A:A,'13_Certification_Stickers'!C:C),"")</f>
        <v>0</v>
      </c>
      <c r="AA206" s="9" cm="1">
        <f t="array" ref="AA206">IFERROR(_xlfn.XLOOKUP('01_Input_Raw_Products'!S206,'14_Shipping_Rules'!A:A,'14_Shipping_Rules'!B:B),"")</f>
        <v>0</v>
      </c>
      <c r="AB206" s="9" cm="1">
        <f t="array" ref="AB206">IFERROR(_xlfn.XLOOKUP('01_Input_Raw_Products'!D206,'16_Astro_Flags'!A:A,'16_Astro_Flags'!B:B),"")</f>
        <v>0</v>
      </c>
      <c r="AC206" s="9">
        <f>IF(C206="","","Catalog, Search")</f>
        <v>0</v>
      </c>
      <c r="AD206" s="9">
        <f>IF(C206="","",IF(OR(F206="",J206="",M206="",S206="",Y206=""),"Manual Review","Ready"))</f>
        <v>0</v>
      </c>
      <c r="AE206" s="9">
        <f>IF(C206="","",TEXTJOIN("; ",TRUE,IF(F206="","Missing url_key",""),IF(J206="","Missing classification",""),IF(M206="","Missing j_colour",""),IF(S206="","Missing hsn_code",""),IF(Y206="","Missing tax_class_id","")))</f>
        <v>0</v>
      </c>
    </row>
    <row r="207" spans="1:31">
      <c r="A207" s="9">
        <f>IF('01_Input_Raw_Products'!B207&lt;&gt;"",20,"")</f>
        <v>0</v>
      </c>
      <c r="B207" s="9" cm="1">
        <f t="array" ref="B207">IF('01_Input_Raw_Products'!M207&lt;&gt;"",'01_Input_Raw_Products'!M207,IFERROR(_xlfn.XLOOKUP('01_Input_Raw_Products'!F207,'10_Master_Gem_Types'!A:A,'10_Master_Gem_Types'!K:K),""))</f>
        <v>0</v>
      </c>
      <c r="C207" s="9">
        <f>'01_Input_Raw_Products'!B207</f>
        <v>0</v>
      </c>
      <c r="D207" s="9">
        <f>IF(C207="","",TEXT(I207,"0.00")&amp;" Ct "&amp;IF('01_Input_Raw_Products'!F207&lt;&gt;"",'01_Input_Raw_Products'!F207,'01_Input_Raw_Products'!D207)&amp;" "&amp;'01_Input_Raw_Products'!I207)</f>
        <v>0</v>
      </c>
      <c r="E207" s="9">
        <f>IF(C207="","",D207&amp;" | GemPundit")</f>
        <v>0</v>
      </c>
      <c r="F207" s="9" cm="1">
        <f t="array" ref="F207">IF('01_Input_Raw_Products'!X207&lt;&gt;"",'01_Input_Raw_Products'!X207,IFERROR(_xlfn.XLOOKUP('01_Input_Raw_Products'!F207,'10_Master_Gem_Types'!A:A,'10_Master_Gem_Types'!O:O),LOWER(SUBSTITUTE(IF('01_Input_Raw_Products'!F207&lt;&gt;"",'01_Input_Raw_Products'!F207,'01_Input_Raw_Products'!D207)," ","-"))))</f>
        <v>0</v>
      </c>
      <c r="G207" s="9">
        <f>'01_Input_Raw_Products'!C207</f>
        <v>0</v>
      </c>
      <c r="H207" s="9" cm="1">
        <f t="array" ref="H207">IF('01_Input_Raw_Products'!H207&lt;&gt;"",'01_Input_Raw_Products'!H207,IFERROR(_xlfn.XLOOKUP('01_Input_Raw_Products'!F207,'10_Master_Gem_Types'!A:A,'10_Master_Gem_Types'!D:D),""))</f>
        <v>0</v>
      </c>
      <c r="I207" s="7">
        <f>IF('01_Input_Raw_Products'!N207&lt;&gt;"",'01_Input_Raw_Products'!N207,IF('01_Input_Raw_Products'!O207&lt;&gt;"",'01_Input_Raw_Products'!O207*0.91,""))</f>
        <v>0</v>
      </c>
      <c r="J207" s="9" cm="1">
        <f t="array" ref="J207">IFERROR(_xlfn.XLOOKUP('01_Input_Raw_Products'!F207,'10_Master_Gem_Types'!A:A,'10_Master_Gem_Types'!N:N),"")</f>
        <v>0</v>
      </c>
      <c r="K207" s="9" cm="1">
        <f t="array" ref="K207">IF('01_Input_Raw_Products'!J207&lt;&gt;"",'01_Input_Raw_Products'!J207,IFERROR(_xlfn.XLOOKUP('01_Input_Raw_Products'!F207,'10_Master_Gem_Types'!A:A,'10_Master_Gem_Types'!E:E),""))</f>
        <v>0</v>
      </c>
      <c r="L207" s="9">
        <f>'01_Input_Raw_Products'!P207</f>
        <v>0</v>
      </c>
      <c r="M207" s="9" cm="1">
        <f t="array" ref="M207">IFERROR(_xlfn.XLOOKUP('01_Input_Raw_Products'!K207,'12_Color_Mapping'!A:A,'12_Color_Mapping'!B:B),IFERROR(_xlfn.XLOOKUP('01_Input_Raw_Products'!F207,'10_Master_Gem_Types'!A:A,'10_Master_Gem_Types'!F:F),""))</f>
        <v>0</v>
      </c>
      <c r="N207" s="9">
        <f>IF(C207="","",IF('01_Input_Raw_Products'!F207&lt;&gt;"",'01_Input_Raw_Products'!F207,'01_Input_Raw_Products'!D207))</f>
        <v>0</v>
      </c>
      <c r="O207" s="9">
        <f>IF(C207="","","Catalog Automation")</f>
        <v>0</v>
      </c>
      <c r="P207" s="9">
        <f>'01_Input_Raw_Products'!U207</f>
        <v>0</v>
      </c>
      <c r="Q207" s="7">
        <f>IF('01_Input_Raw_Products'!O207&lt;&gt;"",'01_Input_Raw_Products'!O207,IF('01_Input_Raw_Products'!N207&lt;&gt;"",'01_Input_Raw_Products'!N207*1.1,""))</f>
        <v>0</v>
      </c>
      <c r="R207" s="9">
        <f>'01_Input_Raw_Products'!S207</f>
        <v>0</v>
      </c>
      <c r="S207" s="9" cm="1">
        <f t="array" ref="S207">IFERROR(_xlfn.XLOOKUP('01_Input_Raw_Products'!F207,'10_Master_Gem_Types'!A:A,'10_Master_Gem_Types'!H:H),"")</f>
        <v>0</v>
      </c>
      <c r="T207" s="8">
        <f>'01_Input_Raw_Products'!Q207</f>
        <v>0</v>
      </c>
      <c r="U207" s="8">
        <f>'01_Input_Raw_Products'!R207</f>
        <v>0</v>
      </c>
      <c r="V207" s="7">
        <f>I207</f>
        <v>0</v>
      </c>
      <c r="W207" s="9" cm="1">
        <f t="array" ref="W207">IF('01_Input_Raw_Products'!G207&lt;&gt;"",'01_Input_Raw_Products'!G207,IFERROR(_xlfn.XLOOKUP('01_Input_Raw_Products'!F207,'10_Master_Gem_Types'!A:A,'10_Master_Gem_Types'!L:L),""))</f>
        <v>0</v>
      </c>
      <c r="X207" s="9" cm="1">
        <f t="array" ref="X207">IFERROR(_xlfn.XLOOKUP('01_Input_Raw_Products'!F207,'10_Master_Gem_Types'!A:A,'10_Master_Gem_Types'!J:J),"")</f>
        <v>0</v>
      </c>
      <c r="Y207" s="9" cm="1">
        <f t="array" ref="Y207">IFERROR(_xlfn.XLOOKUP('01_Input_Raw_Products'!F207,'10_Master_Gem_Types'!A:A,'10_Master_Gem_Types'!I:I),"")</f>
        <v>0</v>
      </c>
      <c r="Z207" s="9" cm="1">
        <f t="array" ref="Z207">IFERROR(_xlfn.XLOOKUP('01_Input_Raw_Products'!L207,'13_Certification_Stickers'!A:A,'13_Certification_Stickers'!C:C),"")</f>
        <v>0</v>
      </c>
      <c r="AA207" s="9" cm="1">
        <f t="array" ref="AA207">IFERROR(_xlfn.XLOOKUP('01_Input_Raw_Products'!S207,'14_Shipping_Rules'!A:A,'14_Shipping_Rules'!B:B),"")</f>
        <v>0</v>
      </c>
      <c r="AB207" s="9" cm="1">
        <f t="array" ref="AB207">IFERROR(_xlfn.XLOOKUP('01_Input_Raw_Products'!D207,'16_Astro_Flags'!A:A,'16_Astro_Flags'!B:B),"")</f>
        <v>0</v>
      </c>
      <c r="AC207" s="9">
        <f>IF(C207="","","Catalog, Search")</f>
        <v>0</v>
      </c>
      <c r="AD207" s="9">
        <f>IF(C207="","",IF(OR(F207="",J207="",M207="",S207="",Y207=""),"Manual Review","Ready"))</f>
        <v>0</v>
      </c>
      <c r="AE207" s="9">
        <f>IF(C207="","",TEXTJOIN("; ",TRUE,IF(F207="","Missing url_key",""),IF(J207="","Missing classification",""),IF(M207="","Missing j_colour",""),IF(S207="","Missing hsn_code",""),IF(Y207="","Missing tax_class_id","")))</f>
        <v>0</v>
      </c>
    </row>
    <row r="208" spans="1:31">
      <c r="A208" s="9">
        <f>IF('01_Input_Raw_Products'!B208&lt;&gt;"",20,"")</f>
        <v>0</v>
      </c>
      <c r="B208" s="9" cm="1">
        <f t="array" ref="B208">IF('01_Input_Raw_Products'!M208&lt;&gt;"",'01_Input_Raw_Products'!M208,IFERROR(_xlfn.XLOOKUP('01_Input_Raw_Products'!F208,'10_Master_Gem_Types'!A:A,'10_Master_Gem_Types'!K:K),""))</f>
        <v>0</v>
      </c>
      <c r="C208" s="9">
        <f>'01_Input_Raw_Products'!B208</f>
        <v>0</v>
      </c>
      <c r="D208" s="9">
        <f>IF(C208="","",TEXT(I208,"0.00")&amp;" Ct "&amp;IF('01_Input_Raw_Products'!F208&lt;&gt;"",'01_Input_Raw_Products'!F208,'01_Input_Raw_Products'!D208)&amp;" "&amp;'01_Input_Raw_Products'!I208)</f>
        <v>0</v>
      </c>
      <c r="E208" s="9">
        <f>IF(C208="","",D208&amp;" | GemPundit")</f>
        <v>0</v>
      </c>
      <c r="F208" s="9" cm="1">
        <f t="array" ref="F208">IF('01_Input_Raw_Products'!X208&lt;&gt;"",'01_Input_Raw_Products'!X208,IFERROR(_xlfn.XLOOKUP('01_Input_Raw_Products'!F208,'10_Master_Gem_Types'!A:A,'10_Master_Gem_Types'!O:O),LOWER(SUBSTITUTE(IF('01_Input_Raw_Products'!F208&lt;&gt;"",'01_Input_Raw_Products'!F208,'01_Input_Raw_Products'!D208)," ","-"))))</f>
        <v>0</v>
      </c>
      <c r="G208" s="9">
        <f>'01_Input_Raw_Products'!C208</f>
        <v>0</v>
      </c>
      <c r="H208" s="9" cm="1">
        <f t="array" ref="H208">IF('01_Input_Raw_Products'!H208&lt;&gt;"",'01_Input_Raw_Products'!H208,IFERROR(_xlfn.XLOOKUP('01_Input_Raw_Products'!F208,'10_Master_Gem_Types'!A:A,'10_Master_Gem_Types'!D:D),""))</f>
        <v>0</v>
      </c>
      <c r="I208" s="7">
        <f>IF('01_Input_Raw_Products'!N208&lt;&gt;"",'01_Input_Raw_Products'!N208,IF('01_Input_Raw_Products'!O208&lt;&gt;"",'01_Input_Raw_Products'!O208*0.91,""))</f>
        <v>0</v>
      </c>
      <c r="J208" s="9" cm="1">
        <f t="array" ref="J208">IFERROR(_xlfn.XLOOKUP('01_Input_Raw_Products'!F208,'10_Master_Gem_Types'!A:A,'10_Master_Gem_Types'!N:N),"")</f>
        <v>0</v>
      </c>
      <c r="K208" s="9" cm="1">
        <f t="array" ref="K208">IF('01_Input_Raw_Products'!J208&lt;&gt;"",'01_Input_Raw_Products'!J208,IFERROR(_xlfn.XLOOKUP('01_Input_Raw_Products'!F208,'10_Master_Gem_Types'!A:A,'10_Master_Gem_Types'!E:E),""))</f>
        <v>0</v>
      </c>
      <c r="L208" s="9">
        <f>'01_Input_Raw_Products'!P208</f>
        <v>0</v>
      </c>
      <c r="M208" s="9" cm="1">
        <f t="array" ref="M208">IFERROR(_xlfn.XLOOKUP('01_Input_Raw_Products'!K208,'12_Color_Mapping'!A:A,'12_Color_Mapping'!B:B),IFERROR(_xlfn.XLOOKUP('01_Input_Raw_Products'!F208,'10_Master_Gem_Types'!A:A,'10_Master_Gem_Types'!F:F),""))</f>
        <v>0</v>
      </c>
      <c r="N208" s="9">
        <f>IF(C208="","",IF('01_Input_Raw_Products'!F208&lt;&gt;"",'01_Input_Raw_Products'!F208,'01_Input_Raw_Products'!D208))</f>
        <v>0</v>
      </c>
      <c r="O208" s="9">
        <f>IF(C208="","","Catalog Automation")</f>
        <v>0</v>
      </c>
      <c r="P208" s="9">
        <f>'01_Input_Raw_Products'!U208</f>
        <v>0</v>
      </c>
      <c r="Q208" s="7">
        <f>IF('01_Input_Raw_Products'!O208&lt;&gt;"",'01_Input_Raw_Products'!O208,IF('01_Input_Raw_Products'!N208&lt;&gt;"",'01_Input_Raw_Products'!N208*1.1,""))</f>
        <v>0</v>
      </c>
      <c r="R208" s="9">
        <f>'01_Input_Raw_Products'!S208</f>
        <v>0</v>
      </c>
      <c r="S208" s="9" cm="1">
        <f t="array" ref="S208">IFERROR(_xlfn.XLOOKUP('01_Input_Raw_Products'!F208,'10_Master_Gem_Types'!A:A,'10_Master_Gem_Types'!H:H),"")</f>
        <v>0</v>
      </c>
      <c r="T208" s="8">
        <f>'01_Input_Raw_Products'!Q208</f>
        <v>0</v>
      </c>
      <c r="U208" s="8">
        <f>'01_Input_Raw_Products'!R208</f>
        <v>0</v>
      </c>
      <c r="V208" s="7">
        <f>I208</f>
        <v>0</v>
      </c>
      <c r="W208" s="9" cm="1">
        <f t="array" ref="W208">IF('01_Input_Raw_Products'!G208&lt;&gt;"",'01_Input_Raw_Products'!G208,IFERROR(_xlfn.XLOOKUP('01_Input_Raw_Products'!F208,'10_Master_Gem_Types'!A:A,'10_Master_Gem_Types'!L:L),""))</f>
        <v>0</v>
      </c>
      <c r="X208" s="9" cm="1">
        <f t="array" ref="X208">IFERROR(_xlfn.XLOOKUP('01_Input_Raw_Products'!F208,'10_Master_Gem_Types'!A:A,'10_Master_Gem_Types'!J:J),"")</f>
        <v>0</v>
      </c>
      <c r="Y208" s="9" cm="1">
        <f t="array" ref="Y208">IFERROR(_xlfn.XLOOKUP('01_Input_Raw_Products'!F208,'10_Master_Gem_Types'!A:A,'10_Master_Gem_Types'!I:I),"")</f>
        <v>0</v>
      </c>
      <c r="Z208" s="9" cm="1">
        <f t="array" ref="Z208">IFERROR(_xlfn.XLOOKUP('01_Input_Raw_Products'!L208,'13_Certification_Stickers'!A:A,'13_Certification_Stickers'!C:C),"")</f>
        <v>0</v>
      </c>
      <c r="AA208" s="9" cm="1">
        <f t="array" ref="AA208">IFERROR(_xlfn.XLOOKUP('01_Input_Raw_Products'!S208,'14_Shipping_Rules'!A:A,'14_Shipping_Rules'!B:B),"")</f>
        <v>0</v>
      </c>
      <c r="AB208" s="9" cm="1">
        <f t="array" ref="AB208">IFERROR(_xlfn.XLOOKUP('01_Input_Raw_Products'!D208,'16_Astro_Flags'!A:A,'16_Astro_Flags'!B:B),"")</f>
        <v>0</v>
      </c>
      <c r="AC208" s="9">
        <f>IF(C208="","","Catalog, Search")</f>
        <v>0</v>
      </c>
      <c r="AD208" s="9">
        <f>IF(C208="","",IF(OR(F208="",J208="",M208="",S208="",Y208=""),"Manual Review","Ready"))</f>
        <v>0</v>
      </c>
      <c r="AE208" s="9">
        <f>IF(C208="","",TEXTJOIN("; ",TRUE,IF(F208="","Missing url_key",""),IF(J208="","Missing classification",""),IF(M208="","Missing j_colour",""),IF(S208="","Missing hsn_code",""),IF(Y208="","Missing tax_class_id","")))</f>
        <v>0</v>
      </c>
    </row>
    <row r="209" spans="1:31">
      <c r="A209" s="9">
        <f>IF('01_Input_Raw_Products'!B209&lt;&gt;"",20,"")</f>
        <v>0</v>
      </c>
      <c r="B209" s="9" cm="1">
        <f t="array" ref="B209">IF('01_Input_Raw_Products'!M209&lt;&gt;"",'01_Input_Raw_Products'!M209,IFERROR(_xlfn.XLOOKUP('01_Input_Raw_Products'!F209,'10_Master_Gem_Types'!A:A,'10_Master_Gem_Types'!K:K),""))</f>
        <v>0</v>
      </c>
      <c r="C209" s="9">
        <f>'01_Input_Raw_Products'!B209</f>
        <v>0</v>
      </c>
      <c r="D209" s="9">
        <f>IF(C209="","",TEXT(I209,"0.00")&amp;" Ct "&amp;IF('01_Input_Raw_Products'!F209&lt;&gt;"",'01_Input_Raw_Products'!F209,'01_Input_Raw_Products'!D209)&amp;" "&amp;'01_Input_Raw_Products'!I209)</f>
        <v>0</v>
      </c>
      <c r="E209" s="9">
        <f>IF(C209="","",D209&amp;" | GemPundit")</f>
        <v>0</v>
      </c>
      <c r="F209" s="9" cm="1">
        <f t="array" ref="F209">IF('01_Input_Raw_Products'!X209&lt;&gt;"",'01_Input_Raw_Products'!X209,IFERROR(_xlfn.XLOOKUP('01_Input_Raw_Products'!F209,'10_Master_Gem_Types'!A:A,'10_Master_Gem_Types'!O:O),LOWER(SUBSTITUTE(IF('01_Input_Raw_Products'!F209&lt;&gt;"",'01_Input_Raw_Products'!F209,'01_Input_Raw_Products'!D209)," ","-"))))</f>
        <v>0</v>
      </c>
      <c r="G209" s="9">
        <f>'01_Input_Raw_Products'!C209</f>
        <v>0</v>
      </c>
      <c r="H209" s="9" cm="1">
        <f t="array" ref="H209">IF('01_Input_Raw_Products'!H209&lt;&gt;"",'01_Input_Raw_Products'!H209,IFERROR(_xlfn.XLOOKUP('01_Input_Raw_Products'!F209,'10_Master_Gem_Types'!A:A,'10_Master_Gem_Types'!D:D),""))</f>
        <v>0</v>
      </c>
      <c r="I209" s="7">
        <f>IF('01_Input_Raw_Products'!N209&lt;&gt;"",'01_Input_Raw_Products'!N209,IF('01_Input_Raw_Products'!O209&lt;&gt;"",'01_Input_Raw_Products'!O209*0.91,""))</f>
        <v>0</v>
      </c>
      <c r="J209" s="9" cm="1">
        <f t="array" ref="J209">IFERROR(_xlfn.XLOOKUP('01_Input_Raw_Products'!F209,'10_Master_Gem_Types'!A:A,'10_Master_Gem_Types'!N:N),"")</f>
        <v>0</v>
      </c>
      <c r="K209" s="9" cm="1">
        <f t="array" ref="K209">IF('01_Input_Raw_Products'!J209&lt;&gt;"",'01_Input_Raw_Products'!J209,IFERROR(_xlfn.XLOOKUP('01_Input_Raw_Products'!F209,'10_Master_Gem_Types'!A:A,'10_Master_Gem_Types'!E:E),""))</f>
        <v>0</v>
      </c>
      <c r="L209" s="9">
        <f>'01_Input_Raw_Products'!P209</f>
        <v>0</v>
      </c>
      <c r="M209" s="9" cm="1">
        <f t="array" ref="M209">IFERROR(_xlfn.XLOOKUP('01_Input_Raw_Products'!K209,'12_Color_Mapping'!A:A,'12_Color_Mapping'!B:B),IFERROR(_xlfn.XLOOKUP('01_Input_Raw_Products'!F209,'10_Master_Gem_Types'!A:A,'10_Master_Gem_Types'!F:F),""))</f>
        <v>0</v>
      </c>
      <c r="N209" s="9">
        <f>IF(C209="","",IF('01_Input_Raw_Products'!F209&lt;&gt;"",'01_Input_Raw_Products'!F209,'01_Input_Raw_Products'!D209))</f>
        <v>0</v>
      </c>
      <c r="O209" s="9">
        <f>IF(C209="","","Catalog Automation")</f>
        <v>0</v>
      </c>
      <c r="P209" s="9">
        <f>'01_Input_Raw_Products'!U209</f>
        <v>0</v>
      </c>
      <c r="Q209" s="7">
        <f>IF('01_Input_Raw_Products'!O209&lt;&gt;"",'01_Input_Raw_Products'!O209,IF('01_Input_Raw_Products'!N209&lt;&gt;"",'01_Input_Raw_Products'!N209*1.1,""))</f>
        <v>0</v>
      </c>
      <c r="R209" s="9">
        <f>'01_Input_Raw_Products'!S209</f>
        <v>0</v>
      </c>
      <c r="S209" s="9" cm="1">
        <f t="array" ref="S209">IFERROR(_xlfn.XLOOKUP('01_Input_Raw_Products'!F209,'10_Master_Gem_Types'!A:A,'10_Master_Gem_Types'!H:H),"")</f>
        <v>0</v>
      </c>
      <c r="T209" s="8">
        <f>'01_Input_Raw_Products'!Q209</f>
        <v>0</v>
      </c>
      <c r="U209" s="8">
        <f>'01_Input_Raw_Products'!R209</f>
        <v>0</v>
      </c>
      <c r="V209" s="7">
        <f>I209</f>
        <v>0</v>
      </c>
      <c r="W209" s="9" cm="1">
        <f t="array" ref="W209">IF('01_Input_Raw_Products'!G209&lt;&gt;"",'01_Input_Raw_Products'!G209,IFERROR(_xlfn.XLOOKUP('01_Input_Raw_Products'!F209,'10_Master_Gem_Types'!A:A,'10_Master_Gem_Types'!L:L),""))</f>
        <v>0</v>
      </c>
      <c r="X209" s="9" cm="1">
        <f t="array" ref="X209">IFERROR(_xlfn.XLOOKUP('01_Input_Raw_Products'!F209,'10_Master_Gem_Types'!A:A,'10_Master_Gem_Types'!J:J),"")</f>
        <v>0</v>
      </c>
      <c r="Y209" s="9" cm="1">
        <f t="array" ref="Y209">IFERROR(_xlfn.XLOOKUP('01_Input_Raw_Products'!F209,'10_Master_Gem_Types'!A:A,'10_Master_Gem_Types'!I:I),"")</f>
        <v>0</v>
      </c>
      <c r="Z209" s="9" cm="1">
        <f t="array" ref="Z209">IFERROR(_xlfn.XLOOKUP('01_Input_Raw_Products'!L209,'13_Certification_Stickers'!A:A,'13_Certification_Stickers'!C:C),"")</f>
        <v>0</v>
      </c>
      <c r="AA209" s="9" cm="1">
        <f t="array" ref="AA209">IFERROR(_xlfn.XLOOKUP('01_Input_Raw_Products'!S209,'14_Shipping_Rules'!A:A,'14_Shipping_Rules'!B:B),"")</f>
        <v>0</v>
      </c>
      <c r="AB209" s="9" cm="1">
        <f t="array" ref="AB209">IFERROR(_xlfn.XLOOKUP('01_Input_Raw_Products'!D209,'16_Astro_Flags'!A:A,'16_Astro_Flags'!B:B),"")</f>
        <v>0</v>
      </c>
      <c r="AC209" s="9">
        <f>IF(C209="","","Catalog, Search")</f>
        <v>0</v>
      </c>
      <c r="AD209" s="9">
        <f>IF(C209="","",IF(OR(F209="",J209="",M209="",S209="",Y209=""),"Manual Review","Ready"))</f>
        <v>0</v>
      </c>
      <c r="AE209" s="9">
        <f>IF(C209="","",TEXTJOIN("; ",TRUE,IF(F209="","Missing url_key",""),IF(J209="","Missing classification",""),IF(M209="","Missing j_colour",""),IF(S209="","Missing hsn_code",""),IF(Y209="","Missing tax_class_id","")))</f>
        <v>0</v>
      </c>
    </row>
    <row r="210" spans="1:31">
      <c r="A210" s="9">
        <f>IF('01_Input_Raw_Products'!B210&lt;&gt;"",20,"")</f>
        <v>0</v>
      </c>
      <c r="B210" s="9" cm="1">
        <f t="array" ref="B210">IF('01_Input_Raw_Products'!M210&lt;&gt;"",'01_Input_Raw_Products'!M210,IFERROR(_xlfn.XLOOKUP('01_Input_Raw_Products'!F210,'10_Master_Gem_Types'!A:A,'10_Master_Gem_Types'!K:K),""))</f>
        <v>0</v>
      </c>
      <c r="C210" s="9">
        <f>'01_Input_Raw_Products'!B210</f>
        <v>0</v>
      </c>
      <c r="D210" s="9">
        <f>IF(C210="","",TEXT(I210,"0.00")&amp;" Ct "&amp;IF('01_Input_Raw_Products'!F210&lt;&gt;"",'01_Input_Raw_Products'!F210,'01_Input_Raw_Products'!D210)&amp;" "&amp;'01_Input_Raw_Products'!I210)</f>
        <v>0</v>
      </c>
      <c r="E210" s="9">
        <f>IF(C210="","",D210&amp;" | GemPundit")</f>
        <v>0</v>
      </c>
      <c r="F210" s="9" cm="1">
        <f t="array" ref="F210">IF('01_Input_Raw_Products'!X210&lt;&gt;"",'01_Input_Raw_Products'!X210,IFERROR(_xlfn.XLOOKUP('01_Input_Raw_Products'!F210,'10_Master_Gem_Types'!A:A,'10_Master_Gem_Types'!O:O),LOWER(SUBSTITUTE(IF('01_Input_Raw_Products'!F210&lt;&gt;"",'01_Input_Raw_Products'!F210,'01_Input_Raw_Products'!D210)," ","-"))))</f>
        <v>0</v>
      </c>
      <c r="G210" s="9">
        <f>'01_Input_Raw_Products'!C210</f>
        <v>0</v>
      </c>
      <c r="H210" s="9" cm="1">
        <f t="array" ref="H210">IF('01_Input_Raw_Products'!H210&lt;&gt;"",'01_Input_Raw_Products'!H210,IFERROR(_xlfn.XLOOKUP('01_Input_Raw_Products'!F210,'10_Master_Gem_Types'!A:A,'10_Master_Gem_Types'!D:D),""))</f>
        <v>0</v>
      </c>
      <c r="I210" s="7">
        <f>IF('01_Input_Raw_Products'!N210&lt;&gt;"",'01_Input_Raw_Products'!N210,IF('01_Input_Raw_Products'!O210&lt;&gt;"",'01_Input_Raw_Products'!O210*0.91,""))</f>
        <v>0</v>
      </c>
      <c r="J210" s="9" cm="1">
        <f t="array" ref="J210">IFERROR(_xlfn.XLOOKUP('01_Input_Raw_Products'!F210,'10_Master_Gem_Types'!A:A,'10_Master_Gem_Types'!N:N),"")</f>
        <v>0</v>
      </c>
      <c r="K210" s="9" cm="1">
        <f t="array" ref="K210">IF('01_Input_Raw_Products'!J210&lt;&gt;"",'01_Input_Raw_Products'!J210,IFERROR(_xlfn.XLOOKUP('01_Input_Raw_Products'!F210,'10_Master_Gem_Types'!A:A,'10_Master_Gem_Types'!E:E),""))</f>
        <v>0</v>
      </c>
      <c r="L210" s="9">
        <f>'01_Input_Raw_Products'!P210</f>
        <v>0</v>
      </c>
      <c r="M210" s="9" cm="1">
        <f t="array" ref="M210">IFERROR(_xlfn.XLOOKUP('01_Input_Raw_Products'!K210,'12_Color_Mapping'!A:A,'12_Color_Mapping'!B:B),IFERROR(_xlfn.XLOOKUP('01_Input_Raw_Products'!F210,'10_Master_Gem_Types'!A:A,'10_Master_Gem_Types'!F:F),""))</f>
        <v>0</v>
      </c>
      <c r="N210" s="9">
        <f>IF(C210="","",IF('01_Input_Raw_Products'!F210&lt;&gt;"",'01_Input_Raw_Products'!F210,'01_Input_Raw_Products'!D210))</f>
        <v>0</v>
      </c>
      <c r="O210" s="9">
        <f>IF(C210="","","Catalog Automation")</f>
        <v>0</v>
      </c>
      <c r="P210" s="9">
        <f>'01_Input_Raw_Products'!U210</f>
        <v>0</v>
      </c>
      <c r="Q210" s="7">
        <f>IF('01_Input_Raw_Products'!O210&lt;&gt;"",'01_Input_Raw_Products'!O210,IF('01_Input_Raw_Products'!N210&lt;&gt;"",'01_Input_Raw_Products'!N210*1.1,""))</f>
        <v>0</v>
      </c>
      <c r="R210" s="9">
        <f>'01_Input_Raw_Products'!S210</f>
        <v>0</v>
      </c>
      <c r="S210" s="9" cm="1">
        <f t="array" ref="S210">IFERROR(_xlfn.XLOOKUP('01_Input_Raw_Products'!F210,'10_Master_Gem_Types'!A:A,'10_Master_Gem_Types'!H:H),"")</f>
        <v>0</v>
      </c>
      <c r="T210" s="8">
        <f>'01_Input_Raw_Products'!Q210</f>
        <v>0</v>
      </c>
      <c r="U210" s="8">
        <f>'01_Input_Raw_Products'!R210</f>
        <v>0</v>
      </c>
      <c r="V210" s="7">
        <f>I210</f>
        <v>0</v>
      </c>
      <c r="W210" s="9" cm="1">
        <f t="array" ref="W210">IF('01_Input_Raw_Products'!G210&lt;&gt;"",'01_Input_Raw_Products'!G210,IFERROR(_xlfn.XLOOKUP('01_Input_Raw_Products'!F210,'10_Master_Gem_Types'!A:A,'10_Master_Gem_Types'!L:L),""))</f>
        <v>0</v>
      </c>
      <c r="X210" s="9" cm="1">
        <f t="array" ref="X210">IFERROR(_xlfn.XLOOKUP('01_Input_Raw_Products'!F210,'10_Master_Gem_Types'!A:A,'10_Master_Gem_Types'!J:J),"")</f>
        <v>0</v>
      </c>
      <c r="Y210" s="9" cm="1">
        <f t="array" ref="Y210">IFERROR(_xlfn.XLOOKUP('01_Input_Raw_Products'!F210,'10_Master_Gem_Types'!A:A,'10_Master_Gem_Types'!I:I),"")</f>
        <v>0</v>
      </c>
      <c r="Z210" s="9" cm="1">
        <f t="array" ref="Z210">IFERROR(_xlfn.XLOOKUP('01_Input_Raw_Products'!L210,'13_Certification_Stickers'!A:A,'13_Certification_Stickers'!C:C),"")</f>
        <v>0</v>
      </c>
      <c r="AA210" s="9" cm="1">
        <f t="array" ref="AA210">IFERROR(_xlfn.XLOOKUP('01_Input_Raw_Products'!S210,'14_Shipping_Rules'!A:A,'14_Shipping_Rules'!B:B),"")</f>
        <v>0</v>
      </c>
      <c r="AB210" s="9" cm="1">
        <f t="array" ref="AB210">IFERROR(_xlfn.XLOOKUP('01_Input_Raw_Products'!D210,'16_Astro_Flags'!A:A,'16_Astro_Flags'!B:B),"")</f>
        <v>0</v>
      </c>
      <c r="AC210" s="9">
        <f>IF(C210="","","Catalog, Search")</f>
        <v>0</v>
      </c>
      <c r="AD210" s="9">
        <f>IF(C210="","",IF(OR(F210="",J210="",M210="",S210="",Y210=""),"Manual Review","Ready"))</f>
        <v>0</v>
      </c>
      <c r="AE210" s="9">
        <f>IF(C210="","",TEXTJOIN("; ",TRUE,IF(F210="","Missing url_key",""),IF(J210="","Missing classification",""),IF(M210="","Missing j_colour",""),IF(S210="","Missing hsn_code",""),IF(Y210="","Missing tax_class_id","")))</f>
        <v>0</v>
      </c>
    </row>
    <row r="211" spans="1:31">
      <c r="A211" s="9">
        <f>IF('01_Input_Raw_Products'!B211&lt;&gt;"",20,"")</f>
        <v>0</v>
      </c>
      <c r="B211" s="9" cm="1">
        <f t="array" ref="B211">IF('01_Input_Raw_Products'!M211&lt;&gt;"",'01_Input_Raw_Products'!M211,IFERROR(_xlfn.XLOOKUP('01_Input_Raw_Products'!F211,'10_Master_Gem_Types'!A:A,'10_Master_Gem_Types'!K:K),""))</f>
        <v>0</v>
      </c>
      <c r="C211" s="9">
        <f>'01_Input_Raw_Products'!B211</f>
        <v>0</v>
      </c>
      <c r="D211" s="9">
        <f>IF(C211="","",TEXT(I211,"0.00")&amp;" Ct "&amp;IF('01_Input_Raw_Products'!F211&lt;&gt;"",'01_Input_Raw_Products'!F211,'01_Input_Raw_Products'!D211)&amp;" "&amp;'01_Input_Raw_Products'!I211)</f>
        <v>0</v>
      </c>
      <c r="E211" s="9">
        <f>IF(C211="","",D211&amp;" | GemPundit")</f>
        <v>0</v>
      </c>
      <c r="F211" s="9" cm="1">
        <f t="array" ref="F211">IF('01_Input_Raw_Products'!X211&lt;&gt;"",'01_Input_Raw_Products'!X211,IFERROR(_xlfn.XLOOKUP('01_Input_Raw_Products'!F211,'10_Master_Gem_Types'!A:A,'10_Master_Gem_Types'!O:O),LOWER(SUBSTITUTE(IF('01_Input_Raw_Products'!F211&lt;&gt;"",'01_Input_Raw_Products'!F211,'01_Input_Raw_Products'!D211)," ","-"))))</f>
        <v>0</v>
      </c>
      <c r="G211" s="9">
        <f>'01_Input_Raw_Products'!C211</f>
        <v>0</v>
      </c>
      <c r="H211" s="9" cm="1">
        <f t="array" ref="H211">IF('01_Input_Raw_Products'!H211&lt;&gt;"",'01_Input_Raw_Products'!H211,IFERROR(_xlfn.XLOOKUP('01_Input_Raw_Products'!F211,'10_Master_Gem_Types'!A:A,'10_Master_Gem_Types'!D:D),""))</f>
        <v>0</v>
      </c>
      <c r="I211" s="7">
        <f>IF('01_Input_Raw_Products'!N211&lt;&gt;"",'01_Input_Raw_Products'!N211,IF('01_Input_Raw_Products'!O211&lt;&gt;"",'01_Input_Raw_Products'!O211*0.91,""))</f>
        <v>0</v>
      </c>
      <c r="J211" s="9" cm="1">
        <f t="array" ref="J211">IFERROR(_xlfn.XLOOKUP('01_Input_Raw_Products'!F211,'10_Master_Gem_Types'!A:A,'10_Master_Gem_Types'!N:N),"")</f>
        <v>0</v>
      </c>
      <c r="K211" s="9" cm="1">
        <f t="array" ref="K211">IF('01_Input_Raw_Products'!J211&lt;&gt;"",'01_Input_Raw_Products'!J211,IFERROR(_xlfn.XLOOKUP('01_Input_Raw_Products'!F211,'10_Master_Gem_Types'!A:A,'10_Master_Gem_Types'!E:E),""))</f>
        <v>0</v>
      </c>
      <c r="L211" s="9">
        <f>'01_Input_Raw_Products'!P211</f>
        <v>0</v>
      </c>
      <c r="M211" s="9" cm="1">
        <f t="array" ref="M211">IFERROR(_xlfn.XLOOKUP('01_Input_Raw_Products'!K211,'12_Color_Mapping'!A:A,'12_Color_Mapping'!B:B),IFERROR(_xlfn.XLOOKUP('01_Input_Raw_Products'!F211,'10_Master_Gem_Types'!A:A,'10_Master_Gem_Types'!F:F),""))</f>
        <v>0</v>
      </c>
      <c r="N211" s="9">
        <f>IF(C211="","",IF('01_Input_Raw_Products'!F211&lt;&gt;"",'01_Input_Raw_Products'!F211,'01_Input_Raw_Products'!D211))</f>
        <v>0</v>
      </c>
      <c r="O211" s="9">
        <f>IF(C211="","","Catalog Automation")</f>
        <v>0</v>
      </c>
      <c r="P211" s="9">
        <f>'01_Input_Raw_Products'!U211</f>
        <v>0</v>
      </c>
      <c r="Q211" s="7">
        <f>IF('01_Input_Raw_Products'!O211&lt;&gt;"",'01_Input_Raw_Products'!O211,IF('01_Input_Raw_Products'!N211&lt;&gt;"",'01_Input_Raw_Products'!N211*1.1,""))</f>
        <v>0</v>
      </c>
      <c r="R211" s="9">
        <f>'01_Input_Raw_Products'!S211</f>
        <v>0</v>
      </c>
      <c r="S211" s="9" cm="1">
        <f t="array" ref="S211">IFERROR(_xlfn.XLOOKUP('01_Input_Raw_Products'!F211,'10_Master_Gem_Types'!A:A,'10_Master_Gem_Types'!H:H),"")</f>
        <v>0</v>
      </c>
      <c r="T211" s="8">
        <f>'01_Input_Raw_Products'!Q211</f>
        <v>0</v>
      </c>
      <c r="U211" s="8">
        <f>'01_Input_Raw_Products'!R211</f>
        <v>0</v>
      </c>
      <c r="V211" s="7">
        <f>I211</f>
        <v>0</v>
      </c>
      <c r="W211" s="9" cm="1">
        <f t="array" ref="W211">IF('01_Input_Raw_Products'!G211&lt;&gt;"",'01_Input_Raw_Products'!G211,IFERROR(_xlfn.XLOOKUP('01_Input_Raw_Products'!F211,'10_Master_Gem_Types'!A:A,'10_Master_Gem_Types'!L:L),""))</f>
        <v>0</v>
      </c>
      <c r="X211" s="9" cm="1">
        <f t="array" ref="X211">IFERROR(_xlfn.XLOOKUP('01_Input_Raw_Products'!F211,'10_Master_Gem_Types'!A:A,'10_Master_Gem_Types'!J:J),"")</f>
        <v>0</v>
      </c>
      <c r="Y211" s="9" cm="1">
        <f t="array" ref="Y211">IFERROR(_xlfn.XLOOKUP('01_Input_Raw_Products'!F211,'10_Master_Gem_Types'!A:A,'10_Master_Gem_Types'!I:I),"")</f>
        <v>0</v>
      </c>
      <c r="Z211" s="9" cm="1">
        <f t="array" ref="Z211">IFERROR(_xlfn.XLOOKUP('01_Input_Raw_Products'!L211,'13_Certification_Stickers'!A:A,'13_Certification_Stickers'!C:C),"")</f>
        <v>0</v>
      </c>
      <c r="AA211" s="9" cm="1">
        <f t="array" ref="AA211">IFERROR(_xlfn.XLOOKUP('01_Input_Raw_Products'!S211,'14_Shipping_Rules'!A:A,'14_Shipping_Rules'!B:B),"")</f>
        <v>0</v>
      </c>
      <c r="AB211" s="9" cm="1">
        <f t="array" ref="AB211">IFERROR(_xlfn.XLOOKUP('01_Input_Raw_Products'!D211,'16_Astro_Flags'!A:A,'16_Astro_Flags'!B:B),"")</f>
        <v>0</v>
      </c>
      <c r="AC211" s="9">
        <f>IF(C211="","","Catalog, Search")</f>
        <v>0</v>
      </c>
      <c r="AD211" s="9">
        <f>IF(C211="","",IF(OR(F211="",J211="",M211="",S211="",Y211=""),"Manual Review","Ready"))</f>
        <v>0</v>
      </c>
      <c r="AE211" s="9">
        <f>IF(C211="","",TEXTJOIN("; ",TRUE,IF(F211="","Missing url_key",""),IF(J211="","Missing classification",""),IF(M211="","Missing j_colour",""),IF(S211="","Missing hsn_code",""),IF(Y211="","Missing tax_class_id","")))</f>
        <v>0</v>
      </c>
    </row>
    <row r="212" spans="1:31">
      <c r="A212" s="9">
        <f>IF('01_Input_Raw_Products'!B212&lt;&gt;"",20,"")</f>
        <v>0</v>
      </c>
      <c r="B212" s="9" cm="1">
        <f t="array" ref="B212">IF('01_Input_Raw_Products'!M212&lt;&gt;"",'01_Input_Raw_Products'!M212,IFERROR(_xlfn.XLOOKUP('01_Input_Raw_Products'!F212,'10_Master_Gem_Types'!A:A,'10_Master_Gem_Types'!K:K),""))</f>
        <v>0</v>
      </c>
      <c r="C212" s="9">
        <f>'01_Input_Raw_Products'!B212</f>
        <v>0</v>
      </c>
      <c r="D212" s="9">
        <f>IF(C212="","",TEXT(I212,"0.00")&amp;" Ct "&amp;IF('01_Input_Raw_Products'!F212&lt;&gt;"",'01_Input_Raw_Products'!F212,'01_Input_Raw_Products'!D212)&amp;" "&amp;'01_Input_Raw_Products'!I212)</f>
        <v>0</v>
      </c>
      <c r="E212" s="9">
        <f>IF(C212="","",D212&amp;" | GemPundit")</f>
        <v>0</v>
      </c>
      <c r="F212" s="9" cm="1">
        <f t="array" ref="F212">IF('01_Input_Raw_Products'!X212&lt;&gt;"",'01_Input_Raw_Products'!X212,IFERROR(_xlfn.XLOOKUP('01_Input_Raw_Products'!F212,'10_Master_Gem_Types'!A:A,'10_Master_Gem_Types'!O:O),LOWER(SUBSTITUTE(IF('01_Input_Raw_Products'!F212&lt;&gt;"",'01_Input_Raw_Products'!F212,'01_Input_Raw_Products'!D212)," ","-"))))</f>
        <v>0</v>
      </c>
      <c r="G212" s="9">
        <f>'01_Input_Raw_Products'!C212</f>
        <v>0</v>
      </c>
      <c r="H212" s="9" cm="1">
        <f t="array" ref="H212">IF('01_Input_Raw_Products'!H212&lt;&gt;"",'01_Input_Raw_Products'!H212,IFERROR(_xlfn.XLOOKUP('01_Input_Raw_Products'!F212,'10_Master_Gem_Types'!A:A,'10_Master_Gem_Types'!D:D),""))</f>
        <v>0</v>
      </c>
      <c r="I212" s="7">
        <f>IF('01_Input_Raw_Products'!N212&lt;&gt;"",'01_Input_Raw_Products'!N212,IF('01_Input_Raw_Products'!O212&lt;&gt;"",'01_Input_Raw_Products'!O212*0.91,""))</f>
        <v>0</v>
      </c>
      <c r="J212" s="9" cm="1">
        <f t="array" ref="J212">IFERROR(_xlfn.XLOOKUP('01_Input_Raw_Products'!F212,'10_Master_Gem_Types'!A:A,'10_Master_Gem_Types'!N:N),"")</f>
        <v>0</v>
      </c>
      <c r="K212" s="9" cm="1">
        <f t="array" ref="K212">IF('01_Input_Raw_Products'!J212&lt;&gt;"",'01_Input_Raw_Products'!J212,IFERROR(_xlfn.XLOOKUP('01_Input_Raw_Products'!F212,'10_Master_Gem_Types'!A:A,'10_Master_Gem_Types'!E:E),""))</f>
        <v>0</v>
      </c>
      <c r="L212" s="9">
        <f>'01_Input_Raw_Products'!P212</f>
        <v>0</v>
      </c>
      <c r="M212" s="9" cm="1">
        <f t="array" ref="M212">IFERROR(_xlfn.XLOOKUP('01_Input_Raw_Products'!K212,'12_Color_Mapping'!A:A,'12_Color_Mapping'!B:B),IFERROR(_xlfn.XLOOKUP('01_Input_Raw_Products'!F212,'10_Master_Gem_Types'!A:A,'10_Master_Gem_Types'!F:F),""))</f>
        <v>0</v>
      </c>
      <c r="N212" s="9">
        <f>IF(C212="","",IF('01_Input_Raw_Products'!F212&lt;&gt;"",'01_Input_Raw_Products'!F212,'01_Input_Raw_Products'!D212))</f>
        <v>0</v>
      </c>
      <c r="O212" s="9">
        <f>IF(C212="","","Catalog Automation")</f>
        <v>0</v>
      </c>
      <c r="P212" s="9">
        <f>'01_Input_Raw_Products'!U212</f>
        <v>0</v>
      </c>
      <c r="Q212" s="7">
        <f>IF('01_Input_Raw_Products'!O212&lt;&gt;"",'01_Input_Raw_Products'!O212,IF('01_Input_Raw_Products'!N212&lt;&gt;"",'01_Input_Raw_Products'!N212*1.1,""))</f>
        <v>0</v>
      </c>
      <c r="R212" s="9">
        <f>'01_Input_Raw_Products'!S212</f>
        <v>0</v>
      </c>
      <c r="S212" s="9" cm="1">
        <f t="array" ref="S212">IFERROR(_xlfn.XLOOKUP('01_Input_Raw_Products'!F212,'10_Master_Gem_Types'!A:A,'10_Master_Gem_Types'!H:H),"")</f>
        <v>0</v>
      </c>
      <c r="T212" s="8">
        <f>'01_Input_Raw_Products'!Q212</f>
        <v>0</v>
      </c>
      <c r="U212" s="8">
        <f>'01_Input_Raw_Products'!R212</f>
        <v>0</v>
      </c>
      <c r="V212" s="7">
        <f>I212</f>
        <v>0</v>
      </c>
      <c r="W212" s="9" cm="1">
        <f t="array" ref="W212">IF('01_Input_Raw_Products'!G212&lt;&gt;"",'01_Input_Raw_Products'!G212,IFERROR(_xlfn.XLOOKUP('01_Input_Raw_Products'!F212,'10_Master_Gem_Types'!A:A,'10_Master_Gem_Types'!L:L),""))</f>
        <v>0</v>
      </c>
      <c r="X212" s="9" cm="1">
        <f t="array" ref="X212">IFERROR(_xlfn.XLOOKUP('01_Input_Raw_Products'!F212,'10_Master_Gem_Types'!A:A,'10_Master_Gem_Types'!J:J),"")</f>
        <v>0</v>
      </c>
      <c r="Y212" s="9" cm="1">
        <f t="array" ref="Y212">IFERROR(_xlfn.XLOOKUP('01_Input_Raw_Products'!F212,'10_Master_Gem_Types'!A:A,'10_Master_Gem_Types'!I:I),"")</f>
        <v>0</v>
      </c>
      <c r="Z212" s="9" cm="1">
        <f t="array" ref="Z212">IFERROR(_xlfn.XLOOKUP('01_Input_Raw_Products'!L212,'13_Certification_Stickers'!A:A,'13_Certification_Stickers'!C:C),"")</f>
        <v>0</v>
      </c>
      <c r="AA212" s="9" cm="1">
        <f t="array" ref="AA212">IFERROR(_xlfn.XLOOKUP('01_Input_Raw_Products'!S212,'14_Shipping_Rules'!A:A,'14_Shipping_Rules'!B:B),"")</f>
        <v>0</v>
      </c>
      <c r="AB212" s="9" cm="1">
        <f t="array" ref="AB212">IFERROR(_xlfn.XLOOKUP('01_Input_Raw_Products'!D212,'16_Astro_Flags'!A:A,'16_Astro_Flags'!B:B),"")</f>
        <v>0</v>
      </c>
      <c r="AC212" s="9">
        <f>IF(C212="","","Catalog, Search")</f>
        <v>0</v>
      </c>
      <c r="AD212" s="9">
        <f>IF(C212="","",IF(OR(F212="",J212="",M212="",S212="",Y212=""),"Manual Review","Ready"))</f>
        <v>0</v>
      </c>
      <c r="AE212" s="9">
        <f>IF(C212="","",TEXTJOIN("; ",TRUE,IF(F212="","Missing url_key",""),IF(J212="","Missing classification",""),IF(M212="","Missing j_colour",""),IF(S212="","Missing hsn_code",""),IF(Y212="","Missing tax_class_id","")))</f>
        <v>0</v>
      </c>
    </row>
    <row r="213" spans="1:31">
      <c r="A213" s="9">
        <f>IF('01_Input_Raw_Products'!B213&lt;&gt;"",20,"")</f>
        <v>0</v>
      </c>
      <c r="B213" s="9" cm="1">
        <f t="array" ref="B213">IF('01_Input_Raw_Products'!M213&lt;&gt;"",'01_Input_Raw_Products'!M213,IFERROR(_xlfn.XLOOKUP('01_Input_Raw_Products'!F213,'10_Master_Gem_Types'!A:A,'10_Master_Gem_Types'!K:K),""))</f>
        <v>0</v>
      </c>
      <c r="C213" s="9">
        <f>'01_Input_Raw_Products'!B213</f>
        <v>0</v>
      </c>
      <c r="D213" s="9">
        <f>IF(C213="","",TEXT(I213,"0.00")&amp;" Ct "&amp;IF('01_Input_Raw_Products'!F213&lt;&gt;"",'01_Input_Raw_Products'!F213,'01_Input_Raw_Products'!D213)&amp;" "&amp;'01_Input_Raw_Products'!I213)</f>
        <v>0</v>
      </c>
      <c r="E213" s="9">
        <f>IF(C213="","",D213&amp;" | GemPundit")</f>
        <v>0</v>
      </c>
      <c r="F213" s="9" cm="1">
        <f t="array" ref="F213">IF('01_Input_Raw_Products'!X213&lt;&gt;"",'01_Input_Raw_Products'!X213,IFERROR(_xlfn.XLOOKUP('01_Input_Raw_Products'!F213,'10_Master_Gem_Types'!A:A,'10_Master_Gem_Types'!O:O),LOWER(SUBSTITUTE(IF('01_Input_Raw_Products'!F213&lt;&gt;"",'01_Input_Raw_Products'!F213,'01_Input_Raw_Products'!D213)," ","-"))))</f>
        <v>0</v>
      </c>
      <c r="G213" s="9">
        <f>'01_Input_Raw_Products'!C213</f>
        <v>0</v>
      </c>
      <c r="H213" s="9" cm="1">
        <f t="array" ref="H213">IF('01_Input_Raw_Products'!H213&lt;&gt;"",'01_Input_Raw_Products'!H213,IFERROR(_xlfn.XLOOKUP('01_Input_Raw_Products'!F213,'10_Master_Gem_Types'!A:A,'10_Master_Gem_Types'!D:D),""))</f>
        <v>0</v>
      </c>
      <c r="I213" s="7">
        <f>IF('01_Input_Raw_Products'!N213&lt;&gt;"",'01_Input_Raw_Products'!N213,IF('01_Input_Raw_Products'!O213&lt;&gt;"",'01_Input_Raw_Products'!O213*0.91,""))</f>
        <v>0</v>
      </c>
      <c r="J213" s="9" cm="1">
        <f t="array" ref="J213">IFERROR(_xlfn.XLOOKUP('01_Input_Raw_Products'!F213,'10_Master_Gem_Types'!A:A,'10_Master_Gem_Types'!N:N),"")</f>
        <v>0</v>
      </c>
      <c r="K213" s="9" cm="1">
        <f t="array" ref="K213">IF('01_Input_Raw_Products'!J213&lt;&gt;"",'01_Input_Raw_Products'!J213,IFERROR(_xlfn.XLOOKUP('01_Input_Raw_Products'!F213,'10_Master_Gem_Types'!A:A,'10_Master_Gem_Types'!E:E),""))</f>
        <v>0</v>
      </c>
      <c r="L213" s="9">
        <f>'01_Input_Raw_Products'!P213</f>
        <v>0</v>
      </c>
      <c r="M213" s="9" cm="1">
        <f t="array" ref="M213">IFERROR(_xlfn.XLOOKUP('01_Input_Raw_Products'!K213,'12_Color_Mapping'!A:A,'12_Color_Mapping'!B:B),IFERROR(_xlfn.XLOOKUP('01_Input_Raw_Products'!F213,'10_Master_Gem_Types'!A:A,'10_Master_Gem_Types'!F:F),""))</f>
        <v>0</v>
      </c>
      <c r="N213" s="9">
        <f>IF(C213="","",IF('01_Input_Raw_Products'!F213&lt;&gt;"",'01_Input_Raw_Products'!F213,'01_Input_Raw_Products'!D213))</f>
        <v>0</v>
      </c>
      <c r="O213" s="9">
        <f>IF(C213="","","Catalog Automation")</f>
        <v>0</v>
      </c>
      <c r="P213" s="9">
        <f>'01_Input_Raw_Products'!U213</f>
        <v>0</v>
      </c>
      <c r="Q213" s="7">
        <f>IF('01_Input_Raw_Products'!O213&lt;&gt;"",'01_Input_Raw_Products'!O213,IF('01_Input_Raw_Products'!N213&lt;&gt;"",'01_Input_Raw_Products'!N213*1.1,""))</f>
        <v>0</v>
      </c>
      <c r="R213" s="9">
        <f>'01_Input_Raw_Products'!S213</f>
        <v>0</v>
      </c>
      <c r="S213" s="9" cm="1">
        <f t="array" ref="S213">IFERROR(_xlfn.XLOOKUP('01_Input_Raw_Products'!F213,'10_Master_Gem_Types'!A:A,'10_Master_Gem_Types'!H:H),"")</f>
        <v>0</v>
      </c>
      <c r="T213" s="8">
        <f>'01_Input_Raw_Products'!Q213</f>
        <v>0</v>
      </c>
      <c r="U213" s="8">
        <f>'01_Input_Raw_Products'!R213</f>
        <v>0</v>
      </c>
      <c r="V213" s="7">
        <f>I213</f>
        <v>0</v>
      </c>
      <c r="W213" s="9" cm="1">
        <f t="array" ref="W213">IF('01_Input_Raw_Products'!G213&lt;&gt;"",'01_Input_Raw_Products'!G213,IFERROR(_xlfn.XLOOKUP('01_Input_Raw_Products'!F213,'10_Master_Gem_Types'!A:A,'10_Master_Gem_Types'!L:L),""))</f>
        <v>0</v>
      </c>
      <c r="X213" s="9" cm="1">
        <f t="array" ref="X213">IFERROR(_xlfn.XLOOKUP('01_Input_Raw_Products'!F213,'10_Master_Gem_Types'!A:A,'10_Master_Gem_Types'!J:J),"")</f>
        <v>0</v>
      </c>
      <c r="Y213" s="9" cm="1">
        <f t="array" ref="Y213">IFERROR(_xlfn.XLOOKUP('01_Input_Raw_Products'!F213,'10_Master_Gem_Types'!A:A,'10_Master_Gem_Types'!I:I),"")</f>
        <v>0</v>
      </c>
      <c r="Z213" s="9" cm="1">
        <f t="array" ref="Z213">IFERROR(_xlfn.XLOOKUP('01_Input_Raw_Products'!L213,'13_Certification_Stickers'!A:A,'13_Certification_Stickers'!C:C),"")</f>
        <v>0</v>
      </c>
      <c r="AA213" s="9" cm="1">
        <f t="array" ref="AA213">IFERROR(_xlfn.XLOOKUP('01_Input_Raw_Products'!S213,'14_Shipping_Rules'!A:A,'14_Shipping_Rules'!B:B),"")</f>
        <v>0</v>
      </c>
      <c r="AB213" s="9" cm="1">
        <f t="array" ref="AB213">IFERROR(_xlfn.XLOOKUP('01_Input_Raw_Products'!D213,'16_Astro_Flags'!A:A,'16_Astro_Flags'!B:B),"")</f>
        <v>0</v>
      </c>
      <c r="AC213" s="9">
        <f>IF(C213="","","Catalog, Search")</f>
        <v>0</v>
      </c>
      <c r="AD213" s="9">
        <f>IF(C213="","",IF(OR(F213="",J213="",M213="",S213="",Y213=""),"Manual Review","Ready"))</f>
        <v>0</v>
      </c>
      <c r="AE213" s="9">
        <f>IF(C213="","",TEXTJOIN("; ",TRUE,IF(F213="","Missing url_key",""),IF(J213="","Missing classification",""),IF(M213="","Missing j_colour",""),IF(S213="","Missing hsn_code",""),IF(Y213="","Missing tax_class_id","")))</f>
        <v>0</v>
      </c>
    </row>
    <row r="214" spans="1:31">
      <c r="A214" s="9">
        <f>IF('01_Input_Raw_Products'!B214&lt;&gt;"",20,"")</f>
        <v>0</v>
      </c>
      <c r="B214" s="9" cm="1">
        <f t="array" ref="B214">IF('01_Input_Raw_Products'!M214&lt;&gt;"",'01_Input_Raw_Products'!M214,IFERROR(_xlfn.XLOOKUP('01_Input_Raw_Products'!F214,'10_Master_Gem_Types'!A:A,'10_Master_Gem_Types'!K:K),""))</f>
        <v>0</v>
      </c>
      <c r="C214" s="9">
        <f>'01_Input_Raw_Products'!B214</f>
        <v>0</v>
      </c>
      <c r="D214" s="9">
        <f>IF(C214="","",TEXT(I214,"0.00")&amp;" Ct "&amp;IF('01_Input_Raw_Products'!F214&lt;&gt;"",'01_Input_Raw_Products'!F214,'01_Input_Raw_Products'!D214)&amp;" "&amp;'01_Input_Raw_Products'!I214)</f>
        <v>0</v>
      </c>
      <c r="E214" s="9">
        <f>IF(C214="","",D214&amp;" | GemPundit")</f>
        <v>0</v>
      </c>
      <c r="F214" s="9" cm="1">
        <f t="array" ref="F214">IF('01_Input_Raw_Products'!X214&lt;&gt;"",'01_Input_Raw_Products'!X214,IFERROR(_xlfn.XLOOKUP('01_Input_Raw_Products'!F214,'10_Master_Gem_Types'!A:A,'10_Master_Gem_Types'!O:O),LOWER(SUBSTITUTE(IF('01_Input_Raw_Products'!F214&lt;&gt;"",'01_Input_Raw_Products'!F214,'01_Input_Raw_Products'!D214)," ","-"))))</f>
        <v>0</v>
      </c>
      <c r="G214" s="9">
        <f>'01_Input_Raw_Products'!C214</f>
        <v>0</v>
      </c>
      <c r="H214" s="9" cm="1">
        <f t="array" ref="H214">IF('01_Input_Raw_Products'!H214&lt;&gt;"",'01_Input_Raw_Products'!H214,IFERROR(_xlfn.XLOOKUP('01_Input_Raw_Products'!F214,'10_Master_Gem_Types'!A:A,'10_Master_Gem_Types'!D:D),""))</f>
        <v>0</v>
      </c>
      <c r="I214" s="7">
        <f>IF('01_Input_Raw_Products'!N214&lt;&gt;"",'01_Input_Raw_Products'!N214,IF('01_Input_Raw_Products'!O214&lt;&gt;"",'01_Input_Raw_Products'!O214*0.91,""))</f>
        <v>0</v>
      </c>
      <c r="J214" s="9" cm="1">
        <f t="array" ref="J214">IFERROR(_xlfn.XLOOKUP('01_Input_Raw_Products'!F214,'10_Master_Gem_Types'!A:A,'10_Master_Gem_Types'!N:N),"")</f>
        <v>0</v>
      </c>
      <c r="K214" s="9" cm="1">
        <f t="array" ref="K214">IF('01_Input_Raw_Products'!J214&lt;&gt;"",'01_Input_Raw_Products'!J214,IFERROR(_xlfn.XLOOKUP('01_Input_Raw_Products'!F214,'10_Master_Gem_Types'!A:A,'10_Master_Gem_Types'!E:E),""))</f>
        <v>0</v>
      </c>
      <c r="L214" s="9">
        <f>'01_Input_Raw_Products'!P214</f>
        <v>0</v>
      </c>
      <c r="M214" s="9" cm="1">
        <f t="array" ref="M214">IFERROR(_xlfn.XLOOKUP('01_Input_Raw_Products'!K214,'12_Color_Mapping'!A:A,'12_Color_Mapping'!B:B),IFERROR(_xlfn.XLOOKUP('01_Input_Raw_Products'!F214,'10_Master_Gem_Types'!A:A,'10_Master_Gem_Types'!F:F),""))</f>
        <v>0</v>
      </c>
      <c r="N214" s="9">
        <f>IF(C214="","",IF('01_Input_Raw_Products'!F214&lt;&gt;"",'01_Input_Raw_Products'!F214,'01_Input_Raw_Products'!D214))</f>
        <v>0</v>
      </c>
      <c r="O214" s="9">
        <f>IF(C214="","","Catalog Automation")</f>
        <v>0</v>
      </c>
      <c r="P214" s="9">
        <f>'01_Input_Raw_Products'!U214</f>
        <v>0</v>
      </c>
      <c r="Q214" s="7">
        <f>IF('01_Input_Raw_Products'!O214&lt;&gt;"",'01_Input_Raw_Products'!O214,IF('01_Input_Raw_Products'!N214&lt;&gt;"",'01_Input_Raw_Products'!N214*1.1,""))</f>
        <v>0</v>
      </c>
      <c r="R214" s="9">
        <f>'01_Input_Raw_Products'!S214</f>
        <v>0</v>
      </c>
      <c r="S214" s="9" cm="1">
        <f t="array" ref="S214">IFERROR(_xlfn.XLOOKUP('01_Input_Raw_Products'!F214,'10_Master_Gem_Types'!A:A,'10_Master_Gem_Types'!H:H),"")</f>
        <v>0</v>
      </c>
      <c r="T214" s="8">
        <f>'01_Input_Raw_Products'!Q214</f>
        <v>0</v>
      </c>
      <c r="U214" s="8">
        <f>'01_Input_Raw_Products'!R214</f>
        <v>0</v>
      </c>
      <c r="V214" s="7">
        <f>I214</f>
        <v>0</v>
      </c>
      <c r="W214" s="9" cm="1">
        <f t="array" ref="W214">IF('01_Input_Raw_Products'!G214&lt;&gt;"",'01_Input_Raw_Products'!G214,IFERROR(_xlfn.XLOOKUP('01_Input_Raw_Products'!F214,'10_Master_Gem_Types'!A:A,'10_Master_Gem_Types'!L:L),""))</f>
        <v>0</v>
      </c>
      <c r="X214" s="9" cm="1">
        <f t="array" ref="X214">IFERROR(_xlfn.XLOOKUP('01_Input_Raw_Products'!F214,'10_Master_Gem_Types'!A:A,'10_Master_Gem_Types'!J:J),"")</f>
        <v>0</v>
      </c>
      <c r="Y214" s="9" cm="1">
        <f t="array" ref="Y214">IFERROR(_xlfn.XLOOKUP('01_Input_Raw_Products'!F214,'10_Master_Gem_Types'!A:A,'10_Master_Gem_Types'!I:I),"")</f>
        <v>0</v>
      </c>
      <c r="Z214" s="9" cm="1">
        <f t="array" ref="Z214">IFERROR(_xlfn.XLOOKUP('01_Input_Raw_Products'!L214,'13_Certification_Stickers'!A:A,'13_Certification_Stickers'!C:C),"")</f>
        <v>0</v>
      </c>
      <c r="AA214" s="9" cm="1">
        <f t="array" ref="AA214">IFERROR(_xlfn.XLOOKUP('01_Input_Raw_Products'!S214,'14_Shipping_Rules'!A:A,'14_Shipping_Rules'!B:B),"")</f>
        <v>0</v>
      </c>
      <c r="AB214" s="9" cm="1">
        <f t="array" ref="AB214">IFERROR(_xlfn.XLOOKUP('01_Input_Raw_Products'!D214,'16_Astro_Flags'!A:A,'16_Astro_Flags'!B:B),"")</f>
        <v>0</v>
      </c>
      <c r="AC214" s="9">
        <f>IF(C214="","","Catalog, Search")</f>
        <v>0</v>
      </c>
      <c r="AD214" s="9">
        <f>IF(C214="","",IF(OR(F214="",J214="",M214="",S214="",Y214=""),"Manual Review","Ready"))</f>
        <v>0</v>
      </c>
      <c r="AE214" s="9">
        <f>IF(C214="","",TEXTJOIN("; ",TRUE,IF(F214="","Missing url_key",""),IF(J214="","Missing classification",""),IF(M214="","Missing j_colour",""),IF(S214="","Missing hsn_code",""),IF(Y214="","Missing tax_class_id","")))</f>
        <v>0</v>
      </c>
    </row>
    <row r="215" spans="1:31">
      <c r="A215" s="9">
        <f>IF('01_Input_Raw_Products'!B215&lt;&gt;"",20,"")</f>
        <v>0</v>
      </c>
      <c r="B215" s="9" cm="1">
        <f t="array" ref="B215">IF('01_Input_Raw_Products'!M215&lt;&gt;"",'01_Input_Raw_Products'!M215,IFERROR(_xlfn.XLOOKUP('01_Input_Raw_Products'!F215,'10_Master_Gem_Types'!A:A,'10_Master_Gem_Types'!K:K),""))</f>
        <v>0</v>
      </c>
      <c r="C215" s="9">
        <f>'01_Input_Raw_Products'!B215</f>
        <v>0</v>
      </c>
      <c r="D215" s="9">
        <f>IF(C215="","",TEXT(I215,"0.00")&amp;" Ct "&amp;IF('01_Input_Raw_Products'!F215&lt;&gt;"",'01_Input_Raw_Products'!F215,'01_Input_Raw_Products'!D215)&amp;" "&amp;'01_Input_Raw_Products'!I215)</f>
        <v>0</v>
      </c>
      <c r="E215" s="9">
        <f>IF(C215="","",D215&amp;" | GemPundit")</f>
        <v>0</v>
      </c>
      <c r="F215" s="9" cm="1">
        <f t="array" ref="F215">IF('01_Input_Raw_Products'!X215&lt;&gt;"",'01_Input_Raw_Products'!X215,IFERROR(_xlfn.XLOOKUP('01_Input_Raw_Products'!F215,'10_Master_Gem_Types'!A:A,'10_Master_Gem_Types'!O:O),LOWER(SUBSTITUTE(IF('01_Input_Raw_Products'!F215&lt;&gt;"",'01_Input_Raw_Products'!F215,'01_Input_Raw_Products'!D215)," ","-"))))</f>
        <v>0</v>
      </c>
      <c r="G215" s="9">
        <f>'01_Input_Raw_Products'!C215</f>
        <v>0</v>
      </c>
      <c r="H215" s="9" cm="1">
        <f t="array" ref="H215">IF('01_Input_Raw_Products'!H215&lt;&gt;"",'01_Input_Raw_Products'!H215,IFERROR(_xlfn.XLOOKUP('01_Input_Raw_Products'!F215,'10_Master_Gem_Types'!A:A,'10_Master_Gem_Types'!D:D),""))</f>
        <v>0</v>
      </c>
      <c r="I215" s="7">
        <f>IF('01_Input_Raw_Products'!N215&lt;&gt;"",'01_Input_Raw_Products'!N215,IF('01_Input_Raw_Products'!O215&lt;&gt;"",'01_Input_Raw_Products'!O215*0.91,""))</f>
        <v>0</v>
      </c>
      <c r="J215" s="9" cm="1">
        <f t="array" ref="J215">IFERROR(_xlfn.XLOOKUP('01_Input_Raw_Products'!F215,'10_Master_Gem_Types'!A:A,'10_Master_Gem_Types'!N:N),"")</f>
        <v>0</v>
      </c>
      <c r="K215" s="9" cm="1">
        <f t="array" ref="K215">IF('01_Input_Raw_Products'!J215&lt;&gt;"",'01_Input_Raw_Products'!J215,IFERROR(_xlfn.XLOOKUP('01_Input_Raw_Products'!F215,'10_Master_Gem_Types'!A:A,'10_Master_Gem_Types'!E:E),""))</f>
        <v>0</v>
      </c>
      <c r="L215" s="9">
        <f>'01_Input_Raw_Products'!P215</f>
        <v>0</v>
      </c>
      <c r="M215" s="9" cm="1">
        <f t="array" ref="M215">IFERROR(_xlfn.XLOOKUP('01_Input_Raw_Products'!K215,'12_Color_Mapping'!A:A,'12_Color_Mapping'!B:B),IFERROR(_xlfn.XLOOKUP('01_Input_Raw_Products'!F215,'10_Master_Gem_Types'!A:A,'10_Master_Gem_Types'!F:F),""))</f>
        <v>0</v>
      </c>
      <c r="N215" s="9">
        <f>IF(C215="","",IF('01_Input_Raw_Products'!F215&lt;&gt;"",'01_Input_Raw_Products'!F215,'01_Input_Raw_Products'!D215))</f>
        <v>0</v>
      </c>
      <c r="O215" s="9">
        <f>IF(C215="","","Catalog Automation")</f>
        <v>0</v>
      </c>
      <c r="P215" s="9">
        <f>'01_Input_Raw_Products'!U215</f>
        <v>0</v>
      </c>
      <c r="Q215" s="7">
        <f>IF('01_Input_Raw_Products'!O215&lt;&gt;"",'01_Input_Raw_Products'!O215,IF('01_Input_Raw_Products'!N215&lt;&gt;"",'01_Input_Raw_Products'!N215*1.1,""))</f>
        <v>0</v>
      </c>
      <c r="R215" s="9">
        <f>'01_Input_Raw_Products'!S215</f>
        <v>0</v>
      </c>
      <c r="S215" s="9" cm="1">
        <f t="array" ref="S215">IFERROR(_xlfn.XLOOKUP('01_Input_Raw_Products'!F215,'10_Master_Gem_Types'!A:A,'10_Master_Gem_Types'!H:H),"")</f>
        <v>0</v>
      </c>
      <c r="T215" s="8">
        <f>'01_Input_Raw_Products'!Q215</f>
        <v>0</v>
      </c>
      <c r="U215" s="8">
        <f>'01_Input_Raw_Products'!R215</f>
        <v>0</v>
      </c>
      <c r="V215" s="7">
        <f>I215</f>
        <v>0</v>
      </c>
      <c r="W215" s="9" cm="1">
        <f t="array" ref="W215">IF('01_Input_Raw_Products'!G215&lt;&gt;"",'01_Input_Raw_Products'!G215,IFERROR(_xlfn.XLOOKUP('01_Input_Raw_Products'!F215,'10_Master_Gem_Types'!A:A,'10_Master_Gem_Types'!L:L),""))</f>
        <v>0</v>
      </c>
      <c r="X215" s="9" cm="1">
        <f t="array" ref="X215">IFERROR(_xlfn.XLOOKUP('01_Input_Raw_Products'!F215,'10_Master_Gem_Types'!A:A,'10_Master_Gem_Types'!J:J),"")</f>
        <v>0</v>
      </c>
      <c r="Y215" s="9" cm="1">
        <f t="array" ref="Y215">IFERROR(_xlfn.XLOOKUP('01_Input_Raw_Products'!F215,'10_Master_Gem_Types'!A:A,'10_Master_Gem_Types'!I:I),"")</f>
        <v>0</v>
      </c>
      <c r="Z215" s="9" cm="1">
        <f t="array" ref="Z215">IFERROR(_xlfn.XLOOKUP('01_Input_Raw_Products'!L215,'13_Certification_Stickers'!A:A,'13_Certification_Stickers'!C:C),"")</f>
        <v>0</v>
      </c>
      <c r="AA215" s="9" cm="1">
        <f t="array" ref="AA215">IFERROR(_xlfn.XLOOKUP('01_Input_Raw_Products'!S215,'14_Shipping_Rules'!A:A,'14_Shipping_Rules'!B:B),"")</f>
        <v>0</v>
      </c>
      <c r="AB215" s="9" cm="1">
        <f t="array" ref="AB215">IFERROR(_xlfn.XLOOKUP('01_Input_Raw_Products'!D215,'16_Astro_Flags'!A:A,'16_Astro_Flags'!B:B),"")</f>
        <v>0</v>
      </c>
      <c r="AC215" s="9">
        <f>IF(C215="","","Catalog, Search")</f>
        <v>0</v>
      </c>
      <c r="AD215" s="9">
        <f>IF(C215="","",IF(OR(F215="",J215="",M215="",S215="",Y215=""),"Manual Review","Ready"))</f>
        <v>0</v>
      </c>
      <c r="AE215" s="9">
        <f>IF(C215="","",TEXTJOIN("; ",TRUE,IF(F215="","Missing url_key",""),IF(J215="","Missing classification",""),IF(M215="","Missing j_colour",""),IF(S215="","Missing hsn_code",""),IF(Y215="","Missing tax_class_id","")))</f>
        <v>0</v>
      </c>
    </row>
    <row r="216" spans="1:31">
      <c r="A216" s="9">
        <f>IF('01_Input_Raw_Products'!B216&lt;&gt;"",20,"")</f>
        <v>0</v>
      </c>
      <c r="B216" s="9" cm="1">
        <f t="array" ref="B216">IF('01_Input_Raw_Products'!M216&lt;&gt;"",'01_Input_Raw_Products'!M216,IFERROR(_xlfn.XLOOKUP('01_Input_Raw_Products'!F216,'10_Master_Gem_Types'!A:A,'10_Master_Gem_Types'!K:K),""))</f>
        <v>0</v>
      </c>
      <c r="C216" s="9">
        <f>'01_Input_Raw_Products'!B216</f>
        <v>0</v>
      </c>
      <c r="D216" s="9">
        <f>IF(C216="","",TEXT(I216,"0.00")&amp;" Ct "&amp;IF('01_Input_Raw_Products'!F216&lt;&gt;"",'01_Input_Raw_Products'!F216,'01_Input_Raw_Products'!D216)&amp;" "&amp;'01_Input_Raw_Products'!I216)</f>
        <v>0</v>
      </c>
      <c r="E216" s="9">
        <f>IF(C216="","",D216&amp;" | GemPundit")</f>
        <v>0</v>
      </c>
      <c r="F216" s="9" cm="1">
        <f t="array" ref="F216">IF('01_Input_Raw_Products'!X216&lt;&gt;"",'01_Input_Raw_Products'!X216,IFERROR(_xlfn.XLOOKUP('01_Input_Raw_Products'!F216,'10_Master_Gem_Types'!A:A,'10_Master_Gem_Types'!O:O),LOWER(SUBSTITUTE(IF('01_Input_Raw_Products'!F216&lt;&gt;"",'01_Input_Raw_Products'!F216,'01_Input_Raw_Products'!D216)," ","-"))))</f>
        <v>0</v>
      </c>
      <c r="G216" s="9">
        <f>'01_Input_Raw_Products'!C216</f>
        <v>0</v>
      </c>
      <c r="H216" s="9" cm="1">
        <f t="array" ref="H216">IF('01_Input_Raw_Products'!H216&lt;&gt;"",'01_Input_Raw_Products'!H216,IFERROR(_xlfn.XLOOKUP('01_Input_Raw_Products'!F216,'10_Master_Gem_Types'!A:A,'10_Master_Gem_Types'!D:D),""))</f>
        <v>0</v>
      </c>
      <c r="I216" s="7">
        <f>IF('01_Input_Raw_Products'!N216&lt;&gt;"",'01_Input_Raw_Products'!N216,IF('01_Input_Raw_Products'!O216&lt;&gt;"",'01_Input_Raw_Products'!O216*0.91,""))</f>
        <v>0</v>
      </c>
      <c r="J216" s="9" cm="1">
        <f t="array" ref="J216">IFERROR(_xlfn.XLOOKUP('01_Input_Raw_Products'!F216,'10_Master_Gem_Types'!A:A,'10_Master_Gem_Types'!N:N),"")</f>
        <v>0</v>
      </c>
      <c r="K216" s="9" cm="1">
        <f t="array" ref="K216">IF('01_Input_Raw_Products'!J216&lt;&gt;"",'01_Input_Raw_Products'!J216,IFERROR(_xlfn.XLOOKUP('01_Input_Raw_Products'!F216,'10_Master_Gem_Types'!A:A,'10_Master_Gem_Types'!E:E),""))</f>
        <v>0</v>
      </c>
      <c r="L216" s="9">
        <f>'01_Input_Raw_Products'!P216</f>
        <v>0</v>
      </c>
      <c r="M216" s="9" cm="1">
        <f t="array" ref="M216">IFERROR(_xlfn.XLOOKUP('01_Input_Raw_Products'!K216,'12_Color_Mapping'!A:A,'12_Color_Mapping'!B:B),IFERROR(_xlfn.XLOOKUP('01_Input_Raw_Products'!F216,'10_Master_Gem_Types'!A:A,'10_Master_Gem_Types'!F:F),""))</f>
        <v>0</v>
      </c>
      <c r="N216" s="9">
        <f>IF(C216="","",IF('01_Input_Raw_Products'!F216&lt;&gt;"",'01_Input_Raw_Products'!F216,'01_Input_Raw_Products'!D216))</f>
        <v>0</v>
      </c>
      <c r="O216" s="9">
        <f>IF(C216="","","Catalog Automation")</f>
        <v>0</v>
      </c>
      <c r="P216" s="9">
        <f>'01_Input_Raw_Products'!U216</f>
        <v>0</v>
      </c>
      <c r="Q216" s="7">
        <f>IF('01_Input_Raw_Products'!O216&lt;&gt;"",'01_Input_Raw_Products'!O216,IF('01_Input_Raw_Products'!N216&lt;&gt;"",'01_Input_Raw_Products'!N216*1.1,""))</f>
        <v>0</v>
      </c>
      <c r="R216" s="9">
        <f>'01_Input_Raw_Products'!S216</f>
        <v>0</v>
      </c>
      <c r="S216" s="9" cm="1">
        <f t="array" ref="S216">IFERROR(_xlfn.XLOOKUP('01_Input_Raw_Products'!F216,'10_Master_Gem_Types'!A:A,'10_Master_Gem_Types'!H:H),"")</f>
        <v>0</v>
      </c>
      <c r="T216" s="8">
        <f>'01_Input_Raw_Products'!Q216</f>
        <v>0</v>
      </c>
      <c r="U216" s="8">
        <f>'01_Input_Raw_Products'!R216</f>
        <v>0</v>
      </c>
      <c r="V216" s="7">
        <f>I216</f>
        <v>0</v>
      </c>
      <c r="W216" s="9" cm="1">
        <f t="array" ref="W216">IF('01_Input_Raw_Products'!G216&lt;&gt;"",'01_Input_Raw_Products'!G216,IFERROR(_xlfn.XLOOKUP('01_Input_Raw_Products'!F216,'10_Master_Gem_Types'!A:A,'10_Master_Gem_Types'!L:L),""))</f>
        <v>0</v>
      </c>
      <c r="X216" s="9" cm="1">
        <f t="array" ref="X216">IFERROR(_xlfn.XLOOKUP('01_Input_Raw_Products'!F216,'10_Master_Gem_Types'!A:A,'10_Master_Gem_Types'!J:J),"")</f>
        <v>0</v>
      </c>
      <c r="Y216" s="9" cm="1">
        <f t="array" ref="Y216">IFERROR(_xlfn.XLOOKUP('01_Input_Raw_Products'!F216,'10_Master_Gem_Types'!A:A,'10_Master_Gem_Types'!I:I),"")</f>
        <v>0</v>
      </c>
      <c r="Z216" s="9" cm="1">
        <f t="array" ref="Z216">IFERROR(_xlfn.XLOOKUP('01_Input_Raw_Products'!L216,'13_Certification_Stickers'!A:A,'13_Certification_Stickers'!C:C),"")</f>
        <v>0</v>
      </c>
      <c r="AA216" s="9" cm="1">
        <f t="array" ref="AA216">IFERROR(_xlfn.XLOOKUP('01_Input_Raw_Products'!S216,'14_Shipping_Rules'!A:A,'14_Shipping_Rules'!B:B),"")</f>
        <v>0</v>
      </c>
      <c r="AB216" s="9" cm="1">
        <f t="array" ref="AB216">IFERROR(_xlfn.XLOOKUP('01_Input_Raw_Products'!D216,'16_Astro_Flags'!A:A,'16_Astro_Flags'!B:B),"")</f>
        <v>0</v>
      </c>
      <c r="AC216" s="9">
        <f>IF(C216="","","Catalog, Search")</f>
        <v>0</v>
      </c>
      <c r="AD216" s="9">
        <f>IF(C216="","",IF(OR(F216="",J216="",M216="",S216="",Y216=""),"Manual Review","Ready"))</f>
        <v>0</v>
      </c>
      <c r="AE216" s="9">
        <f>IF(C216="","",TEXTJOIN("; ",TRUE,IF(F216="","Missing url_key",""),IF(J216="","Missing classification",""),IF(M216="","Missing j_colour",""),IF(S216="","Missing hsn_code",""),IF(Y216="","Missing tax_class_id","")))</f>
        <v>0</v>
      </c>
    </row>
    <row r="217" spans="1:31">
      <c r="A217" s="9">
        <f>IF('01_Input_Raw_Products'!B217&lt;&gt;"",20,"")</f>
        <v>0</v>
      </c>
      <c r="B217" s="9" cm="1">
        <f t="array" ref="B217">IF('01_Input_Raw_Products'!M217&lt;&gt;"",'01_Input_Raw_Products'!M217,IFERROR(_xlfn.XLOOKUP('01_Input_Raw_Products'!F217,'10_Master_Gem_Types'!A:A,'10_Master_Gem_Types'!K:K),""))</f>
        <v>0</v>
      </c>
      <c r="C217" s="9">
        <f>'01_Input_Raw_Products'!B217</f>
        <v>0</v>
      </c>
      <c r="D217" s="9">
        <f>IF(C217="","",TEXT(I217,"0.00")&amp;" Ct "&amp;IF('01_Input_Raw_Products'!F217&lt;&gt;"",'01_Input_Raw_Products'!F217,'01_Input_Raw_Products'!D217)&amp;" "&amp;'01_Input_Raw_Products'!I217)</f>
        <v>0</v>
      </c>
      <c r="E217" s="9">
        <f>IF(C217="","",D217&amp;" | GemPundit")</f>
        <v>0</v>
      </c>
      <c r="F217" s="9" cm="1">
        <f t="array" ref="F217">IF('01_Input_Raw_Products'!X217&lt;&gt;"",'01_Input_Raw_Products'!X217,IFERROR(_xlfn.XLOOKUP('01_Input_Raw_Products'!F217,'10_Master_Gem_Types'!A:A,'10_Master_Gem_Types'!O:O),LOWER(SUBSTITUTE(IF('01_Input_Raw_Products'!F217&lt;&gt;"",'01_Input_Raw_Products'!F217,'01_Input_Raw_Products'!D217)," ","-"))))</f>
        <v>0</v>
      </c>
      <c r="G217" s="9">
        <f>'01_Input_Raw_Products'!C217</f>
        <v>0</v>
      </c>
      <c r="H217" s="9" cm="1">
        <f t="array" ref="H217">IF('01_Input_Raw_Products'!H217&lt;&gt;"",'01_Input_Raw_Products'!H217,IFERROR(_xlfn.XLOOKUP('01_Input_Raw_Products'!F217,'10_Master_Gem_Types'!A:A,'10_Master_Gem_Types'!D:D),""))</f>
        <v>0</v>
      </c>
      <c r="I217" s="7">
        <f>IF('01_Input_Raw_Products'!N217&lt;&gt;"",'01_Input_Raw_Products'!N217,IF('01_Input_Raw_Products'!O217&lt;&gt;"",'01_Input_Raw_Products'!O217*0.91,""))</f>
        <v>0</v>
      </c>
      <c r="J217" s="9" cm="1">
        <f t="array" ref="J217">IFERROR(_xlfn.XLOOKUP('01_Input_Raw_Products'!F217,'10_Master_Gem_Types'!A:A,'10_Master_Gem_Types'!N:N),"")</f>
        <v>0</v>
      </c>
      <c r="K217" s="9" cm="1">
        <f t="array" ref="K217">IF('01_Input_Raw_Products'!J217&lt;&gt;"",'01_Input_Raw_Products'!J217,IFERROR(_xlfn.XLOOKUP('01_Input_Raw_Products'!F217,'10_Master_Gem_Types'!A:A,'10_Master_Gem_Types'!E:E),""))</f>
        <v>0</v>
      </c>
      <c r="L217" s="9">
        <f>'01_Input_Raw_Products'!P217</f>
        <v>0</v>
      </c>
      <c r="M217" s="9" cm="1">
        <f t="array" ref="M217">IFERROR(_xlfn.XLOOKUP('01_Input_Raw_Products'!K217,'12_Color_Mapping'!A:A,'12_Color_Mapping'!B:B),IFERROR(_xlfn.XLOOKUP('01_Input_Raw_Products'!F217,'10_Master_Gem_Types'!A:A,'10_Master_Gem_Types'!F:F),""))</f>
        <v>0</v>
      </c>
      <c r="N217" s="9">
        <f>IF(C217="","",IF('01_Input_Raw_Products'!F217&lt;&gt;"",'01_Input_Raw_Products'!F217,'01_Input_Raw_Products'!D217))</f>
        <v>0</v>
      </c>
      <c r="O217" s="9">
        <f>IF(C217="","","Catalog Automation")</f>
        <v>0</v>
      </c>
      <c r="P217" s="9">
        <f>'01_Input_Raw_Products'!U217</f>
        <v>0</v>
      </c>
      <c r="Q217" s="7">
        <f>IF('01_Input_Raw_Products'!O217&lt;&gt;"",'01_Input_Raw_Products'!O217,IF('01_Input_Raw_Products'!N217&lt;&gt;"",'01_Input_Raw_Products'!N217*1.1,""))</f>
        <v>0</v>
      </c>
      <c r="R217" s="9">
        <f>'01_Input_Raw_Products'!S217</f>
        <v>0</v>
      </c>
      <c r="S217" s="9" cm="1">
        <f t="array" ref="S217">IFERROR(_xlfn.XLOOKUP('01_Input_Raw_Products'!F217,'10_Master_Gem_Types'!A:A,'10_Master_Gem_Types'!H:H),"")</f>
        <v>0</v>
      </c>
      <c r="T217" s="8">
        <f>'01_Input_Raw_Products'!Q217</f>
        <v>0</v>
      </c>
      <c r="U217" s="8">
        <f>'01_Input_Raw_Products'!R217</f>
        <v>0</v>
      </c>
      <c r="V217" s="7">
        <f>I217</f>
        <v>0</v>
      </c>
      <c r="W217" s="9" cm="1">
        <f t="array" ref="W217">IF('01_Input_Raw_Products'!G217&lt;&gt;"",'01_Input_Raw_Products'!G217,IFERROR(_xlfn.XLOOKUP('01_Input_Raw_Products'!F217,'10_Master_Gem_Types'!A:A,'10_Master_Gem_Types'!L:L),""))</f>
        <v>0</v>
      </c>
      <c r="X217" s="9" cm="1">
        <f t="array" ref="X217">IFERROR(_xlfn.XLOOKUP('01_Input_Raw_Products'!F217,'10_Master_Gem_Types'!A:A,'10_Master_Gem_Types'!J:J),"")</f>
        <v>0</v>
      </c>
      <c r="Y217" s="9" cm="1">
        <f t="array" ref="Y217">IFERROR(_xlfn.XLOOKUP('01_Input_Raw_Products'!F217,'10_Master_Gem_Types'!A:A,'10_Master_Gem_Types'!I:I),"")</f>
        <v>0</v>
      </c>
      <c r="Z217" s="9" cm="1">
        <f t="array" ref="Z217">IFERROR(_xlfn.XLOOKUP('01_Input_Raw_Products'!L217,'13_Certification_Stickers'!A:A,'13_Certification_Stickers'!C:C),"")</f>
        <v>0</v>
      </c>
      <c r="AA217" s="9" cm="1">
        <f t="array" ref="AA217">IFERROR(_xlfn.XLOOKUP('01_Input_Raw_Products'!S217,'14_Shipping_Rules'!A:A,'14_Shipping_Rules'!B:B),"")</f>
        <v>0</v>
      </c>
      <c r="AB217" s="9" cm="1">
        <f t="array" ref="AB217">IFERROR(_xlfn.XLOOKUP('01_Input_Raw_Products'!D217,'16_Astro_Flags'!A:A,'16_Astro_Flags'!B:B),"")</f>
        <v>0</v>
      </c>
      <c r="AC217" s="9">
        <f>IF(C217="","","Catalog, Search")</f>
        <v>0</v>
      </c>
      <c r="AD217" s="9">
        <f>IF(C217="","",IF(OR(F217="",J217="",M217="",S217="",Y217=""),"Manual Review","Ready"))</f>
        <v>0</v>
      </c>
      <c r="AE217" s="9">
        <f>IF(C217="","",TEXTJOIN("; ",TRUE,IF(F217="","Missing url_key",""),IF(J217="","Missing classification",""),IF(M217="","Missing j_colour",""),IF(S217="","Missing hsn_code",""),IF(Y217="","Missing tax_class_id","")))</f>
        <v>0</v>
      </c>
    </row>
    <row r="218" spans="1:31">
      <c r="A218" s="9">
        <f>IF('01_Input_Raw_Products'!B218&lt;&gt;"",20,"")</f>
        <v>0</v>
      </c>
      <c r="B218" s="9" cm="1">
        <f t="array" ref="B218">IF('01_Input_Raw_Products'!M218&lt;&gt;"",'01_Input_Raw_Products'!M218,IFERROR(_xlfn.XLOOKUP('01_Input_Raw_Products'!F218,'10_Master_Gem_Types'!A:A,'10_Master_Gem_Types'!K:K),""))</f>
        <v>0</v>
      </c>
      <c r="C218" s="9">
        <f>'01_Input_Raw_Products'!B218</f>
        <v>0</v>
      </c>
      <c r="D218" s="9">
        <f>IF(C218="","",TEXT(I218,"0.00")&amp;" Ct "&amp;IF('01_Input_Raw_Products'!F218&lt;&gt;"",'01_Input_Raw_Products'!F218,'01_Input_Raw_Products'!D218)&amp;" "&amp;'01_Input_Raw_Products'!I218)</f>
        <v>0</v>
      </c>
      <c r="E218" s="9">
        <f>IF(C218="","",D218&amp;" | GemPundit")</f>
        <v>0</v>
      </c>
      <c r="F218" s="9" cm="1">
        <f t="array" ref="F218">IF('01_Input_Raw_Products'!X218&lt;&gt;"",'01_Input_Raw_Products'!X218,IFERROR(_xlfn.XLOOKUP('01_Input_Raw_Products'!F218,'10_Master_Gem_Types'!A:A,'10_Master_Gem_Types'!O:O),LOWER(SUBSTITUTE(IF('01_Input_Raw_Products'!F218&lt;&gt;"",'01_Input_Raw_Products'!F218,'01_Input_Raw_Products'!D218)," ","-"))))</f>
        <v>0</v>
      </c>
      <c r="G218" s="9">
        <f>'01_Input_Raw_Products'!C218</f>
        <v>0</v>
      </c>
      <c r="H218" s="9" cm="1">
        <f t="array" ref="H218">IF('01_Input_Raw_Products'!H218&lt;&gt;"",'01_Input_Raw_Products'!H218,IFERROR(_xlfn.XLOOKUP('01_Input_Raw_Products'!F218,'10_Master_Gem_Types'!A:A,'10_Master_Gem_Types'!D:D),""))</f>
        <v>0</v>
      </c>
      <c r="I218" s="7">
        <f>IF('01_Input_Raw_Products'!N218&lt;&gt;"",'01_Input_Raw_Products'!N218,IF('01_Input_Raw_Products'!O218&lt;&gt;"",'01_Input_Raw_Products'!O218*0.91,""))</f>
        <v>0</v>
      </c>
      <c r="J218" s="9" cm="1">
        <f t="array" ref="J218">IFERROR(_xlfn.XLOOKUP('01_Input_Raw_Products'!F218,'10_Master_Gem_Types'!A:A,'10_Master_Gem_Types'!N:N),"")</f>
        <v>0</v>
      </c>
      <c r="K218" s="9" cm="1">
        <f t="array" ref="K218">IF('01_Input_Raw_Products'!J218&lt;&gt;"",'01_Input_Raw_Products'!J218,IFERROR(_xlfn.XLOOKUP('01_Input_Raw_Products'!F218,'10_Master_Gem_Types'!A:A,'10_Master_Gem_Types'!E:E),""))</f>
        <v>0</v>
      </c>
      <c r="L218" s="9">
        <f>'01_Input_Raw_Products'!P218</f>
        <v>0</v>
      </c>
      <c r="M218" s="9" cm="1">
        <f t="array" ref="M218">IFERROR(_xlfn.XLOOKUP('01_Input_Raw_Products'!K218,'12_Color_Mapping'!A:A,'12_Color_Mapping'!B:B),IFERROR(_xlfn.XLOOKUP('01_Input_Raw_Products'!F218,'10_Master_Gem_Types'!A:A,'10_Master_Gem_Types'!F:F),""))</f>
        <v>0</v>
      </c>
      <c r="N218" s="9">
        <f>IF(C218="","",IF('01_Input_Raw_Products'!F218&lt;&gt;"",'01_Input_Raw_Products'!F218,'01_Input_Raw_Products'!D218))</f>
        <v>0</v>
      </c>
      <c r="O218" s="9">
        <f>IF(C218="","","Catalog Automation")</f>
        <v>0</v>
      </c>
      <c r="P218" s="9">
        <f>'01_Input_Raw_Products'!U218</f>
        <v>0</v>
      </c>
      <c r="Q218" s="7">
        <f>IF('01_Input_Raw_Products'!O218&lt;&gt;"",'01_Input_Raw_Products'!O218,IF('01_Input_Raw_Products'!N218&lt;&gt;"",'01_Input_Raw_Products'!N218*1.1,""))</f>
        <v>0</v>
      </c>
      <c r="R218" s="9">
        <f>'01_Input_Raw_Products'!S218</f>
        <v>0</v>
      </c>
      <c r="S218" s="9" cm="1">
        <f t="array" ref="S218">IFERROR(_xlfn.XLOOKUP('01_Input_Raw_Products'!F218,'10_Master_Gem_Types'!A:A,'10_Master_Gem_Types'!H:H),"")</f>
        <v>0</v>
      </c>
      <c r="T218" s="8">
        <f>'01_Input_Raw_Products'!Q218</f>
        <v>0</v>
      </c>
      <c r="U218" s="8">
        <f>'01_Input_Raw_Products'!R218</f>
        <v>0</v>
      </c>
      <c r="V218" s="7">
        <f>I218</f>
        <v>0</v>
      </c>
      <c r="W218" s="9" cm="1">
        <f t="array" ref="W218">IF('01_Input_Raw_Products'!G218&lt;&gt;"",'01_Input_Raw_Products'!G218,IFERROR(_xlfn.XLOOKUP('01_Input_Raw_Products'!F218,'10_Master_Gem_Types'!A:A,'10_Master_Gem_Types'!L:L),""))</f>
        <v>0</v>
      </c>
      <c r="X218" s="9" cm="1">
        <f t="array" ref="X218">IFERROR(_xlfn.XLOOKUP('01_Input_Raw_Products'!F218,'10_Master_Gem_Types'!A:A,'10_Master_Gem_Types'!J:J),"")</f>
        <v>0</v>
      </c>
      <c r="Y218" s="9" cm="1">
        <f t="array" ref="Y218">IFERROR(_xlfn.XLOOKUP('01_Input_Raw_Products'!F218,'10_Master_Gem_Types'!A:A,'10_Master_Gem_Types'!I:I),"")</f>
        <v>0</v>
      </c>
      <c r="Z218" s="9" cm="1">
        <f t="array" ref="Z218">IFERROR(_xlfn.XLOOKUP('01_Input_Raw_Products'!L218,'13_Certification_Stickers'!A:A,'13_Certification_Stickers'!C:C),"")</f>
        <v>0</v>
      </c>
      <c r="AA218" s="9" cm="1">
        <f t="array" ref="AA218">IFERROR(_xlfn.XLOOKUP('01_Input_Raw_Products'!S218,'14_Shipping_Rules'!A:A,'14_Shipping_Rules'!B:B),"")</f>
        <v>0</v>
      </c>
      <c r="AB218" s="9" cm="1">
        <f t="array" ref="AB218">IFERROR(_xlfn.XLOOKUP('01_Input_Raw_Products'!D218,'16_Astro_Flags'!A:A,'16_Astro_Flags'!B:B),"")</f>
        <v>0</v>
      </c>
      <c r="AC218" s="9">
        <f>IF(C218="","","Catalog, Search")</f>
        <v>0</v>
      </c>
      <c r="AD218" s="9">
        <f>IF(C218="","",IF(OR(F218="",J218="",M218="",S218="",Y218=""),"Manual Review","Ready"))</f>
        <v>0</v>
      </c>
      <c r="AE218" s="9">
        <f>IF(C218="","",TEXTJOIN("; ",TRUE,IF(F218="","Missing url_key",""),IF(J218="","Missing classification",""),IF(M218="","Missing j_colour",""),IF(S218="","Missing hsn_code",""),IF(Y218="","Missing tax_class_id","")))</f>
        <v>0</v>
      </c>
    </row>
    <row r="219" spans="1:31">
      <c r="A219" s="9">
        <f>IF('01_Input_Raw_Products'!B219&lt;&gt;"",20,"")</f>
        <v>0</v>
      </c>
      <c r="B219" s="9" cm="1">
        <f t="array" ref="B219">IF('01_Input_Raw_Products'!M219&lt;&gt;"",'01_Input_Raw_Products'!M219,IFERROR(_xlfn.XLOOKUP('01_Input_Raw_Products'!F219,'10_Master_Gem_Types'!A:A,'10_Master_Gem_Types'!K:K),""))</f>
        <v>0</v>
      </c>
      <c r="C219" s="9">
        <f>'01_Input_Raw_Products'!B219</f>
        <v>0</v>
      </c>
      <c r="D219" s="9">
        <f>IF(C219="","",TEXT(I219,"0.00")&amp;" Ct "&amp;IF('01_Input_Raw_Products'!F219&lt;&gt;"",'01_Input_Raw_Products'!F219,'01_Input_Raw_Products'!D219)&amp;" "&amp;'01_Input_Raw_Products'!I219)</f>
        <v>0</v>
      </c>
      <c r="E219" s="9">
        <f>IF(C219="","",D219&amp;" | GemPundit")</f>
        <v>0</v>
      </c>
      <c r="F219" s="9" cm="1">
        <f t="array" ref="F219">IF('01_Input_Raw_Products'!X219&lt;&gt;"",'01_Input_Raw_Products'!X219,IFERROR(_xlfn.XLOOKUP('01_Input_Raw_Products'!F219,'10_Master_Gem_Types'!A:A,'10_Master_Gem_Types'!O:O),LOWER(SUBSTITUTE(IF('01_Input_Raw_Products'!F219&lt;&gt;"",'01_Input_Raw_Products'!F219,'01_Input_Raw_Products'!D219)," ","-"))))</f>
        <v>0</v>
      </c>
      <c r="G219" s="9">
        <f>'01_Input_Raw_Products'!C219</f>
        <v>0</v>
      </c>
      <c r="H219" s="9" cm="1">
        <f t="array" ref="H219">IF('01_Input_Raw_Products'!H219&lt;&gt;"",'01_Input_Raw_Products'!H219,IFERROR(_xlfn.XLOOKUP('01_Input_Raw_Products'!F219,'10_Master_Gem_Types'!A:A,'10_Master_Gem_Types'!D:D),""))</f>
        <v>0</v>
      </c>
      <c r="I219" s="7">
        <f>IF('01_Input_Raw_Products'!N219&lt;&gt;"",'01_Input_Raw_Products'!N219,IF('01_Input_Raw_Products'!O219&lt;&gt;"",'01_Input_Raw_Products'!O219*0.91,""))</f>
        <v>0</v>
      </c>
      <c r="J219" s="9" cm="1">
        <f t="array" ref="J219">IFERROR(_xlfn.XLOOKUP('01_Input_Raw_Products'!F219,'10_Master_Gem_Types'!A:A,'10_Master_Gem_Types'!N:N),"")</f>
        <v>0</v>
      </c>
      <c r="K219" s="9" cm="1">
        <f t="array" ref="K219">IF('01_Input_Raw_Products'!J219&lt;&gt;"",'01_Input_Raw_Products'!J219,IFERROR(_xlfn.XLOOKUP('01_Input_Raw_Products'!F219,'10_Master_Gem_Types'!A:A,'10_Master_Gem_Types'!E:E),""))</f>
        <v>0</v>
      </c>
      <c r="L219" s="9">
        <f>'01_Input_Raw_Products'!P219</f>
        <v>0</v>
      </c>
      <c r="M219" s="9" cm="1">
        <f t="array" ref="M219">IFERROR(_xlfn.XLOOKUP('01_Input_Raw_Products'!K219,'12_Color_Mapping'!A:A,'12_Color_Mapping'!B:B),IFERROR(_xlfn.XLOOKUP('01_Input_Raw_Products'!F219,'10_Master_Gem_Types'!A:A,'10_Master_Gem_Types'!F:F),""))</f>
        <v>0</v>
      </c>
      <c r="N219" s="9">
        <f>IF(C219="","",IF('01_Input_Raw_Products'!F219&lt;&gt;"",'01_Input_Raw_Products'!F219,'01_Input_Raw_Products'!D219))</f>
        <v>0</v>
      </c>
      <c r="O219" s="9">
        <f>IF(C219="","","Catalog Automation")</f>
        <v>0</v>
      </c>
      <c r="P219" s="9">
        <f>'01_Input_Raw_Products'!U219</f>
        <v>0</v>
      </c>
      <c r="Q219" s="7">
        <f>IF('01_Input_Raw_Products'!O219&lt;&gt;"",'01_Input_Raw_Products'!O219,IF('01_Input_Raw_Products'!N219&lt;&gt;"",'01_Input_Raw_Products'!N219*1.1,""))</f>
        <v>0</v>
      </c>
      <c r="R219" s="9">
        <f>'01_Input_Raw_Products'!S219</f>
        <v>0</v>
      </c>
      <c r="S219" s="9" cm="1">
        <f t="array" ref="S219">IFERROR(_xlfn.XLOOKUP('01_Input_Raw_Products'!F219,'10_Master_Gem_Types'!A:A,'10_Master_Gem_Types'!H:H),"")</f>
        <v>0</v>
      </c>
      <c r="T219" s="8">
        <f>'01_Input_Raw_Products'!Q219</f>
        <v>0</v>
      </c>
      <c r="U219" s="8">
        <f>'01_Input_Raw_Products'!R219</f>
        <v>0</v>
      </c>
      <c r="V219" s="7">
        <f>I219</f>
        <v>0</v>
      </c>
      <c r="W219" s="9" cm="1">
        <f t="array" ref="W219">IF('01_Input_Raw_Products'!G219&lt;&gt;"",'01_Input_Raw_Products'!G219,IFERROR(_xlfn.XLOOKUP('01_Input_Raw_Products'!F219,'10_Master_Gem_Types'!A:A,'10_Master_Gem_Types'!L:L),""))</f>
        <v>0</v>
      </c>
      <c r="X219" s="9" cm="1">
        <f t="array" ref="X219">IFERROR(_xlfn.XLOOKUP('01_Input_Raw_Products'!F219,'10_Master_Gem_Types'!A:A,'10_Master_Gem_Types'!J:J),"")</f>
        <v>0</v>
      </c>
      <c r="Y219" s="9" cm="1">
        <f t="array" ref="Y219">IFERROR(_xlfn.XLOOKUP('01_Input_Raw_Products'!F219,'10_Master_Gem_Types'!A:A,'10_Master_Gem_Types'!I:I),"")</f>
        <v>0</v>
      </c>
      <c r="Z219" s="9" cm="1">
        <f t="array" ref="Z219">IFERROR(_xlfn.XLOOKUP('01_Input_Raw_Products'!L219,'13_Certification_Stickers'!A:A,'13_Certification_Stickers'!C:C),"")</f>
        <v>0</v>
      </c>
      <c r="AA219" s="9" cm="1">
        <f t="array" ref="AA219">IFERROR(_xlfn.XLOOKUP('01_Input_Raw_Products'!S219,'14_Shipping_Rules'!A:A,'14_Shipping_Rules'!B:B),"")</f>
        <v>0</v>
      </c>
      <c r="AB219" s="9" cm="1">
        <f t="array" ref="AB219">IFERROR(_xlfn.XLOOKUP('01_Input_Raw_Products'!D219,'16_Astro_Flags'!A:A,'16_Astro_Flags'!B:B),"")</f>
        <v>0</v>
      </c>
      <c r="AC219" s="9">
        <f>IF(C219="","","Catalog, Search")</f>
        <v>0</v>
      </c>
      <c r="AD219" s="9">
        <f>IF(C219="","",IF(OR(F219="",J219="",M219="",S219="",Y219=""),"Manual Review","Ready"))</f>
        <v>0</v>
      </c>
      <c r="AE219" s="9">
        <f>IF(C219="","",TEXTJOIN("; ",TRUE,IF(F219="","Missing url_key",""),IF(J219="","Missing classification",""),IF(M219="","Missing j_colour",""),IF(S219="","Missing hsn_code",""),IF(Y219="","Missing tax_class_id","")))</f>
        <v>0</v>
      </c>
    </row>
    <row r="220" spans="1:31">
      <c r="A220" s="9">
        <f>IF('01_Input_Raw_Products'!B220&lt;&gt;"",20,"")</f>
        <v>0</v>
      </c>
      <c r="B220" s="9" cm="1">
        <f t="array" ref="B220">IF('01_Input_Raw_Products'!M220&lt;&gt;"",'01_Input_Raw_Products'!M220,IFERROR(_xlfn.XLOOKUP('01_Input_Raw_Products'!F220,'10_Master_Gem_Types'!A:A,'10_Master_Gem_Types'!K:K),""))</f>
        <v>0</v>
      </c>
      <c r="C220" s="9">
        <f>'01_Input_Raw_Products'!B220</f>
        <v>0</v>
      </c>
      <c r="D220" s="9">
        <f>IF(C220="","",TEXT(I220,"0.00")&amp;" Ct "&amp;IF('01_Input_Raw_Products'!F220&lt;&gt;"",'01_Input_Raw_Products'!F220,'01_Input_Raw_Products'!D220)&amp;" "&amp;'01_Input_Raw_Products'!I220)</f>
        <v>0</v>
      </c>
      <c r="E220" s="9">
        <f>IF(C220="","",D220&amp;" | GemPundit")</f>
        <v>0</v>
      </c>
      <c r="F220" s="9" cm="1">
        <f t="array" ref="F220">IF('01_Input_Raw_Products'!X220&lt;&gt;"",'01_Input_Raw_Products'!X220,IFERROR(_xlfn.XLOOKUP('01_Input_Raw_Products'!F220,'10_Master_Gem_Types'!A:A,'10_Master_Gem_Types'!O:O),LOWER(SUBSTITUTE(IF('01_Input_Raw_Products'!F220&lt;&gt;"",'01_Input_Raw_Products'!F220,'01_Input_Raw_Products'!D220)," ","-"))))</f>
        <v>0</v>
      </c>
      <c r="G220" s="9">
        <f>'01_Input_Raw_Products'!C220</f>
        <v>0</v>
      </c>
      <c r="H220" s="9" cm="1">
        <f t="array" ref="H220">IF('01_Input_Raw_Products'!H220&lt;&gt;"",'01_Input_Raw_Products'!H220,IFERROR(_xlfn.XLOOKUP('01_Input_Raw_Products'!F220,'10_Master_Gem_Types'!A:A,'10_Master_Gem_Types'!D:D),""))</f>
        <v>0</v>
      </c>
      <c r="I220" s="7">
        <f>IF('01_Input_Raw_Products'!N220&lt;&gt;"",'01_Input_Raw_Products'!N220,IF('01_Input_Raw_Products'!O220&lt;&gt;"",'01_Input_Raw_Products'!O220*0.91,""))</f>
        <v>0</v>
      </c>
      <c r="J220" s="9" cm="1">
        <f t="array" ref="J220">IFERROR(_xlfn.XLOOKUP('01_Input_Raw_Products'!F220,'10_Master_Gem_Types'!A:A,'10_Master_Gem_Types'!N:N),"")</f>
        <v>0</v>
      </c>
      <c r="K220" s="9" cm="1">
        <f t="array" ref="K220">IF('01_Input_Raw_Products'!J220&lt;&gt;"",'01_Input_Raw_Products'!J220,IFERROR(_xlfn.XLOOKUP('01_Input_Raw_Products'!F220,'10_Master_Gem_Types'!A:A,'10_Master_Gem_Types'!E:E),""))</f>
        <v>0</v>
      </c>
      <c r="L220" s="9">
        <f>'01_Input_Raw_Products'!P220</f>
        <v>0</v>
      </c>
      <c r="M220" s="9" cm="1">
        <f t="array" ref="M220">IFERROR(_xlfn.XLOOKUP('01_Input_Raw_Products'!K220,'12_Color_Mapping'!A:A,'12_Color_Mapping'!B:B),IFERROR(_xlfn.XLOOKUP('01_Input_Raw_Products'!F220,'10_Master_Gem_Types'!A:A,'10_Master_Gem_Types'!F:F),""))</f>
        <v>0</v>
      </c>
      <c r="N220" s="9">
        <f>IF(C220="","",IF('01_Input_Raw_Products'!F220&lt;&gt;"",'01_Input_Raw_Products'!F220,'01_Input_Raw_Products'!D220))</f>
        <v>0</v>
      </c>
      <c r="O220" s="9">
        <f>IF(C220="","","Catalog Automation")</f>
        <v>0</v>
      </c>
      <c r="P220" s="9">
        <f>'01_Input_Raw_Products'!U220</f>
        <v>0</v>
      </c>
      <c r="Q220" s="7">
        <f>IF('01_Input_Raw_Products'!O220&lt;&gt;"",'01_Input_Raw_Products'!O220,IF('01_Input_Raw_Products'!N220&lt;&gt;"",'01_Input_Raw_Products'!N220*1.1,""))</f>
        <v>0</v>
      </c>
      <c r="R220" s="9">
        <f>'01_Input_Raw_Products'!S220</f>
        <v>0</v>
      </c>
      <c r="S220" s="9" cm="1">
        <f t="array" ref="S220">IFERROR(_xlfn.XLOOKUP('01_Input_Raw_Products'!F220,'10_Master_Gem_Types'!A:A,'10_Master_Gem_Types'!H:H),"")</f>
        <v>0</v>
      </c>
      <c r="T220" s="8">
        <f>'01_Input_Raw_Products'!Q220</f>
        <v>0</v>
      </c>
      <c r="U220" s="8">
        <f>'01_Input_Raw_Products'!R220</f>
        <v>0</v>
      </c>
      <c r="V220" s="7">
        <f>I220</f>
        <v>0</v>
      </c>
      <c r="W220" s="9" cm="1">
        <f t="array" ref="W220">IF('01_Input_Raw_Products'!G220&lt;&gt;"",'01_Input_Raw_Products'!G220,IFERROR(_xlfn.XLOOKUP('01_Input_Raw_Products'!F220,'10_Master_Gem_Types'!A:A,'10_Master_Gem_Types'!L:L),""))</f>
        <v>0</v>
      </c>
      <c r="X220" s="9" cm="1">
        <f t="array" ref="X220">IFERROR(_xlfn.XLOOKUP('01_Input_Raw_Products'!F220,'10_Master_Gem_Types'!A:A,'10_Master_Gem_Types'!J:J),"")</f>
        <v>0</v>
      </c>
      <c r="Y220" s="9" cm="1">
        <f t="array" ref="Y220">IFERROR(_xlfn.XLOOKUP('01_Input_Raw_Products'!F220,'10_Master_Gem_Types'!A:A,'10_Master_Gem_Types'!I:I),"")</f>
        <v>0</v>
      </c>
      <c r="Z220" s="9" cm="1">
        <f t="array" ref="Z220">IFERROR(_xlfn.XLOOKUP('01_Input_Raw_Products'!L220,'13_Certification_Stickers'!A:A,'13_Certification_Stickers'!C:C),"")</f>
        <v>0</v>
      </c>
      <c r="AA220" s="9" cm="1">
        <f t="array" ref="AA220">IFERROR(_xlfn.XLOOKUP('01_Input_Raw_Products'!S220,'14_Shipping_Rules'!A:A,'14_Shipping_Rules'!B:B),"")</f>
        <v>0</v>
      </c>
      <c r="AB220" s="9" cm="1">
        <f t="array" ref="AB220">IFERROR(_xlfn.XLOOKUP('01_Input_Raw_Products'!D220,'16_Astro_Flags'!A:A,'16_Astro_Flags'!B:B),"")</f>
        <v>0</v>
      </c>
      <c r="AC220" s="9">
        <f>IF(C220="","","Catalog, Search")</f>
        <v>0</v>
      </c>
      <c r="AD220" s="9">
        <f>IF(C220="","",IF(OR(F220="",J220="",M220="",S220="",Y220=""),"Manual Review","Ready"))</f>
        <v>0</v>
      </c>
      <c r="AE220" s="9">
        <f>IF(C220="","",TEXTJOIN("; ",TRUE,IF(F220="","Missing url_key",""),IF(J220="","Missing classification",""),IF(M220="","Missing j_colour",""),IF(S220="","Missing hsn_code",""),IF(Y220="","Missing tax_class_id","")))</f>
        <v>0</v>
      </c>
    </row>
    <row r="221" spans="1:31">
      <c r="A221" s="9">
        <f>IF('01_Input_Raw_Products'!B221&lt;&gt;"",20,"")</f>
        <v>0</v>
      </c>
      <c r="B221" s="9" cm="1">
        <f t="array" ref="B221">IF('01_Input_Raw_Products'!M221&lt;&gt;"",'01_Input_Raw_Products'!M221,IFERROR(_xlfn.XLOOKUP('01_Input_Raw_Products'!F221,'10_Master_Gem_Types'!A:A,'10_Master_Gem_Types'!K:K),""))</f>
        <v>0</v>
      </c>
      <c r="C221" s="9">
        <f>'01_Input_Raw_Products'!B221</f>
        <v>0</v>
      </c>
      <c r="D221" s="9">
        <f>IF(C221="","",TEXT(I221,"0.00")&amp;" Ct "&amp;IF('01_Input_Raw_Products'!F221&lt;&gt;"",'01_Input_Raw_Products'!F221,'01_Input_Raw_Products'!D221)&amp;" "&amp;'01_Input_Raw_Products'!I221)</f>
        <v>0</v>
      </c>
      <c r="E221" s="9">
        <f>IF(C221="","",D221&amp;" | GemPundit")</f>
        <v>0</v>
      </c>
      <c r="F221" s="9" cm="1">
        <f t="array" ref="F221">IF('01_Input_Raw_Products'!X221&lt;&gt;"",'01_Input_Raw_Products'!X221,IFERROR(_xlfn.XLOOKUP('01_Input_Raw_Products'!F221,'10_Master_Gem_Types'!A:A,'10_Master_Gem_Types'!O:O),LOWER(SUBSTITUTE(IF('01_Input_Raw_Products'!F221&lt;&gt;"",'01_Input_Raw_Products'!F221,'01_Input_Raw_Products'!D221)," ","-"))))</f>
        <v>0</v>
      </c>
      <c r="G221" s="9">
        <f>'01_Input_Raw_Products'!C221</f>
        <v>0</v>
      </c>
      <c r="H221" s="9" cm="1">
        <f t="array" ref="H221">IF('01_Input_Raw_Products'!H221&lt;&gt;"",'01_Input_Raw_Products'!H221,IFERROR(_xlfn.XLOOKUP('01_Input_Raw_Products'!F221,'10_Master_Gem_Types'!A:A,'10_Master_Gem_Types'!D:D),""))</f>
        <v>0</v>
      </c>
      <c r="I221" s="7">
        <f>IF('01_Input_Raw_Products'!N221&lt;&gt;"",'01_Input_Raw_Products'!N221,IF('01_Input_Raw_Products'!O221&lt;&gt;"",'01_Input_Raw_Products'!O221*0.91,""))</f>
        <v>0</v>
      </c>
      <c r="J221" s="9" cm="1">
        <f t="array" ref="J221">IFERROR(_xlfn.XLOOKUP('01_Input_Raw_Products'!F221,'10_Master_Gem_Types'!A:A,'10_Master_Gem_Types'!N:N),"")</f>
        <v>0</v>
      </c>
      <c r="K221" s="9" cm="1">
        <f t="array" ref="K221">IF('01_Input_Raw_Products'!J221&lt;&gt;"",'01_Input_Raw_Products'!J221,IFERROR(_xlfn.XLOOKUP('01_Input_Raw_Products'!F221,'10_Master_Gem_Types'!A:A,'10_Master_Gem_Types'!E:E),""))</f>
        <v>0</v>
      </c>
      <c r="L221" s="9">
        <f>'01_Input_Raw_Products'!P221</f>
        <v>0</v>
      </c>
      <c r="M221" s="9" cm="1">
        <f t="array" ref="M221">IFERROR(_xlfn.XLOOKUP('01_Input_Raw_Products'!K221,'12_Color_Mapping'!A:A,'12_Color_Mapping'!B:B),IFERROR(_xlfn.XLOOKUP('01_Input_Raw_Products'!F221,'10_Master_Gem_Types'!A:A,'10_Master_Gem_Types'!F:F),""))</f>
        <v>0</v>
      </c>
      <c r="N221" s="9">
        <f>IF(C221="","",IF('01_Input_Raw_Products'!F221&lt;&gt;"",'01_Input_Raw_Products'!F221,'01_Input_Raw_Products'!D221))</f>
        <v>0</v>
      </c>
      <c r="O221" s="9">
        <f>IF(C221="","","Catalog Automation")</f>
        <v>0</v>
      </c>
      <c r="P221" s="9">
        <f>'01_Input_Raw_Products'!U221</f>
        <v>0</v>
      </c>
      <c r="Q221" s="7">
        <f>IF('01_Input_Raw_Products'!O221&lt;&gt;"",'01_Input_Raw_Products'!O221,IF('01_Input_Raw_Products'!N221&lt;&gt;"",'01_Input_Raw_Products'!N221*1.1,""))</f>
        <v>0</v>
      </c>
      <c r="R221" s="9">
        <f>'01_Input_Raw_Products'!S221</f>
        <v>0</v>
      </c>
      <c r="S221" s="9" cm="1">
        <f t="array" ref="S221">IFERROR(_xlfn.XLOOKUP('01_Input_Raw_Products'!F221,'10_Master_Gem_Types'!A:A,'10_Master_Gem_Types'!H:H),"")</f>
        <v>0</v>
      </c>
      <c r="T221" s="8">
        <f>'01_Input_Raw_Products'!Q221</f>
        <v>0</v>
      </c>
      <c r="U221" s="8">
        <f>'01_Input_Raw_Products'!R221</f>
        <v>0</v>
      </c>
      <c r="V221" s="7">
        <f>I221</f>
        <v>0</v>
      </c>
      <c r="W221" s="9" cm="1">
        <f t="array" ref="W221">IF('01_Input_Raw_Products'!G221&lt;&gt;"",'01_Input_Raw_Products'!G221,IFERROR(_xlfn.XLOOKUP('01_Input_Raw_Products'!F221,'10_Master_Gem_Types'!A:A,'10_Master_Gem_Types'!L:L),""))</f>
        <v>0</v>
      </c>
      <c r="X221" s="9" cm="1">
        <f t="array" ref="X221">IFERROR(_xlfn.XLOOKUP('01_Input_Raw_Products'!F221,'10_Master_Gem_Types'!A:A,'10_Master_Gem_Types'!J:J),"")</f>
        <v>0</v>
      </c>
      <c r="Y221" s="9" cm="1">
        <f t="array" ref="Y221">IFERROR(_xlfn.XLOOKUP('01_Input_Raw_Products'!F221,'10_Master_Gem_Types'!A:A,'10_Master_Gem_Types'!I:I),"")</f>
        <v>0</v>
      </c>
      <c r="Z221" s="9" cm="1">
        <f t="array" ref="Z221">IFERROR(_xlfn.XLOOKUP('01_Input_Raw_Products'!L221,'13_Certification_Stickers'!A:A,'13_Certification_Stickers'!C:C),"")</f>
        <v>0</v>
      </c>
      <c r="AA221" s="9" cm="1">
        <f t="array" ref="AA221">IFERROR(_xlfn.XLOOKUP('01_Input_Raw_Products'!S221,'14_Shipping_Rules'!A:A,'14_Shipping_Rules'!B:B),"")</f>
        <v>0</v>
      </c>
      <c r="AB221" s="9" cm="1">
        <f t="array" ref="AB221">IFERROR(_xlfn.XLOOKUP('01_Input_Raw_Products'!D221,'16_Astro_Flags'!A:A,'16_Astro_Flags'!B:B),"")</f>
        <v>0</v>
      </c>
      <c r="AC221" s="9">
        <f>IF(C221="","","Catalog, Search")</f>
        <v>0</v>
      </c>
      <c r="AD221" s="9">
        <f>IF(C221="","",IF(OR(F221="",J221="",M221="",S221="",Y221=""),"Manual Review","Ready"))</f>
        <v>0</v>
      </c>
      <c r="AE221" s="9">
        <f>IF(C221="","",TEXTJOIN("; ",TRUE,IF(F221="","Missing url_key",""),IF(J221="","Missing classification",""),IF(M221="","Missing j_colour",""),IF(S221="","Missing hsn_code",""),IF(Y221="","Missing tax_class_id","")))</f>
        <v>0</v>
      </c>
    </row>
    <row r="222" spans="1:31">
      <c r="A222" s="9">
        <f>IF('01_Input_Raw_Products'!B222&lt;&gt;"",20,"")</f>
        <v>0</v>
      </c>
      <c r="B222" s="9" cm="1">
        <f t="array" ref="B222">IF('01_Input_Raw_Products'!M222&lt;&gt;"",'01_Input_Raw_Products'!M222,IFERROR(_xlfn.XLOOKUP('01_Input_Raw_Products'!F222,'10_Master_Gem_Types'!A:A,'10_Master_Gem_Types'!K:K),""))</f>
        <v>0</v>
      </c>
      <c r="C222" s="9">
        <f>'01_Input_Raw_Products'!B222</f>
        <v>0</v>
      </c>
      <c r="D222" s="9">
        <f>IF(C222="","",TEXT(I222,"0.00")&amp;" Ct "&amp;IF('01_Input_Raw_Products'!F222&lt;&gt;"",'01_Input_Raw_Products'!F222,'01_Input_Raw_Products'!D222)&amp;" "&amp;'01_Input_Raw_Products'!I222)</f>
        <v>0</v>
      </c>
      <c r="E222" s="9">
        <f>IF(C222="","",D222&amp;" | GemPundit")</f>
        <v>0</v>
      </c>
      <c r="F222" s="9" cm="1">
        <f t="array" ref="F222">IF('01_Input_Raw_Products'!X222&lt;&gt;"",'01_Input_Raw_Products'!X222,IFERROR(_xlfn.XLOOKUP('01_Input_Raw_Products'!F222,'10_Master_Gem_Types'!A:A,'10_Master_Gem_Types'!O:O),LOWER(SUBSTITUTE(IF('01_Input_Raw_Products'!F222&lt;&gt;"",'01_Input_Raw_Products'!F222,'01_Input_Raw_Products'!D222)," ","-"))))</f>
        <v>0</v>
      </c>
      <c r="G222" s="9">
        <f>'01_Input_Raw_Products'!C222</f>
        <v>0</v>
      </c>
      <c r="H222" s="9" cm="1">
        <f t="array" ref="H222">IF('01_Input_Raw_Products'!H222&lt;&gt;"",'01_Input_Raw_Products'!H222,IFERROR(_xlfn.XLOOKUP('01_Input_Raw_Products'!F222,'10_Master_Gem_Types'!A:A,'10_Master_Gem_Types'!D:D),""))</f>
        <v>0</v>
      </c>
      <c r="I222" s="7">
        <f>IF('01_Input_Raw_Products'!N222&lt;&gt;"",'01_Input_Raw_Products'!N222,IF('01_Input_Raw_Products'!O222&lt;&gt;"",'01_Input_Raw_Products'!O222*0.91,""))</f>
        <v>0</v>
      </c>
      <c r="J222" s="9" cm="1">
        <f t="array" ref="J222">IFERROR(_xlfn.XLOOKUP('01_Input_Raw_Products'!F222,'10_Master_Gem_Types'!A:A,'10_Master_Gem_Types'!N:N),"")</f>
        <v>0</v>
      </c>
      <c r="K222" s="9" cm="1">
        <f t="array" ref="K222">IF('01_Input_Raw_Products'!J222&lt;&gt;"",'01_Input_Raw_Products'!J222,IFERROR(_xlfn.XLOOKUP('01_Input_Raw_Products'!F222,'10_Master_Gem_Types'!A:A,'10_Master_Gem_Types'!E:E),""))</f>
        <v>0</v>
      </c>
      <c r="L222" s="9">
        <f>'01_Input_Raw_Products'!P222</f>
        <v>0</v>
      </c>
      <c r="M222" s="9" cm="1">
        <f t="array" ref="M222">IFERROR(_xlfn.XLOOKUP('01_Input_Raw_Products'!K222,'12_Color_Mapping'!A:A,'12_Color_Mapping'!B:B),IFERROR(_xlfn.XLOOKUP('01_Input_Raw_Products'!F222,'10_Master_Gem_Types'!A:A,'10_Master_Gem_Types'!F:F),""))</f>
        <v>0</v>
      </c>
      <c r="N222" s="9">
        <f>IF(C222="","",IF('01_Input_Raw_Products'!F222&lt;&gt;"",'01_Input_Raw_Products'!F222,'01_Input_Raw_Products'!D222))</f>
        <v>0</v>
      </c>
      <c r="O222" s="9">
        <f>IF(C222="","","Catalog Automation")</f>
        <v>0</v>
      </c>
      <c r="P222" s="9">
        <f>'01_Input_Raw_Products'!U222</f>
        <v>0</v>
      </c>
      <c r="Q222" s="7">
        <f>IF('01_Input_Raw_Products'!O222&lt;&gt;"",'01_Input_Raw_Products'!O222,IF('01_Input_Raw_Products'!N222&lt;&gt;"",'01_Input_Raw_Products'!N222*1.1,""))</f>
        <v>0</v>
      </c>
      <c r="R222" s="9">
        <f>'01_Input_Raw_Products'!S222</f>
        <v>0</v>
      </c>
      <c r="S222" s="9" cm="1">
        <f t="array" ref="S222">IFERROR(_xlfn.XLOOKUP('01_Input_Raw_Products'!F222,'10_Master_Gem_Types'!A:A,'10_Master_Gem_Types'!H:H),"")</f>
        <v>0</v>
      </c>
      <c r="T222" s="8">
        <f>'01_Input_Raw_Products'!Q222</f>
        <v>0</v>
      </c>
      <c r="U222" s="8">
        <f>'01_Input_Raw_Products'!R222</f>
        <v>0</v>
      </c>
      <c r="V222" s="7">
        <f>I222</f>
        <v>0</v>
      </c>
      <c r="W222" s="9" cm="1">
        <f t="array" ref="W222">IF('01_Input_Raw_Products'!G222&lt;&gt;"",'01_Input_Raw_Products'!G222,IFERROR(_xlfn.XLOOKUP('01_Input_Raw_Products'!F222,'10_Master_Gem_Types'!A:A,'10_Master_Gem_Types'!L:L),""))</f>
        <v>0</v>
      </c>
      <c r="X222" s="9" cm="1">
        <f t="array" ref="X222">IFERROR(_xlfn.XLOOKUP('01_Input_Raw_Products'!F222,'10_Master_Gem_Types'!A:A,'10_Master_Gem_Types'!J:J),"")</f>
        <v>0</v>
      </c>
      <c r="Y222" s="9" cm="1">
        <f t="array" ref="Y222">IFERROR(_xlfn.XLOOKUP('01_Input_Raw_Products'!F222,'10_Master_Gem_Types'!A:A,'10_Master_Gem_Types'!I:I),"")</f>
        <v>0</v>
      </c>
      <c r="Z222" s="9" cm="1">
        <f t="array" ref="Z222">IFERROR(_xlfn.XLOOKUP('01_Input_Raw_Products'!L222,'13_Certification_Stickers'!A:A,'13_Certification_Stickers'!C:C),"")</f>
        <v>0</v>
      </c>
      <c r="AA222" s="9" cm="1">
        <f t="array" ref="AA222">IFERROR(_xlfn.XLOOKUP('01_Input_Raw_Products'!S222,'14_Shipping_Rules'!A:A,'14_Shipping_Rules'!B:B),"")</f>
        <v>0</v>
      </c>
      <c r="AB222" s="9" cm="1">
        <f t="array" ref="AB222">IFERROR(_xlfn.XLOOKUP('01_Input_Raw_Products'!D222,'16_Astro_Flags'!A:A,'16_Astro_Flags'!B:B),"")</f>
        <v>0</v>
      </c>
      <c r="AC222" s="9">
        <f>IF(C222="","","Catalog, Search")</f>
        <v>0</v>
      </c>
      <c r="AD222" s="9">
        <f>IF(C222="","",IF(OR(F222="",J222="",M222="",S222="",Y222=""),"Manual Review","Ready"))</f>
        <v>0</v>
      </c>
      <c r="AE222" s="9">
        <f>IF(C222="","",TEXTJOIN("; ",TRUE,IF(F222="","Missing url_key",""),IF(J222="","Missing classification",""),IF(M222="","Missing j_colour",""),IF(S222="","Missing hsn_code",""),IF(Y222="","Missing tax_class_id","")))</f>
        <v>0</v>
      </c>
    </row>
    <row r="223" spans="1:31">
      <c r="A223" s="9">
        <f>IF('01_Input_Raw_Products'!B223&lt;&gt;"",20,"")</f>
        <v>0</v>
      </c>
      <c r="B223" s="9" cm="1">
        <f t="array" ref="B223">IF('01_Input_Raw_Products'!M223&lt;&gt;"",'01_Input_Raw_Products'!M223,IFERROR(_xlfn.XLOOKUP('01_Input_Raw_Products'!F223,'10_Master_Gem_Types'!A:A,'10_Master_Gem_Types'!K:K),""))</f>
        <v>0</v>
      </c>
      <c r="C223" s="9">
        <f>'01_Input_Raw_Products'!B223</f>
        <v>0</v>
      </c>
      <c r="D223" s="9">
        <f>IF(C223="","",TEXT(I223,"0.00")&amp;" Ct "&amp;IF('01_Input_Raw_Products'!F223&lt;&gt;"",'01_Input_Raw_Products'!F223,'01_Input_Raw_Products'!D223)&amp;" "&amp;'01_Input_Raw_Products'!I223)</f>
        <v>0</v>
      </c>
      <c r="E223" s="9">
        <f>IF(C223="","",D223&amp;" | GemPundit")</f>
        <v>0</v>
      </c>
      <c r="F223" s="9" cm="1">
        <f t="array" ref="F223">IF('01_Input_Raw_Products'!X223&lt;&gt;"",'01_Input_Raw_Products'!X223,IFERROR(_xlfn.XLOOKUP('01_Input_Raw_Products'!F223,'10_Master_Gem_Types'!A:A,'10_Master_Gem_Types'!O:O),LOWER(SUBSTITUTE(IF('01_Input_Raw_Products'!F223&lt;&gt;"",'01_Input_Raw_Products'!F223,'01_Input_Raw_Products'!D223)," ","-"))))</f>
        <v>0</v>
      </c>
      <c r="G223" s="9">
        <f>'01_Input_Raw_Products'!C223</f>
        <v>0</v>
      </c>
      <c r="H223" s="9" cm="1">
        <f t="array" ref="H223">IF('01_Input_Raw_Products'!H223&lt;&gt;"",'01_Input_Raw_Products'!H223,IFERROR(_xlfn.XLOOKUP('01_Input_Raw_Products'!F223,'10_Master_Gem_Types'!A:A,'10_Master_Gem_Types'!D:D),""))</f>
        <v>0</v>
      </c>
      <c r="I223" s="7">
        <f>IF('01_Input_Raw_Products'!N223&lt;&gt;"",'01_Input_Raw_Products'!N223,IF('01_Input_Raw_Products'!O223&lt;&gt;"",'01_Input_Raw_Products'!O223*0.91,""))</f>
        <v>0</v>
      </c>
      <c r="J223" s="9" cm="1">
        <f t="array" ref="J223">IFERROR(_xlfn.XLOOKUP('01_Input_Raw_Products'!F223,'10_Master_Gem_Types'!A:A,'10_Master_Gem_Types'!N:N),"")</f>
        <v>0</v>
      </c>
      <c r="K223" s="9" cm="1">
        <f t="array" ref="K223">IF('01_Input_Raw_Products'!J223&lt;&gt;"",'01_Input_Raw_Products'!J223,IFERROR(_xlfn.XLOOKUP('01_Input_Raw_Products'!F223,'10_Master_Gem_Types'!A:A,'10_Master_Gem_Types'!E:E),""))</f>
        <v>0</v>
      </c>
      <c r="L223" s="9">
        <f>'01_Input_Raw_Products'!P223</f>
        <v>0</v>
      </c>
      <c r="M223" s="9" cm="1">
        <f t="array" ref="M223">IFERROR(_xlfn.XLOOKUP('01_Input_Raw_Products'!K223,'12_Color_Mapping'!A:A,'12_Color_Mapping'!B:B),IFERROR(_xlfn.XLOOKUP('01_Input_Raw_Products'!F223,'10_Master_Gem_Types'!A:A,'10_Master_Gem_Types'!F:F),""))</f>
        <v>0</v>
      </c>
      <c r="N223" s="9">
        <f>IF(C223="","",IF('01_Input_Raw_Products'!F223&lt;&gt;"",'01_Input_Raw_Products'!F223,'01_Input_Raw_Products'!D223))</f>
        <v>0</v>
      </c>
      <c r="O223" s="9">
        <f>IF(C223="","","Catalog Automation")</f>
        <v>0</v>
      </c>
      <c r="P223" s="9">
        <f>'01_Input_Raw_Products'!U223</f>
        <v>0</v>
      </c>
      <c r="Q223" s="7">
        <f>IF('01_Input_Raw_Products'!O223&lt;&gt;"",'01_Input_Raw_Products'!O223,IF('01_Input_Raw_Products'!N223&lt;&gt;"",'01_Input_Raw_Products'!N223*1.1,""))</f>
        <v>0</v>
      </c>
      <c r="R223" s="9">
        <f>'01_Input_Raw_Products'!S223</f>
        <v>0</v>
      </c>
      <c r="S223" s="9" cm="1">
        <f t="array" ref="S223">IFERROR(_xlfn.XLOOKUP('01_Input_Raw_Products'!F223,'10_Master_Gem_Types'!A:A,'10_Master_Gem_Types'!H:H),"")</f>
        <v>0</v>
      </c>
      <c r="T223" s="8">
        <f>'01_Input_Raw_Products'!Q223</f>
        <v>0</v>
      </c>
      <c r="U223" s="8">
        <f>'01_Input_Raw_Products'!R223</f>
        <v>0</v>
      </c>
      <c r="V223" s="7">
        <f>I223</f>
        <v>0</v>
      </c>
      <c r="W223" s="9" cm="1">
        <f t="array" ref="W223">IF('01_Input_Raw_Products'!G223&lt;&gt;"",'01_Input_Raw_Products'!G223,IFERROR(_xlfn.XLOOKUP('01_Input_Raw_Products'!F223,'10_Master_Gem_Types'!A:A,'10_Master_Gem_Types'!L:L),""))</f>
        <v>0</v>
      </c>
      <c r="X223" s="9" cm="1">
        <f t="array" ref="X223">IFERROR(_xlfn.XLOOKUP('01_Input_Raw_Products'!F223,'10_Master_Gem_Types'!A:A,'10_Master_Gem_Types'!J:J),"")</f>
        <v>0</v>
      </c>
      <c r="Y223" s="9" cm="1">
        <f t="array" ref="Y223">IFERROR(_xlfn.XLOOKUP('01_Input_Raw_Products'!F223,'10_Master_Gem_Types'!A:A,'10_Master_Gem_Types'!I:I),"")</f>
        <v>0</v>
      </c>
      <c r="Z223" s="9" cm="1">
        <f t="array" ref="Z223">IFERROR(_xlfn.XLOOKUP('01_Input_Raw_Products'!L223,'13_Certification_Stickers'!A:A,'13_Certification_Stickers'!C:C),"")</f>
        <v>0</v>
      </c>
      <c r="AA223" s="9" cm="1">
        <f t="array" ref="AA223">IFERROR(_xlfn.XLOOKUP('01_Input_Raw_Products'!S223,'14_Shipping_Rules'!A:A,'14_Shipping_Rules'!B:B),"")</f>
        <v>0</v>
      </c>
      <c r="AB223" s="9" cm="1">
        <f t="array" ref="AB223">IFERROR(_xlfn.XLOOKUP('01_Input_Raw_Products'!D223,'16_Astro_Flags'!A:A,'16_Astro_Flags'!B:B),"")</f>
        <v>0</v>
      </c>
      <c r="AC223" s="9">
        <f>IF(C223="","","Catalog, Search")</f>
        <v>0</v>
      </c>
      <c r="AD223" s="9">
        <f>IF(C223="","",IF(OR(F223="",J223="",M223="",S223="",Y223=""),"Manual Review","Ready"))</f>
        <v>0</v>
      </c>
      <c r="AE223" s="9">
        <f>IF(C223="","",TEXTJOIN("; ",TRUE,IF(F223="","Missing url_key",""),IF(J223="","Missing classification",""),IF(M223="","Missing j_colour",""),IF(S223="","Missing hsn_code",""),IF(Y223="","Missing tax_class_id","")))</f>
        <v>0</v>
      </c>
    </row>
    <row r="224" spans="1:31">
      <c r="A224" s="9">
        <f>IF('01_Input_Raw_Products'!B224&lt;&gt;"",20,"")</f>
        <v>0</v>
      </c>
      <c r="B224" s="9" cm="1">
        <f t="array" ref="B224">IF('01_Input_Raw_Products'!M224&lt;&gt;"",'01_Input_Raw_Products'!M224,IFERROR(_xlfn.XLOOKUP('01_Input_Raw_Products'!F224,'10_Master_Gem_Types'!A:A,'10_Master_Gem_Types'!K:K),""))</f>
        <v>0</v>
      </c>
      <c r="C224" s="9">
        <f>'01_Input_Raw_Products'!B224</f>
        <v>0</v>
      </c>
      <c r="D224" s="9">
        <f>IF(C224="","",TEXT(I224,"0.00")&amp;" Ct "&amp;IF('01_Input_Raw_Products'!F224&lt;&gt;"",'01_Input_Raw_Products'!F224,'01_Input_Raw_Products'!D224)&amp;" "&amp;'01_Input_Raw_Products'!I224)</f>
        <v>0</v>
      </c>
      <c r="E224" s="9">
        <f>IF(C224="","",D224&amp;" | GemPundit")</f>
        <v>0</v>
      </c>
      <c r="F224" s="9" cm="1">
        <f t="array" ref="F224">IF('01_Input_Raw_Products'!X224&lt;&gt;"",'01_Input_Raw_Products'!X224,IFERROR(_xlfn.XLOOKUP('01_Input_Raw_Products'!F224,'10_Master_Gem_Types'!A:A,'10_Master_Gem_Types'!O:O),LOWER(SUBSTITUTE(IF('01_Input_Raw_Products'!F224&lt;&gt;"",'01_Input_Raw_Products'!F224,'01_Input_Raw_Products'!D224)," ","-"))))</f>
        <v>0</v>
      </c>
      <c r="G224" s="9">
        <f>'01_Input_Raw_Products'!C224</f>
        <v>0</v>
      </c>
      <c r="H224" s="9" cm="1">
        <f t="array" ref="H224">IF('01_Input_Raw_Products'!H224&lt;&gt;"",'01_Input_Raw_Products'!H224,IFERROR(_xlfn.XLOOKUP('01_Input_Raw_Products'!F224,'10_Master_Gem_Types'!A:A,'10_Master_Gem_Types'!D:D),""))</f>
        <v>0</v>
      </c>
      <c r="I224" s="7">
        <f>IF('01_Input_Raw_Products'!N224&lt;&gt;"",'01_Input_Raw_Products'!N224,IF('01_Input_Raw_Products'!O224&lt;&gt;"",'01_Input_Raw_Products'!O224*0.91,""))</f>
        <v>0</v>
      </c>
      <c r="J224" s="9" cm="1">
        <f t="array" ref="J224">IFERROR(_xlfn.XLOOKUP('01_Input_Raw_Products'!F224,'10_Master_Gem_Types'!A:A,'10_Master_Gem_Types'!N:N),"")</f>
        <v>0</v>
      </c>
      <c r="K224" s="9" cm="1">
        <f t="array" ref="K224">IF('01_Input_Raw_Products'!J224&lt;&gt;"",'01_Input_Raw_Products'!J224,IFERROR(_xlfn.XLOOKUP('01_Input_Raw_Products'!F224,'10_Master_Gem_Types'!A:A,'10_Master_Gem_Types'!E:E),""))</f>
        <v>0</v>
      </c>
      <c r="L224" s="9">
        <f>'01_Input_Raw_Products'!P224</f>
        <v>0</v>
      </c>
      <c r="M224" s="9" cm="1">
        <f t="array" ref="M224">IFERROR(_xlfn.XLOOKUP('01_Input_Raw_Products'!K224,'12_Color_Mapping'!A:A,'12_Color_Mapping'!B:B),IFERROR(_xlfn.XLOOKUP('01_Input_Raw_Products'!F224,'10_Master_Gem_Types'!A:A,'10_Master_Gem_Types'!F:F),""))</f>
        <v>0</v>
      </c>
      <c r="N224" s="9">
        <f>IF(C224="","",IF('01_Input_Raw_Products'!F224&lt;&gt;"",'01_Input_Raw_Products'!F224,'01_Input_Raw_Products'!D224))</f>
        <v>0</v>
      </c>
      <c r="O224" s="9">
        <f>IF(C224="","","Catalog Automation")</f>
        <v>0</v>
      </c>
      <c r="P224" s="9">
        <f>'01_Input_Raw_Products'!U224</f>
        <v>0</v>
      </c>
      <c r="Q224" s="7">
        <f>IF('01_Input_Raw_Products'!O224&lt;&gt;"",'01_Input_Raw_Products'!O224,IF('01_Input_Raw_Products'!N224&lt;&gt;"",'01_Input_Raw_Products'!N224*1.1,""))</f>
        <v>0</v>
      </c>
      <c r="R224" s="9">
        <f>'01_Input_Raw_Products'!S224</f>
        <v>0</v>
      </c>
      <c r="S224" s="9" cm="1">
        <f t="array" ref="S224">IFERROR(_xlfn.XLOOKUP('01_Input_Raw_Products'!F224,'10_Master_Gem_Types'!A:A,'10_Master_Gem_Types'!H:H),"")</f>
        <v>0</v>
      </c>
      <c r="T224" s="8">
        <f>'01_Input_Raw_Products'!Q224</f>
        <v>0</v>
      </c>
      <c r="U224" s="8">
        <f>'01_Input_Raw_Products'!R224</f>
        <v>0</v>
      </c>
      <c r="V224" s="7">
        <f>I224</f>
        <v>0</v>
      </c>
      <c r="W224" s="9" cm="1">
        <f t="array" ref="W224">IF('01_Input_Raw_Products'!G224&lt;&gt;"",'01_Input_Raw_Products'!G224,IFERROR(_xlfn.XLOOKUP('01_Input_Raw_Products'!F224,'10_Master_Gem_Types'!A:A,'10_Master_Gem_Types'!L:L),""))</f>
        <v>0</v>
      </c>
      <c r="X224" s="9" cm="1">
        <f t="array" ref="X224">IFERROR(_xlfn.XLOOKUP('01_Input_Raw_Products'!F224,'10_Master_Gem_Types'!A:A,'10_Master_Gem_Types'!J:J),"")</f>
        <v>0</v>
      </c>
      <c r="Y224" s="9" cm="1">
        <f t="array" ref="Y224">IFERROR(_xlfn.XLOOKUP('01_Input_Raw_Products'!F224,'10_Master_Gem_Types'!A:A,'10_Master_Gem_Types'!I:I),"")</f>
        <v>0</v>
      </c>
      <c r="Z224" s="9" cm="1">
        <f t="array" ref="Z224">IFERROR(_xlfn.XLOOKUP('01_Input_Raw_Products'!L224,'13_Certification_Stickers'!A:A,'13_Certification_Stickers'!C:C),"")</f>
        <v>0</v>
      </c>
      <c r="AA224" s="9" cm="1">
        <f t="array" ref="AA224">IFERROR(_xlfn.XLOOKUP('01_Input_Raw_Products'!S224,'14_Shipping_Rules'!A:A,'14_Shipping_Rules'!B:B),"")</f>
        <v>0</v>
      </c>
      <c r="AB224" s="9" cm="1">
        <f t="array" ref="AB224">IFERROR(_xlfn.XLOOKUP('01_Input_Raw_Products'!D224,'16_Astro_Flags'!A:A,'16_Astro_Flags'!B:B),"")</f>
        <v>0</v>
      </c>
      <c r="AC224" s="9">
        <f>IF(C224="","","Catalog, Search")</f>
        <v>0</v>
      </c>
      <c r="AD224" s="9">
        <f>IF(C224="","",IF(OR(F224="",J224="",M224="",S224="",Y224=""),"Manual Review","Ready"))</f>
        <v>0</v>
      </c>
      <c r="AE224" s="9">
        <f>IF(C224="","",TEXTJOIN("; ",TRUE,IF(F224="","Missing url_key",""),IF(J224="","Missing classification",""),IF(M224="","Missing j_colour",""),IF(S224="","Missing hsn_code",""),IF(Y224="","Missing tax_class_id","")))</f>
        <v>0</v>
      </c>
    </row>
    <row r="225" spans="1:31">
      <c r="A225" s="9">
        <f>IF('01_Input_Raw_Products'!B225&lt;&gt;"",20,"")</f>
        <v>0</v>
      </c>
      <c r="B225" s="9" cm="1">
        <f t="array" ref="B225">IF('01_Input_Raw_Products'!M225&lt;&gt;"",'01_Input_Raw_Products'!M225,IFERROR(_xlfn.XLOOKUP('01_Input_Raw_Products'!F225,'10_Master_Gem_Types'!A:A,'10_Master_Gem_Types'!K:K),""))</f>
        <v>0</v>
      </c>
      <c r="C225" s="9">
        <f>'01_Input_Raw_Products'!B225</f>
        <v>0</v>
      </c>
      <c r="D225" s="9">
        <f>IF(C225="","",TEXT(I225,"0.00")&amp;" Ct "&amp;IF('01_Input_Raw_Products'!F225&lt;&gt;"",'01_Input_Raw_Products'!F225,'01_Input_Raw_Products'!D225)&amp;" "&amp;'01_Input_Raw_Products'!I225)</f>
        <v>0</v>
      </c>
      <c r="E225" s="9">
        <f>IF(C225="","",D225&amp;" | GemPundit")</f>
        <v>0</v>
      </c>
      <c r="F225" s="9" cm="1">
        <f t="array" ref="F225">IF('01_Input_Raw_Products'!X225&lt;&gt;"",'01_Input_Raw_Products'!X225,IFERROR(_xlfn.XLOOKUP('01_Input_Raw_Products'!F225,'10_Master_Gem_Types'!A:A,'10_Master_Gem_Types'!O:O),LOWER(SUBSTITUTE(IF('01_Input_Raw_Products'!F225&lt;&gt;"",'01_Input_Raw_Products'!F225,'01_Input_Raw_Products'!D225)," ","-"))))</f>
        <v>0</v>
      </c>
      <c r="G225" s="9">
        <f>'01_Input_Raw_Products'!C225</f>
        <v>0</v>
      </c>
      <c r="H225" s="9" cm="1">
        <f t="array" ref="H225">IF('01_Input_Raw_Products'!H225&lt;&gt;"",'01_Input_Raw_Products'!H225,IFERROR(_xlfn.XLOOKUP('01_Input_Raw_Products'!F225,'10_Master_Gem_Types'!A:A,'10_Master_Gem_Types'!D:D),""))</f>
        <v>0</v>
      </c>
      <c r="I225" s="7">
        <f>IF('01_Input_Raw_Products'!N225&lt;&gt;"",'01_Input_Raw_Products'!N225,IF('01_Input_Raw_Products'!O225&lt;&gt;"",'01_Input_Raw_Products'!O225*0.91,""))</f>
        <v>0</v>
      </c>
      <c r="J225" s="9" cm="1">
        <f t="array" ref="J225">IFERROR(_xlfn.XLOOKUP('01_Input_Raw_Products'!F225,'10_Master_Gem_Types'!A:A,'10_Master_Gem_Types'!N:N),"")</f>
        <v>0</v>
      </c>
      <c r="K225" s="9" cm="1">
        <f t="array" ref="K225">IF('01_Input_Raw_Products'!J225&lt;&gt;"",'01_Input_Raw_Products'!J225,IFERROR(_xlfn.XLOOKUP('01_Input_Raw_Products'!F225,'10_Master_Gem_Types'!A:A,'10_Master_Gem_Types'!E:E),""))</f>
        <v>0</v>
      </c>
      <c r="L225" s="9">
        <f>'01_Input_Raw_Products'!P225</f>
        <v>0</v>
      </c>
      <c r="M225" s="9" cm="1">
        <f t="array" ref="M225">IFERROR(_xlfn.XLOOKUP('01_Input_Raw_Products'!K225,'12_Color_Mapping'!A:A,'12_Color_Mapping'!B:B),IFERROR(_xlfn.XLOOKUP('01_Input_Raw_Products'!F225,'10_Master_Gem_Types'!A:A,'10_Master_Gem_Types'!F:F),""))</f>
        <v>0</v>
      </c>
      <c r="N225" s="9">
        <f>IF(C225="","",IF('01_Input_Raw_Products'!F225&lt;&gt;"",'01_Input_Raw_Products'!F225,'01_Input_Raw_Products'!D225))</f>
        <v>0</v>
      </c>
      <c r="O225" s="9">
        <f>IF(C225="","","Catalog Automation")</f>
        <v>0</v>
      </c>
      <c r="P225" s="9">
        <f>'01_Input_Raw_Products'!U225</f>
        <v>0</v>
      </c>
      <c r="Q225" s="7">
        <f>IF('01_Input_Raw_Products'!O225&lt;&gt;"",'01_Input_Raw_Products'!O225,IF('01_Input_Raw_Products'!N225&lt;&gt;"",'01_Input_Raw_Products'!N225*1.1,""))</f>
        <v>0</v>
      </c>
      <c r="R225" s="9">
        <f>'01_Input_Raw_Products'!S225</f>
        <v>0</v>
      </c>
      <c r="S225" s="9" cm="1">
        <f t="array" ref="S225">IFERROR(_xlfn.XLOOKUP('01_Input_Raw_Products'!F225,'10_Master_Gem_Types'!A:A,'10_Master_Gem_Types'!H:H),"")</f>
        <v>0</v>
      </c>
      <c r="T225" s="8">
        <f>'01_Input_Raw_Products'!Q225</f>
        <v>0</v>
      </c>
      <c r="U225" s="8">
        <f>'01_Input_Raw_Products'!R225</f>
        <v>0</v>
      </c>
      <c r="V225" s="7">
        <f>I225</f>
        <v>0</v>
      </c>
      <c r="W225" s="9" cm="1">
        <f t="array" ref="W225">IF('01_Input_Raw_Products'!G225&lt;&gt;"",'01_Input_Raw_Products'!G225,IFERROR(_xlfn.XLOOKUP('01_Input_Raw_Products'!F225,'10_Master_Gem_Types'!A:A,'10_Master_Gem_Types'!L:L),""))</f>
        <v>0</v>
      </c>
      <c r="X225" s="9" cm="1">
        <f t="array" ref="X225">IFERROR(_xlfn.XLOOKUP('01_Input_Raw_Products'!F225,'10_Master_Gem_Types'!A:A,'10_Master_Gem_Types'!J:J),"")</f>
        <v>0</v>
      </c>
      <c r="Y225" s="9" cm="1">
        <f t="array" ref="Y225">IFERROR(_xlfn.XLOOKUP('01_Input_Raw_Products'!F225,'10_Master_Gem_Types'!A:A,'10_Master_Gem_Types'!I:I),"")</f>
        <v>0</v>
      </c>
      <c r="Z225" s="9" cm="1">
        <f t="array" ref="Z225">IFERROR(_xlfn.XLOOKUP('01_Input_Raw_Products'!L225,'13_Certification_Stickers'!A:A,'13_Certification_Stickers'!C:C),"")</f>
        <v>0</v>
      </c>
      <c r="AA225" s="9" cm="1">
        <f t="array" ref="AA225">IFERROR(_xlfn.XLOOKUP('01_Input_Raw_Products'!S225,'14_Shipping_Rules'!A:A,'14_Shipping_Rules'!B:B),"")</f>
        <v>0</v>
      </c>
      <c r="AB225" s="9" cm="1">
        <f t="array" ref="AB225">IFERROR(_xlfn.XLOOKUP('01_Input_Raw_Products'!D225,'16_Astro_Flags'!A:A,'16_Astro_Flags'!B:B),"")</f>
        <v>0</v>
      </c>
      <c r="AC225" s="9">
        <f>IF(C225="","","Catalog, Search")</f>
        <v>0</v>
      </c>
      <c r="AD225" s="9">
        <f>IF(C225="","",IF(OR(F225="",J225="",M225="",S225="",Y225=""),"Manual Review","Ready"))</f>
        <v>0</v>
      </c>
      <c r="AE225" s="9">
        <f>IF(C225="","",TEXTJOIN("; ",TRUE,IF(F225="","Missing url_key",""),IF(J225="","Missing classification",""),IF(M225="","Missing j_colour",""),IF(S225="","Missing hsn_code",""),IF(Y225="","Missing tax_class_id","")))</f>
        <v>0</v>
      </c>
    </row>
    <row r="226" spans="1:31">
      <c r="A226" s="9">
        <f>IF('01_Input_Raw_Products'!B226&lt;&gt;"",20,"")</f>
        <v>0</v>
      </c>
      <c r="B226" s="9" cm="1">
        <f t="array" ref="B226">IF('01_Input_Raw_Products'!M226&lt;&gt;"",'01_Input_Raw_Products'!M226,IFERROR(_xlfn.XLOOKUP('01_Input_Raw_Products'!F226,'10_Master_Gem_Types'!A:A,'10_Master_Gem_Types'!K:K),""))</f>
        <v>0</v>
      </c>
      <c r="C226" s="9">
        <f>'01_Input_Raw_Products'!B226</f>
        <v>0</v>
      </c>
      <c r="D226" s="9">
        <f>IF(C226="","",TEXT(I226,"0.00")&amp;" Ct "&amp;IF('01_Input_Raw_Products'!F226&lt;&gt;"",'01_Input_Raw_Products'!F226,'01_Input_Raw_Products'!D226)&amp;" "&amp;'01_Input_Raw_Products'!I226)</f>
        <v>0</v>
      </c>
      <c r="E226" s="9">
        <f>IF(C226="","",D226&amp;" | GemPundit")</f>
        <v>0</v>
      </c>
      <c r="F226" s="9" cm="1">
        <f t="array" ref="F226">IF('01_Input_Raw_Products'!X226&lt;&gt;"",'01_Input_Raw_Products'!X226,IFERROR(_xlfn.XLOOKUP('01_Input_Raw_Products'!F226,'10_Master_Gem_Types'!A:A,'10_Master_Gem_Types'!O:O),LOWER(SUBSTITUTE(IF('01_Input_Raw_Products'!F226&lt;&gt;"",'01_Input_Raw_Products'!F226,'01_Input_Raw_Products'!D226)," ","-"))))</f>
        <v>0</v>
      </c>
      <c r="G226" s="9">
        <f>'01_Input_Raw_Products'!C226</f>
        <v>0</v>
      </c>
      <c r="H226" s="9" cm="1">
        <f t="array" ref="H226">IF('01_Input_Raw_Products'!H226&lt;&gt;"",'01_Input_Raw_Products'!H226,IFERROR(_xlfn.XLOOKUP('01_Input_Raw_Products'!F226,'10_Master_Gem_Types'!A:A,'10_Master_Gem_Types'!D:D),""))</f>
        <v>0</v>
      </c>
      <c r="I226" s="7">
        <f>IF('01_Input_Raw_Products'!N226&lt;&gt;"",'01_Input_Raw_Products'!N226,IF('01_Input_Raw_Products'!O226&lt;&gt;"",'01_Input_Raw_Products'!O226*0.91,""))</f>
        <v>0</v>
      </c>
      <c r="J226" s="9" cm="1">
        <f t="array" ref="J226">IFERROR(_xlfn.XLOOKUP('01_Input_Raw_Products'!F226,'10_Master_Gem_Types'!A:A,'10_Master_Gem_Types'!N:N),"")</f>
        <v>0</v>
      </c>
      <c r="K226" s="9" cm="1">
        <f t="array" ref="K226">IF('01_Input_Raw_Products'!J226&lt;&gt;"",'01_Input_Raw_Products'!J226,IFERROR(_xlfn.XLOOKUP('01_Input_Raw_Products'!F226,'10_Master_Gem_Types'!A:A,'10_Master_Gem_Types'!E:E),""))</f>
        <v>0</v>
      </c>
      <c r="L226" s="9">
        <f>'01_Input_Raw_Products'!P226</f>
        <v>0</v>
      </c>
      <c r="M226" s="9" cm="1">
        <f t="array" ref="M226">IFERROR(_xlfn.XLOOKUP('01_Input_Raw_Products'!K226,'12_Color_Mapping'!A:A,'12_Color_Mapping'!B:B),IFERROR(_xlfn.XLOOKUP('01_Input_Raw_Products'!F226,'10_Master_Gem_Types'!A:A,'10_Master_Gem_Types'!F:F),""))</f>
        <v>0</v>
      </c>
      <c r="N226" s="9">
        <f>IF(C226="","",IF('01_Input_Raw_Products'!F226&lt;&gt;"",'01_Input_Raw_Products'!F226,'01_Input_Raw_Products'!D226))</f>
        <v>0</v>
      </c>
      <c r="O226" s="9">
        <f>IF(C226="","","Catalog Automation")</f>
        <v>0</v>
      </c>
      <c r="P226" s="9">
        <f>'01_Input_Raw_Products'!U226</f>
        <v>0</v>
      </c>
      <c r="Q226" s="7">
        <f>IF('01_Input_Raw_Products'!O226&lt;&gt;"",'01_Input_Raw_Products'!O226,IF('01_Input_Raw_Products'!N226&lt;&gt;"",'01_Input_Raw_Products'!N226*1.1,""))</f>
        <v>0</v>
      </c>
      <c r="R226" s="9">
        <f>'01_Input_Raw_Products'!S226</f>
        <v>0</v>
      </c>
      <c r="S226" s="9" cm="1">
        <f t="array" ref="S226">IFERROR(_xlfn.XLOOKUP('01_Input_Raw_Products'!F226,'10_Master_Gem_Types'!A:A,'10_Master_Gem_Types'!H:H),"")</f>
        <v>0</v>
      </c>
      <c r="T226" s="8">
        <f>'01_Input_Raw_Products'!Q226</f>
        <v>0</v>
      </c>
      <c r="U226" s="8">
        <f>'01_Input_Raw_Products'!R226</f>
        <v>0</v>
      </c>
      <c r="V226" s="7">
        <f>I226</f>
        <v>0</v>
      </c>
      <c r="W226" s="9" cm="1">
        <f t="array" ref="W226">IF('01_Input_Raw_Products'!G226&lt;&gt;"",'01_Input_Raw_Products'!G226,IFERROR(_xlfn.XLOOKUP('01_Input_Raw_Products'!F226,'10_Master_Gem_Types'!A:A,'10_Master_Gem_Types'!L:L),""))</f>
        <v>0</v>
      </c>
      <c r="X226" s="9" cm="1">
        <f t="array" ref="X226">IFERROR(_xlfn.XLOOKUP('01_Input_Raw_Products'!F226,'10_Master_Gem_Types'!A:A,'10_Master_Gem_Types'!J:J),"")</f>
        <v>0</v>
      </c>
      <c r="Y226" s="9" cm="1">
        <f t="array" ref="Y226">IFERROR(_xlfn.XLOOKUP('01_Input_Raw_Products'!F226,'10_Master_Gem_Types'!A:A,'10_Master_Gem_Types'!I:I),"")</f>
        <v>0</v>
      </c>
      <c r="Z226" s="9" cm="1">
        <f t="array" ref="Z226">IFERROR(_xlfn.XLOOKUP('01_Input_Raw_Products'!L226,'13_Certification_Stickers'!A:A,'13_Certification_Stickers'!C:C),"")</f>
        <v>0</v>
      </c>
      <c r="AA226" s="9" cm="1">
        <f t="array" ref="AA226">IFERROR(_xlfn.XLOOKUP('01_Input_Raw_Products'!S226,'14_Shipping_Rules'!A:A,'14_Shipping_Rules'!B:B),"")</f>
        <v>0</v>
      </c>
      <c r="AB226" s="9" cm="1">
        <f t="array" ref="AB226">IFERROR(_xlfn.XLOOKUP('01_Input_Raw_Products'!D226,'16_Astro_Flags'!A:A,'16_Astro_Flags'!B:B),"")</f>
        <v>0</v>
      </c>
      <c r="AC226" s="9">
        <f>IF(C226="","","Catalog, Search")</f>
        <v>0</v>
      </c>
      <c r="AD226" s="9">
        <f>IF(C226="","",IF(OR(F226="",J226="",M226="",S226="",Y226=""),"Manual Review","Ready"))</f>
        <v>0</v>
      </c>
      <c r="AE226" s="9">
        <f>IF(C226="","",TEXTJOIN("; ",TRUE,IF(F226="","Missing url_key",""),IF(J226="","Missing classification",""),IF(M226="","Missing j_colour",""),IF(S226="","Missing hsn_code",""),IF(Y226="","Missing tax_class_id","")))</f>
        <v>0</v>
      </c>
    </row>
    <row r="227" spans="1:31">
      <c r="A227" s="9">
        <f>IF('01_Input_Raw_Products'!B227&lt;&gt;"",20,"")</f>
        <v>0</v>
      </c>
      <c r="B227" s="9" cm="1">
        <f t="array" ref="B227">IF('01_Input_Raw_Products'!M227&lt;&gt;"",'01_Input_Raw_Products'!M227,IFERROR(_xlfn.XLOOKUP('01_Input_Raw_Products'!F227,'10_Master_Gem_Types'!A:A,'10_Master_Gem_Types'!K:K),""))</f>
        <v>0</v>
      </c>
      <c r="C227" s="9">
        <f>'01_Input_Raw_Products'!B227</f>
        <v>0</v>
      </c>
      <c r="D227" s="9">
        <f>IF(C227="","",TEXT(I227,"0.00")&amp;" Ct "&amp;IF('01_Input_Raw_Products'!F227&lt;&gt;"",'01_Input_Raw_Products'!F227,'01_Input_Raw_Products'!D227)&amp;" "&amp;'01_Input_Raw_Products'!I227)</f>
        <v>0</v>
      </c>
      <c r="E227" s="9">
        <f>IF(C227="","",D227&amp;" | GemPundit")</f>
        <v>0</v>
      </c>
      <c r="F227" s="9" cm="1">
        <f t="array" ref="F227">IF('01_Input_Raw_Products'!X227&lt;&gt;"",'01_Input_Raw_Products'!X227,IFERROR(_xlfn.XLOOKUP('01_Input_Raw_Products'!F227,'10_Master_Gem_Types'!A:A,'10_Master_Gem_Types'!O:O),LOWER(SUBSTITUTE(IF('01_Input_Raw_Products'!F227&lt;&gt;"",'01_Input_Raw_Products'!F227,'01_Input_Raw_Products'!D227)," ","-"))))</f>
        <v>0</v>
      </c>
      <c r="G227" s="9">
        <f>'01_Input_Raw_Products'!C227</f>
        <v>0</v>
      </c>
      <c r="H227" s="9" cm="1">
        <f t="array" ref="H227">IF('01_Input_Raw_Products'!H227&lt;&gt;"",'01_Input_Raw_Products'!H227,IFERROR(_xlfn.XLOOKUP('01_Input_Raw_Products'!F227,'10_Master_Gem_Types'!A:A,'10_Master_Gem_Types'!D:D),""))</f>
        <v>0</v>
      </c>
      <c r="I227" s="7">
        <f>IF('01_Input_Raw_Products'!N227&lt;&gt;"",'01_Input_Raw_Products'!N227,IF('01_Input_Raw_Products'!O227&lt;&gt;"",'01_Input_Raw_Products'!O227*0.91,""))</f>
        <v>0</v>
      </c>
      <c r="J227" s="9" cm="1">
        <f t="array" ref="J227">IFERROR(_xlfn.XLOOKUP('01_Input_Raw_Products'!F227,'10_Master_Gem_Types'!A:A,'10_Master_Gem_Types'!N:N),"")</f>
        <v>0</v>
      </c>
      <c r="K227" s="9" cm="1">
        <f t="array" ref="K227">IF('01_Input_Raw_Products'!J227&lt;&gt;"",'01_Input_Raw_Products'!J227,IFERROR(_xlfn.XLOOKUP('01_Input_Raw_Products'!F227,'10_Master_Gem_Types'!A:A,'10_Master_Gem_Types'!E:E),""))</f>
        <v>0</v>
      </c>
      <c r="L227" s="9">
        <f>'01_Input_Raw_Products'!P227</f>
        <v>0</v>
      </c>
      <c r="M227" s="9" cm="1">
        <f t="array" ref="M227">IFERROR(_xlfn.XLOOKUP('01_Input_Raw_Products'!K227,'12_Color_Mapping'!A:A,'12_Color_Mapping'!B:B),IFERROR(_xlfn.XLOOKUP('01_Input_Raw_Products'!F227,'10_Master_Gem_Types'!A:A,'10_Master_Gem_Types'!F:F),""))</f>
        <v>0</v>
      </c>
      <c r="N227" s="9">
        <f>IF(C227="","",IF('01_Input_Raw_Products'!F227&lt;&gt;"",'01_Input_Raw_Products'!F227,'01_Input_Raw_Products'!D227))</f>
        <v>0</v>
      </c>
      <c r="O227" s="9">
        <f>IF(C227="","","Catalog Automation")</f>
        <v>0</v>
      </c>
      <c r="P227" s="9">
        <f>'01_Input_Raw_Products'!U227</f>
        <v>0</v>
      </c>
      <c r="Q227" s="7">
        <f>IF('01_Input_Raw_Products'!O227&lt;&gt;"",'01_Input_Raw_Products'!O227,IF('01_Input_Raw_Products'!N227&lt;&gt;"",'01_Input_Raw_Products'!N227*1.1,""))</f>
        <v>0</v>
      </c>
      <c r="R227" s="9">
        <f>'01_Input_Raw_Products'!S227</f>
        <v>0</v>
      </c>
      <c r="S227" s="9" cm="1">
        <f t="array" ref="S227">IFERROR(_xlfn.XLOOKUP('01_Input_Raw_Products'!F227,'10_Master_Gem_Types'!A:A,'10_Master_Gem_Types'!H:H),"")</f>
        <v>0</v>
      </c>
      <c r="T227" s="8">
        <f>'01_Input_Raw_Products'!Q227</f>
        <v>0</v>
      </c>
      <c r="U227" s="8">
        <f>'01_Input_Raw_Products'!R227</f>
        <v>0</v>
      </c>
      <c r="V227" s="7">
        <f>I227</f>
        <v>0</v>
      </c>
      <c r="W227" s="9" cm="1">
        <f t="array" ref="W227">IF('01_Input_Raw_Products'!G227&lt;&gt;"",'01_Input_Raw_Products'!G227,IFERROR(_xlfn.XLOOKUP('01_Input_Raw_Products'!F227,'10_Master_Gem_Types'!A:A,'10_Master_Gem_Types'!L:L),""))</f>
        <v>0</v>
      </c>
      <c r="X227" s="9" cm="1">
        <f t="array" ref="X227">IFERROR(_xlfn.XLOOKUP('01_Input_Raw_Products'!F227,'10_Master_Gem_Types'!A:A,'10_Master_Gem_Types'!J:J),"")</f>
        <v>0</v>
      </c>
      <c r="Y227" s="9" cm="1">
        <f t="array" ref="Y227">IFERROR(_xlfn.XLOOKUP('01_Input_Raw_Products'!F227,'10_Master_Gem_Types'!A:A,'10_Master_Gem_Types'!I:I),"")</f>
        <v>0</v>
      </c>
      <c r="Z227" s="9" cm="1">
        <f t="array" ref="Z227">IFERROR(_xlfn.XLOOKUP('01_Input_Raw_Products'!L227,'13_Certification_Stickers'!A:A,'13_Certification_Stickers'!C:C),"")</f>
        <v>0</v>
      </c>
      <c r="AA227" s="9" cm="1">
        <f t="array" ref="AA227">IFERROR(_xlfn.XLOOKUP('01_Input_Raw_Products'!S227,'14_Shipping_Rules'!A:A,'14_Shipping_Rules'!B:B),"")</f>
        <v>0</v>
      </c>
      <c r="AB227" s="9" cm="1">
        <f t="array" ref="AB227">IFERROR(_xlfn.XLOOKUP('01_Input_Raw_Products'!D227,'16_Astro_Flags'!A:A,'16_Astro_Flags'!B:B),"")</f>
        <v>0</v>
      </c>
      <c r="AC227" s="9">
        <f>IF(C227="","","Catalog, Search")</f>
        <v>0</v>
      </c>
      <c r="AD227" s="9">
        <f>IF(C227="","",IF(OR(F227="",J227="",M227="",S227="",Y227=""),"Manual Review","Ready"))</f>
        <v>0</v>
      </c>
      <c r="AE227" s="9">
        <f>IF(C227="","",TEXTJOIN("; ",TRUE,IF(F227="","Missing url_key",""),IF(J227="","Missing classification",""),IF(M227="","Missing j_colour",""),IF(S227="","Missing hsn_code",""),IF(Y227="","Missing tax_class_id","")))</f>
        <v>0</v>
      </c>
    </row>
    <row r="228" spans="1:31">
      <c r="A228" s="9">
        <f>IF('01_Input_Raw_Products'!B228&lt;&gt;"",20,"")</f>
        <v>0</v>
      </c>
      <c r="B228" s="9" cm="1">
        <f t="array" ref="B228">IF('01_Input_Raw_Products'!M228&lt;&gt;"",'01_Input_Raw_Products'!M228,IFERROR(_xlfn.XLOOKUP('01_Input_Raw_Products'!F228,'10_Master_Gem_Types'!A:A,'10_Master_Gem_Types'!K:K),""))</f>
        <v>0</v>
      </c>
      <c r="C228" s="9">
        <f>'01_Input_Raw_Products'!B228</f>
        <v>0</v>
      </c>
      <c r="D228" s="9">
        <f>IF(C228="","",TEXT(I228,"0.00")&amp;" Ct "&amp;IF('01_Input_Raw_Products'!F228&lt;&gt;"",'01_Input_Raw_Products'!F228,'01_Input_Raw_Products'!D228)&amp;" "&amp;'01_Input_Raw_Products'!I228)</f>
        <v>0</v>
      </c>
      <c r="E228" s="9">
        <f>IF(C228="","",D228&amp;" | GemPundit")</f>
        <v>0</v>
      </c>
      <c r="F228" s="9" cm="1">
        <f t="array" ref="F228">IF('01_Input_Raw_Products'!X228&lt;&gt;"",'01_Input_Raw_Products'!X228,IFERROR(_xlfn.XLOOKUP('01_Input_Raw_Products'!F228,'10_Master_Gem_Types'!A:A,'10_Master_Gem_Types'!O:O),LOWER(SUBSTITUTE(IF('01_Input_Raw_Products'!F228&lt;&gt;"",'01_Input_Raw_Products'!F228,'01_Input_Raw_Products'!D228)," ","-"))))</f>
        <v>0</v>
      </c>
      <c r="G228" s="9">
        <f>'01_Input_Raw_Products'!C228</f>
        <v>0</v>
      </c>
      <c r="H228" s="9" cm="1">
        <f t="array" ref="H228">IF('01_Input_Raw_Products'!H228&lt;&gt;"",'01_Input_Raw_Products'!H228,IFERROR(_xlfn.XLOOKUP('01_Input_Raw_Products'!F228,'10_Master_Gem_Types'!A:A,'10_Master_Gem_Types'!D:D),""))</f>
        <v>0</v>
      </c>
      <c r="I228" s="7">
        <f>IF('01_Input_Raw_Products'!N228&lt;&gt;"",'01_Input_Raw_Products'!N228,IF('01_Input_Raw_Products'!O228&lt;&gt;"",'01_Input_Raw_Products'!O228*0.91,""))</f>
        <v>0</v>
      </c>
      <c r="J228" s="9" cm="1">
        <f t="array" ref="J228">IFERROR(_xlfn.XLOOKUP('01_Input_Raw_Products'!F228,'10_Master_Gem_Types'!A:A,'10_Master_Gem_Types'!N:N),"")</f>
        <v>0</v>
      </c>
      <c r="K228" s="9" cm="1">
        <f t="array" ref="K228">IF('01_Input_Raw_Products'!J228&lt;&gt;"",'01_Input_Raw_Products'!J228,IFERROR(_xlfn.XLOOKUP('01_Input_Raw_Products'!F228,'10_Master_Gem_Types'!A:A,'10_Master_Gem_Types'!E:E),""))</f>
        <v>0</v>
      </c>
      <c r="L228" s="9">
        <f>'01_Input_Raw_Products'!P228</f>
        <v>0</v>
      </c>
      <c r="M228" s="9" cm="1">
        <f t="array" ref="M228">IFERROR(_xlfn.XLOOKUP('01_Input_Raw_Products'!K228,'12_Color_Mapping'!A:A,'12_Color_Mapping'!B:B),IFERROR(_xlfn.XLOOKUP('01_Input_Raw_Products'!F228,'10_Master_Gem_Types'!A:A,'10_Master_Gem_Types'!F:F),""))</f>
        <v>0</v>
      </c>
      <c r="N228" s="9">
        <f>IF(C228="","",IF('01_Input_Raw_Products'!F228&lt;&gt;"",'01_Input_Raw_Products'!F228,'01_Input_Raw_Products'!D228))</f>
        <v>0</v>
      </c>
      <c r="O228" s="9">
        <f>IF(C228="","","Catalog Automation")</f>
        <v>0</v>
      </c>
      <c r="P228" s="9">
        <f>'01_Input_Raw_Products'!U228</f>
        <v>0</v>
      </c>
      <c r="Q228" s="7">
        <f>IF('01_Input_Raw_Products'!O228&lt;&gt;"",'01_Input_Raw_Products'!O228,IF('01_Input_Raw_Products'!N228&lt;&gt;"",'01_Input_Raw_Products'!N228*1.1,""))</f>
        <v>0</v>
      </c>
      <c r="R228" s="9">
        <f>'01_Input_Raw_Products'!S228</f>
        <v>0</v>
      </c>
      <c r="S228" s="9" cm="1">
        <f t="array" ref="S228">IFERROR(_xlfn.XLOOKUP('01_Input_Raw_Products'!F228,'10_Master_Gem_Types'!A:A,'10_Master_Gem_Types'!H:H),"")</f>
        <v>0</v>
      </c>
      <c r="T228" s="8">
        <f>'01_Input_Raw_Products'!Q228</f>
        <v>0</v>
      </c>
      <c r="U228" s="8">
        <f>'01_Input_Raw_Products'!R228</f>
        <v>0</v>
      </c>
      <c r="V228" s="7">
        <f>I228</f>
        <v>0</v>
      </c>
      <c r="W228" s="9" cm="1">
        <f t="array" ref="W228">IF('01_Input_Raw_Products'!G228&lt;&gt;"",'01_Input_Raw_Products'!G228,IFERROR(_xlfn.XLOOKUP('01_Input_Raw_Products'!F228,'10_Master_Gem_Types'!A:A,'10_Master_Gem_Types'!L:L),""))</f>
        <v>0</v>
      </c>
      <c r="X228" s="9" cm="1">
        <f t="array" ref="X228">IFERROR(_xlfn.XLOOKUP('01_Input_Raw_Products'!F228,'10_Master_Gem_Types'!A:A,'10_Master_Gem_Types'!J:J),"")</f>
        <v>0</v>
      </c>
      <c r="Y228" s="9" cm="1">
        <f t="array" ref="Y228">IFERROR(_xlfn.XLOOKUP('01_Input_Raw_Products'!F228,'10_Master_Gem_Types'!A:A,'10_Master_Gem_Types'!I:I),"")</f>
        <v>0</v>
      </c>
      <c r="Z228" s="9" cm="1">
        <f t="array" ref="Z228">IFERROR(_xlfn.XLOOKUP('01_Input_Raw_Products'!L228,'13_Certification_Stickers'!A:A,'13_Certification_Stickers'!C:C),"")</f>
        <v>0</v>
      </c>
      <c r="AA228" s="9" cm="1">
        <f t="array" ref="AA228">IFERROR(_xlfn.XLOOKUP('01_Input_Raw_Products'!S228,'14_Shipping_Rules'!A:A,'14_Shipping_Rules'!B:B),"")</f>
        <v>0</v>
      </c>
      <c r="AB228" s="9" cm="1">
        <f t="array" ref="AB228">IFERROR(_xlfn.XLOOKUP('01_Input_Raw_Products'!D228,'16_Astro_Flags'!A:A,'16_Astro_Flags'!B:B),"")</f>
        <v>0</v>
      </c>
      <c r="AC228" s="9">
        <f>IF(C228="","","Catalog, Search")</f>
        <v>0</v>
      </c>
      <c r="AD228" s="9">
        <f>IF(C228="","",IF(OR(F228="",J228="",M228="",S228="",Y228=""),"Manual Review","Ready"))</f>
        <v>0</v>
      </c>
      <c r="AE228" s="9">
        <f>IF(C228="","",TEXTJOIN("; ",TRUE,IF(F228="","Missing url_key",""),IF(J228="","Missing classification",""),IF(M228="","Missing j_colour",""),IF(S228="","Missing hsn_code",""),IF(Y228="","Missing tax_class_id","")))</f>
        <v>0</v>
      </c>
    </row>
    <row r="229" spans="1:31">
      <c r="A229" s="9">
        <f>IF('01_Input_Raw_Products'!B229&lt;&gt;"",20,"")</f>
        <v>0</v>
      </c>
      <c r="B229" s="9" cm="1">
        <f t="array" ref="B229">IF('01_Input_Raw_Products'!M229&lt;&gt;"",'01_Input_Raw_Products'!M229,IFERROR(_xlfn.XLOOKUP('01_Input_Raw_Products'!F229,'10_Master_Gem_Types'!A:A,'10_Master_Gem_Types'!K:K),""))</f>
        <v>0</v>
      </c>
      <c r="C229" s="9">
        <f>'01_Input_Raw_Products'!B229</f>
        <v>0</v>
      </c>
      <c r="D229" s="9">
        <f>IF(C229="","",TEXT(I229,"0.00")&amp;" Ct "&amp;IF('01_Input_Raw_Products'!F229&lt;&gt;"",'01_Input_Raw_Products'!F229,'01_Input_Raw_Products'!D229)&amp;" "&amp;'01_Input_Raw_Products'!I229)</f>
        <v>0</v>
      </c>
      <c r="E229" s="9">
        <f>IF(C229="","",D229&amp;" | GemPundit")</f>
        <v>0</v>
      </c>
      <c r="F229" s="9" cm="1">
        <f t="array" ref="F229">IF('01_Input_Raw_Products'!X229&lt;&gt;"",'01_Input_Raw_Products'!X229,IFERROR(_xlfn.XLOOKUP('01_Input_Raw_Products'!F229,'10_Master_Gem_Types'!A:A,'10_Master_Gem_Types'!O:O),LOWER(SUBSTITUTE(IF('01_Input_Raw_Products'!F229&lt;&gt;"",'01_Input_Raw_Products'!F229,'01_Input_Raw_Products'!D229)," ","-"))))</f>
        <v>0</v>
      </c>
      <c r="G229" s="9">
        <f>'01_Input_Raw_Products'!C229</f>
        <v>0</v>
      </c>
      <c r="H229" s="9" cm="1">
        <f t="array" ref="H229">IF('01_Input_Raw_Products'!H229&lt;&gt;"",'01_Input_Raw_Products'!H229,IFERROR(_xlfn.XLOOKUP('01_Input_Raw_Products'!F229,'10_Master_Gem_Types'!A:A,'10_Master_Gem_Types'!D:D),""))</f>
        <v>0</v>
      </c>
      <c r="I229" s="7">
        <f>IF('01_Input_Raw_Products'!N229&lt;&gt;"",'01_Input_Raw_Products'!N229,IF('01_Input_Raw_Products'!O229&lt;&gt;"",'01_Input_Raw_Products'!O229*0.91,""))</f>
        <v>0</v>
      </c>
      <c r="J229" s="9" cm="1">
        <f t="array" ref="J229">IFERROR(_xlfn.XLOOKUP('01_Input_Raw_Products'!F229,'10_Master_Gem_Types'!A:A,'10_Master_Gem_Types'!N:N),"")</f>
        <v>0</v>
      </c>
      <c r="K229" s="9" cm="1">
        <f t="array" ref="K229">IF('01_Input_Raw_Products'!J229&lt;&gt;"",'01_Input_Raw_Products'!J229,IFERROR(_xlfn.XLOOKUP('01_Input_Raw_Products'!F229,'10_Master_Gem_Types'!A:A,'10_Master_Gem_Types'!E:E),""))</f>
        <v>0</v>
      </c>
      <c r="L229" s="9">
        <f>'01_Input_Raw_Products'!P229</f>
        <v>0</v>
      </c>
      <c r="M229" s="9" cm="1">
        <f t="array" ref="M229">IFERROR(_xlfn.XLOOKUP('01_Input_Raw_Products'!K229,'12_Color_Mapping'!A:A,'12_Color_Mapping'!B:B),IFERROR(_xlfn.XLOOKUP('01_Input_Raw_Products'!F229,'10_Master_Gem_Types'!A:A,'10_Master_Gem_Types'!F:F),""))</f>
        <v>0</v>
      </c>
      <c r="N229" s="9">
        <f>IF(C229="","",IF('01_Input_Raw_Products'!F229&lt;&gt;"",'01_Input_Raw_Products'!F229,'01_Input_Raw_Products'!D229))</f>
        <v>0</v>
      </c>
      <c r="O229" s="9">
        <f>IF(C229="","","Catalog Automation")</f>
        <v>0</v>
      </c>
      <c r="P229" s="9">
        <f>'01_Input_Raw_Products'!U229</f>
        <v>0</v>
      </c>
      <c r="Q229" s="7">
        <f>IF('01_Input_Raw_Products'!O229&lt;&gt;"",'01_Input_Raw_Products'!O229,IF('01_Input_Raw_Products'!N229&lt;&gt;"",'01_Input_Raw_Products'!N229*1.1,""))</f>
        <v>0</v>
      </c>
      <c r="R229" s="9">
        <f>'01_Input_Raw_Products'!S229</f>
        <v>0</v>
      </c>
      <c r="S229" s="9" cm="1">
        <f t="array" ref="S229">IFERROR(_xlfn.XLOOKUP('01_Input_Raw_Products'!F229,'10_Master_Gem_Types'!A:A,'10_Master_Gem_Types'!H:H),"")</f>
        <v>0</v>
      </c>
      <c r="T229" s="8">
        <f>'01_Input_Raw_Products'!Q229</f>
        <v>0</v>
      </c>
      <c r="U229" s="8">
        <f>'01_Input_Raw_Products'!R229</f>
        <v>0</v>
      </c>
      <c r="V229" s="7">
        <f>I229</f>
        <v>0</v>
      </c>
      <c r="W229" s="9" cm="1">
        <f t="array" ref="W229">IF('01_Input_Raw_Products'!G229&lt;&gt;"",'01_Input_Raw_Products'!G229,IFERROR(_xlfn.XLOOKUP('01_Input_Raw_Products'!F229,'10_Master_Gem_Types'!A:A,'10_Master_Gem_Types'!L:L),""))</f>
        <v>0</v>
      </c>
      <c r="X229" s="9" cm="1">
        <f t="array" ref="X229">IFERROR(_xlfn.XLOOKUP('01_Input_Raw_Products'!F229,'10_Master_Gem_Types'!A:A,'10_Master_Gem_Types'!J:J),"")</f>
        <v>0</v>
      </c>
      <c r="Y229" s="9" cm="1">
        <f t="array" ref="Y229">IFERROR(_xlfn.XLOOKUP('01_Input_Raw_Products'!F229,'10_Master_Gem_Types'!A:A,'10_Master_Gem_Types'!I:I),"")</f>
        <v>0</v>
      </c>
      <c r="Z229" s="9" cm="1">
        <f t="array" ref="Z229">IFERROR(_xlfn.XLOOKUP('01_Input_Raw_Products'!L229,'13_Certification_Stickers'!A:A,'13_Certification_Stickers'!C:C),"")</f>
        <v>0</v>
      </c>
      <c r="AA229" s="9" cm="1">
        <f t="array" ref="AA229">IFERROR(_xlfn.XLOOKUP('01_Input_Raw_Products'!S229,'14_Shipping_Rules'!A:A,'14_Shipping_Rules'!B:B),"")</f>
        <v>0</v>
      </c>
      <c r="AB229" s="9" cm="1">
        <f t="array" ref="AB229">IFERROR(_xlfn.XLOOKUP('01_Input_Raw_Products'!D229,'16_Astro_Flags'!A:A,'16_Astro_Flags'!B:B),"")</f>
        <v>0</v>
      </c>
      <c r="AC229" s="9">
        <f>IF(C229="","","Catalog, Search")</f>
        <v>0</v>
      </c>
      <c r="AD229" s="9">
        <f>IF(C229="","",IF(OR(F229="",J229="",M229="",S229="",Y229=""),"Manual Review","Ready"))</f>
        <v>0</v>
      </c>
      <c r="AE229" s="9">
        <f>IF(C229="","",TEXTJOIN("; ",TRUE,IF(F229="","Missing url_key",""),IF(J229="","Missing classification",""),IF(M229="","Missing j_colour",""),IF(S229="","Missing hsn_code",""),IF(Y229="","Missing tax_class_id","")))</f>
        <v>0</v>
      </c>
    </row>
    <row r="230" spans="1:31">
      <c r="A230" s="9">
        <f>IF('01_Input_Raw_Products'!B230&lt;&gt;"",20,"")</f>
        <v>0</v>
      </c>
      <c r="B230" s="9" cm="1">
        <f t="array" ref="B230">IF('01_Input_Raw_Products'!M230&lt;&gt;"",'01_Input_Raw_Products'!M230,IFERROR(_xlfn.XLOOKUP('01_Input_Raw_Products'!F230,'10_Master_Gem_Types'!A:A,'10_Master_Gem_Types'!K:K),""))</f>
        <v>0</v>
      </c>
      <c r="C230" s="9">
        <f>'01_Input_Raw_Products'!B230</f>
        <v>0</v>
      </c>
      <c r="D230" s="9">
        <f>IF(C230="","",TEXT(I230,"0.00")&amp;" Ct "&amp;IF('01_Input_Raw_Products'!F230&lt;&gt;"",'01_Input_Raw_Products'!F230,'01_Input_Raw_Products'!D230)&amp;" "&amp;'01_Input_Raw_Products'!I230)</f>
        <v>0</v>
      </c>
      <c r="E230" s="9">
        <f>IF(C230="","",D230&amp;" | GemPundit")</f>
        <v>0</v>
      </c>
      <c r="F230" s="9" cm="1">
        <f t="array" ref="F230">IF('01_Input_Raw_Products'!X230&lt;&gt;"",'01_Input_Raw_Products'!X230,IFERROR(_xlfn.XLOOKUP('01_Input_Raw_Products'!F230,'10_Master_Gem_Types'!A:A,'10_Master_Gem_Types'!O:O),LOWER(SUBSTITUTE(IF('01_Input_Raw_Products'!F230&lt;&gt;"",'01_Input_Raw_Products'!F230,'01_Input_Raw_Products'!D230)," ","-"))))</f>
        <v>0</v>
      </c>
      <c r="G230" s="9">
        <f>'01_Input_Raw_Products'!C230</f>
        <v>0</v>
      </c>
      <c r="H230" s="9" cm="1">
        <f t="array" ref="H230">IF('01_Input_Raw_Products'!H230&lt;&gt;"",'01_Input_Raw_Products'!H230,IFERROR(_xlfn.XLOOKUP('01_Input_Raw_Products'!F230,'10_Master_Gem_Types'!A:A,'10_Master_Gem_Types'!D:D),""))</f>
        <v>0</v>
      </c>
      <c r="I230" s="7">
        <f>IF('01_Input_Raw_Products'!N230&lt;&gt;"",'01_Input_Raw_Products'!N230,IF('01_Input_Raw_Products'!O230&lt;&gt;"",'01_Input_Raw_Products'!O230*0.91,""))</f>
        <v>0</v>
      </c>
      <c r="J230" s="9" cm="1">
        <f t="array" ref="J230">IFERROR(_xlfn.XLOOKUP('01_Input_Raw_Products'!F230,'10_Master_Gem_Types'!A:A,'10_Master_Gem_Types'!N:N),"")</f>
        <v>0</v>
      </c>
      <c r="K230" s="9" cm="1">
        <f t="array" ref="K230">IF('01_Input_Raw_Products'!J230&lt;&gt;"",'01_Input_Raw_Products'!J230,IFERROR(_xlfn.XLOOKUP('01_Input_Raw_Products'!F230,'10_Master_Gem_Types'!A:A,'10_Master_Gem_Types'!E:E),""))</f>
        <v>0</v>
      </c>
      <c r="L230" s="9">
        <f>'01_Input_Raw_Products'!P230</f>
        <v>0</v>
      </c>
      <c r="M230" s="9" cm="1">
        <f t="array" ref="M230">IFERROR(_xlfn.XLOOKUP('01_Input_Raw_Products'!K230,'12_Color_Mapping'!A:A,'12_Color_Mapping'!B:B),IFERROR(_xlfn.XLOOKUP('01_Input_Raw_Products'!F230,'10_Master_Gem_Types'!A:A,'10_Master_Gem_Types'!F:F),""))</f>
        <v>0</v>
      </c>
      <c r="N230" s="9">
        <f>IF(C230="","",IF('01_Input_Raw_Products'!F230&lt;&gt;"",'01_Input_Raw_Products'!F230,'01_Input_Raw_Products'!D230))</f>
        <v>0</v>
      </c>
      <c r="O230" s="9">
        <f>IF(C230="","","Catalog Automation")</f>
        <v>0</v>
      </c>
      <c r="P230" s="9">
        <f>'01_Input_Raw_Products'!U230</f>
        <v>0</v>
      </c>
      <c r="Q230" s="7">
        <f>IF('01_Input_Raw_Products'!O230&lt;&gt;"",'01_Input_Raw_Products'!O230,IF('01_Input_Raw_Products'!N230&lt;&gt;"",'01_Input_Raw_Products'!N230*1.1,""))</f>
        <v>0</v>
      </c>
      <c r="R230" s="9">
        <f>'01_Input_Raw_Products'!S230</f>
        <v>0</v>
      </c>
      <c r="S230" s="9" cm="1">
        <f t="array" ref="S230">IFERROR(_xlfn.XLOOKUP('01_Input_Raw_Products'!F230,'10_Master_Gem_Types'!A:A,'10_Master_Gem_Types'!H:H),"")</f>
        <v>0</v>
      </c>
      <c r="T230" s="8">
        <f>'01_Input_Raw_Products'!Q230</f>
        <v>0</v>
      </c>
      <c r="U230" s="8">
        <f>'01_Input_Raw_Products'!R230</f>
        <v>0</v>
      </c>
      <c r="V230" s="7">
        <f>I230</f>
        <v>0</v>
      </c>
      <c r="W230" s="9" cm="1">
        <f t="array" ref="W230">IF('01_Input_Raw_Products'!G230&lt;&gt;"",'01_Input_Raw_Products'!G230,IFERROR(_xlfn.XLOOKUP('01_Input_Raw_Products'!F230,'10_Master_Gem_Types'!A:A,'10_Master_Gem_Types'!L:L),""))</f>
        <v>0</v>
      </c>
      <c r="X230" s="9" cm="1">
        <f t="array" ref="X230">IFERROR(_xlfn.XLOOKUP('01_Input_Raw_Products'!F230,'10_Master_Gem_Types'!A:A,'10_Master_Gem_Types'!J:J),"")</f>
        <v>0</v>
      </c>
      <c r="Y230" s="9" cm="1">
        <f t="array" ref="Y230">IFERROR(_xlfn.XLOOKUP('01_Input_Raw_Products'!F230,'10_Master_Gem_Types'!A:A,'10_Master_Gem_Types'!I:I),"")</f>
        <v>0</v>
      </c>
      <c r="Z230" s="9" cm="1">
        <f t="array" ref="Z230">IFERROR(_xlfn.XLOOKUP('01_Input_Raw_Products'!L230,'13_Certification_Stickers'!A:A,'13_Certification_Stickers'!C:C),"")</f>
        <v>0</v>
      </c>
      <c r="AA230" s="9" cm="1">
        <f t="array" ref="AA230">IFERROR(_xlfn.XLOOKUP('01_Input_Raw_Products'!S230,'14_Shipping_Rules'!A:A,'14_Shipping_Rules'!B:B),"")</f>
        <v>0</v>
      </c>
      <c r="AB230" s="9" cm="1">
        <f t="array" ref="AB230">IFERROR(_xlfn.XLOOKUP('01_Input_Raw_Products'!D230,'16_Astro_Flags'!A:A,'16_Astro_Flags'!B:B),"")</f>
        <v>0</v>
      </c>
      <c r="AC230" s="9">
        <f>IF(C230="","","Catalog, Search")</f>
        <v>0</v>
      </c>
      <c r="AD230" s="9">
        <f>IF(C230="","",IF(OR(F230="",J230="",M230="",S230="",Y230=""),"Manual Review","Ready"))</f>
        <v>0</v>
      </c>
      <c r="AE230" s="9">
        <f>IF(C230="","",TEXTJOIN("; ",TRUE,IF(F230="","Missing url_key",""),IF(J230="","Missing classification",""),IF(M230="","Missing j_colour",""),IF(S230="","Missing hsn_code",""),IF(Y230="","Missing tax_class_id","")))</f>
        <v>0</v>
      </c>
    </row>
    <row r="231" spans="1:31">
      <c r="A231" s="9">
        <f>IF('01_Input_Raw_Products'!B231&lt;&gt;"",20,"")</f>
        <v>0</v>
      </c>
      <c r="B231" s="9" cm="1">
        <f t="array" ref="B231">IF('01_Input_Raw_Products'!M231&lt;&gt;"",'01_Input_Raw_Products'!M231,IFERROR(_xlfn.XLOOKUP('01_Input_Raw_Products'!F231,'10_Master_Gem_Types'!A:A,'10_Master_Gem_Types'!K:K),""))</f>
        <v>0</v>
      </c>
      <c r="C231" s="9">
        <f>'01_Input_Raw_Products'!B231</f>
        <v>0</v>
      </c>
      <c r="D231" s="9">
        <f>IF(C231="","",TEXT(I231,"0.00")&amp;" Ct "&amp;IF('01_Input_Raw_Products'!F231&lt;&gt;"",'01_Input_Raw_Products'!F231,'01_Input_Raw_Products'!D231)&amp;" "&amp;'01_Input_Raw_Products'!I231)</f>
        <v>0</v>
      </c>
      <c r="E231" s="9">
        <f>IF(C231="","",D231&amp;" | GemPundit")</f>
        <v>0</v>
      </c>
      <c r="F231" s="9" cm="1">
        <f t="array" ref="F231">IF('01_Input_Raw_Products'!X231&lt;&gt;"",'01_Input_Raw_Products'!X231,IFERROR(_xlfn.XLOOKUP('01_Input_Raw_Products'!F231,'10_Master_Gem_Types'!A:A,'10_Master_Gem_Types'!O:O),LOWER(SUBSTITUTE(IF('01_Input_Raw_Products'!F231&lt;&gt;"",'01_Input_Raw_Products'!F231,'01_Input_Raw_Products'!D231)," ","-"))))</f>
        <v>0</v>
      </c>
      <c r="G231" s="9">
        <f>'01_Input_Raw_Products'!C231</f>
        <v>0</v>
      </c>
      <c r="H231" s="9" cm="1">
        <f t="array" ref="H231">IF('01_Input_Raw_Products'!H231&lt;&gt;"",'01_Input_Raw_Products'!H231,IFERROR(_xlfn.XLOOKUP('01_Input_Raw_Products'!F231,'10_Master_Gem_Types'!A:A,'10_Master_Gem_Types'!D:D),""))</f>
        <v>0</v>
      </c>
      <c r="I231" s="7">
        <f>IF('01_Input_Raw_Products'!N231&lt;&gt;"",'01_Input_Raw_Products'!N231,IF('01_Input_Raw_Products'!O231&lt;&gt;"",'01_Input_Raw_Products'!O231*0.91,""))</f>
        <v>0</v>
      </c>
      <c r="J231" s="9" cm="1">
        <f t="array" ref="J231">IFERROR(_xlfn.XLOOKUP('01_Input_Raw_Products'!F231,'10_Master_Gem_Types'!A:A,'10_Master_Gem_Types'!N:N),"")</f>
        <v>0</v>
      </c>
      <c r="K231" s="9" cm="1">
        <f t="array" ref="K231">IF('01_Input_Raw_Products'!J231&lt;&gt;"",'01_Input_Raw_Products'!J231,IFERROR(_xlfn.XLOOKUP('01_Input_Raw_Products'!F231,'10_Master_Gem_Types'!A:A,'10_Master_Gem_Types'!E:E),""))</f>
        <v>0</v>
      </c>
      <c r="L231" s="9">
        <f>'01_Input_Raw_Products'!P231</f>
        <v>0</v>
      </c>
      <c r="M231" s="9" cm="1">
        <f t="array" ref="M231">IFERROR(_xlfn.XLOOKUP('01_Input_Raw_Products'!K231,'12_Color_Mapping'!A:A,'12_Color_Mapping'!B:B),IFERROR(_xlfn.XLOOKUP('01_Input_Raw_Products'!F231,'10_Master_Gem_Types'!A:A,'10_Master_Gem_Types'!F:F),""))</f>
        <v>0</v>
      </c>
      <c r="N231" s="9">
        <f>IF(C231="","",IF('01_Input_Raw_Products'!F231&lt;&gt;"",'01_Input_Raw_Products'!F231,'01_Input_Raw_Products'!D231))</f>
        <v>0</v>
      </c>
      <c r="O231" s="9">
        <f>IF(C231="","","Catalog Automation")</f>
        <v>0</v>
      </c>
      <c r="P231" s="9">
        <f>'01_Input_Raw_Products'!U231</f>
        <v>0</v>
      </c>
      <c r="Q231" s="7">
        <f>IF('01_Input_Raw_Products'!O231&lt;&gt;"",'01_Input_Raw_Products'!O231,IF('01_Input_Raw_Products'!N231&lt;&gt;"",'01_Input_Raw_Products'!N231*1.1,""))</f>
        <v>0</v>
      </c>
      <c r="R231" s="9">
        <f>'01_Input_Raw_Products'!S231</f>
        <v>0</v>
      </c>
      <c r="S231" s="9" cm="1">
        <f t="array" ref="S231">IFERROR(_xlfn.XLOOKUP('01_Input_Raw_Products'!F231,'10_Master_Gem_Types'!A:A,'10_Master_Gem_Types'!H:H),"")</f>
        <v>0</v>
      </c>
      <c r="T231" s="8">
        <f>'01_Input_Raw_Products'!Q231</f>
        <v>0</v>
      </c>
      <c r="U231" s="8">
        <f>'01_Input_Raw_Products'!R231</f>
        <v>0</v>
      </c>
      <c r="V231" s="7">
        <f>I231</f>
        <v>0</v>
      </c>
      <c r="W231" s="9" cm="1">
        <f t="array" ref="W231">IF('01_Input_Raw_Products'!G231&lt;&gt;"",'01_Input_Raw_Products'!G231,IFERROR(_xlfn.XLOOKUP('01_Input_Raw_Products'!F231,'10_Master_Gem_Types'!A:A,'10_Master_Gem_Types'!L:L),""))</f>
        <v>0</v>
      </c>
      <c r="X231" s="9" cm="1">
        <f t="array" ref="X231">IFERROR(_xlfn.XLOOKUP('01_Input_Raw_Products'!F231,'10_Master_Gem_Types'!A:A,'10_Master_Gem_Types'!J:J),"")</f>
        <v>0</v>
      </c>
      <c r="Y231" s="9" cm="1">
        <f t="array" ref="Y231">IFERROR(_xlfn.XLOOKUP('01_Input_Raw_Products'!F231,'10_Master_Gem_Types'!A:A,'10_Master_Gem_Types'!I:I),"")</f>
        <v>0</v>
      </c>
      <c r="Z231" s="9" cm="1">
        <f t="array" ref="Z231">IFERROR(_xlfn.XLOOKUP('01_Input_Raw_Products'!L231,'13_Certification_Stickers'!A:A,'13_Certification_Stickers'!C:C),"")</f>
        <v>0</v>
      </c>
      <c r="AA231" s="9" cm="1">
        <f t="array" ref="AA231">IFERROR(_xlfn.XLOOKUP('01_Input_Raw_Products'!S231,'14_Shipping_Rules'!A:A,'14_Shipping_Rules'!B:B),"")</f>
        <v>0</v>
      </c>
      <c r="AB231" s="9" cm="1">
        <f t="array" ref="AB231">IFERROR(_xlfn.XLOOKUP('01_Input_Raw_Products'!D231,'16_Astro_Flags'!A:A,'16_Astro_Flags'!B:B),"")</f>
        <v>0</v>
      </c>
      <c r="AC231" s="9">
        <f>IF(C231="","","Catalog, Search")</f>
        <v>0</v>
      </c>
      <c r="AD231" s="9">
        <f>IF(C231="","",IF(OR(F231="",J231="",M231="",S231="",Y231=""),"Manual Review","Ready"))</f>
        <v>0</v>
      </c>
      <c r="AE231" s="9">
        <f>IF(C231="","",TEXTJOIN("; ",TRUE,IF(F231="","Missing url_key",""),IF(J231="","Missing classification",""),IF(M231="","Missing j_colour",""),IF(S231="","Missing hsn_code",""),IF(Y231="","Missing tax_class_id","")))</f>
        <v>0</v>
      </c>
    </row>
    <row r="232" spans="1:31">
      <c r="A232" s="9">
        <f>IF('01_Input_Raw_Products'!B232&lt;&gt;"",20,"")</f>
        <v>0</v>
      </c>
      <c r="B232" s="9" cm="1">
        <f t="array" ref="B232">IF('01_Input_Raw_Products'!M232&lt;&gt;"",'01_Input_Raw_Products'!M232,IFERROR(_xlfn.XLOOKUP('01_Input_Raw_Products'!F232,'10_Master_Gem_Types'!A:A,'10_Master_Gem_Types'!K:K),""))</f>
        <v>0</v>
      </c>
      <c r="C232" s="9">
        <f>'01_Input_Raw_Products'!B232</f>
        <v>0</v>
      </c>
      <c r="D232" s="9">
        <f>IF(C232="","",TEXT(I232,"0.00")&amp;" Ct "&amp;IF('01_Input_Raw_Products'!F232&lt;&gt;"",'01_Input_Raw_Products'!F232,'01_Input_Raw_Products'!D232)&amp;" "&amp;'01_Input_Raw_Products'!I232)</f>
        <v>0</v>
      </c>
      <c r="E232" s="9">
        <f>IF(C232="","",D232&amp;" | GemPundit")</f>
        <v>0</v>
      </c>
      <c r="F232" s="9" cm="1">
        <f t="array" ref="F232">IF('01_Input_Raw_Products'!X232&lt;&gt;"",'01_Input_Raw_Products'!X232,IFERROR(_xlfn.XLOOKUP('01_Input_Raw_Products'!F232,'10_Master_Gem_Types'!A:A,'10_Master_Gem_Types'!O:O),LOWER(SUBSTITUTE(IF('01_Input_Raw_Products'!F232&lt;&gt;"",'01_Input_Raw_Products'!F232,'01_Input_Raw_Products'!D232)," ","-"))))</f>
        <v>0</v>
      </c>
      <c r="G232" s="9">
        <f>'01_Input_Raw_Products'!C232</f>
        <v>0</v>
      </c>
      <c r="H232" s="9" cm="1">
        <f t="array" ref="H232">IF('01_Input_Raw_Products'!H232&lt;&gt;"",'01_Input_Raw_Products'!H232,IFERROR(_xlfn.XLOOKUP('01_Input_Raw_Products'!F232,'10_Master_Gem_Types'!A:A,'10_Master_Gem_Types'!D:D),""))</f>
        <v>0</v>
      </c>
      <c r="I232" s="7">
        <f>IF('01_Input_Raw_Products'!N232&lt;&gt;"",'01_Input_Raw_Products'!N232,IF('01_Input_Raw_Products'!O232&lt;&gt;"",'01_Input_Raw_Products'!O232*0.91,""))</f>
        <v>0</v>
      </c>
      <c r="J232" s="9" cm="1">
        <f t="array" ref="J232">IFERROR(_xlfn.XLOOKUP('01_Input_Raw_Products'!F232,'10_Master_Gem_Types'!A:A,'10_Master_Gem_Types'!N:N),"")</f>
        <v>0</v>
      </c>
      <c r="K232" s="9" cm="1">
        <f t="array" ref="K232">IF('01_Input_Raw_Products'!J232&lt;&gt;"",'01_Input_Raw_Products'!J232,IFERROR(_xlfn.XLOOKUP('01_Input_Raw_Products'!F232,'10_Master_Gem_Types'!A:A,'10_Master_Gem_Types'!E:E),""))</f>
        <v>0</v>
      </c>
      <c r="L232" s="9">
        <f>'01_Input_Raw_Products'!P232</f>
        <v>0</v>
      </c>
      <c r="M232" s="9" cm="1">
        <f t="array" ref="M232">IFERROR(_xlfn.XLOOKUP('01_Input_Raw_Products'!K232,'12_Color_Mapping'!A:A,'12_Color_Mapping'!B:B),IFERROR(_xlfn.XLOOKUP('01_Input_Raw_Products'!F232,'10_Master_Gem_Types'!A:A,'10_Master_Gem_Types'!F:F),""))</f>
        <v>0</v>
      </c>
      <c r="N232" s="9">
        <f>IF(C232="","",IF('01_Input_Raw_Products'!F232&lt;&gt;"",'01_Input_Raw_Products'!F232,'01_Input_Raw_Products'!D232))</f>
        <v>0</v>
      </c>
      <c r="O232" s="9">
        <f>IF(C232="","","Catalog Automation")</f>
        <v>0</v>
      </c>
      <c r="P232" s="9">
        <f>'01_Input_Raw_Products'!U232</f>
        <v>0</v>
      </c>
      <c r="Q232" s="7">
        <f>IF('01_Input_Raw_Products'!O232&lt;&gt;"",'01_Input_Raw_Products'!O232,IF('01_Input_Raw_Products'!N232&lt;&gt;"",'01_Input_Raw_Products'!N232*1.1,""))</f>
        <v>0</v>
      </c>
      <c r="R232" s="9">
        <f>'01_Input_Raw_Products'!S232</f>
        <v>0</v>
      </c>
      <c r="S232" s="9" cm="1">
        <f t="array" ref="S232">IFERROR(_xlfn.XLOOKUP('01_Input_Raw_Products'!F232,'10_Master_Gem_Types'!A:A,'10_Master_Gem_Types'!H:H),"")</f>
        <v>0</v>
      </c>
      <c r="T232" s="8">
        <f>'01_Input_Raw_Products'!Q232</f>
        <v>0</v>
      </c>
      <c r="U232" s="8">
        <f>'01_Input_Raw_Products'!R232</f>
        <v>0</v>
      </c>
      <c r="V232" s="7">
        <f>I232</f>
        <v>0</v>
      </c>
      <c r="W232" s="9" cm="1">
        <f t="array" ref="W232">IF('01_Input_Raw_Products'!G232&lt;&gt;"",'01_Input_Raw_Products'!G232,IFERROR(_xlfn.XLOOKUP('01_Input_Raw_Products'!F232,'10_Master_Gem_Types'!A:A,'10_Master_Gem_Types'!L:L),""))</f>
        <v>0</v>
      </c>
      <c r="X232" s="9" cm="1">
        <f t="array" ref="X232">IFERROR(_xlfn.XLOOKUP('01_Input_Raw_Products'!F232,'10_Master_Gem_Types'!A:A,'10_Master_Gem_Types'!J:J),"")</f>
        <v>0</v>
      </c>
      <c r="Y232" s="9" cm="1">
        <f t="array" ref="Y232">IFERROR(_xlfn.XLOOKUP('01_Input_Raw_Products'!F232,'10_Master_Gem_Types'!A:A,'10_Master_Gem_Types'!I:I),"")</f>
        <v>0</v>
      </c>
      <c r="Z232" s="9" cm="1">
        <f t="array" ref="Z232">IFERROR(_xlfn.XLOOKUP('01_Input_Raw_Products'!L232,'13_Certification_Stickers'!A:A,'13_Certification_Stickers'!C:C),"")</f>
        <v>0</v>
      </c>
      <c r="AA232" s="9" cm="1">
        <f t="array" ref="AA232">IFERROR(_xlfn.XLOOKUP('01_Input_Raw_Products'!S232,'14_Shipping_Rules'!A:A,'14_Shipping_Rules'!B:B),"")</f>
        <v>0</v>
      </c>
      <c r="AB232" s="9" cm="1">
        <f t="array" ref="AB232">IFERROR(_xlfn.XLOOKUP('01_Input_Raw_Products'!D232,'16_Astro_Flags'!A:A,'16_Astro_Flags'!B:B),"")</f>
        <v>0</v>
      </c>
      <c r="AC232" s="9">
        <f>IF(C232="","","Catalog, Search")</f>
        <v>0</v>
      </c>
      <c r="AD232" s="9">
        <f>IF(C232="","",IF(OR(F232="",J232="",M232="",S232="",Y232=""),"Manual Review","Ready"))</f>
        <v>0</v>
      </c>
      <c r="AE232" s="9">
        <f>IF(C232="","",TEXTJOIN("; ",TRUE,IF(F232="","Missing url_key",""),IF(J232="","Missing classification",""),IF(M232="","Missing j_colour",""),IF(S232="","Missing hsn_code",""),IF(Y232="","Missing tax_class_id","")))</f>
        <v>0</v>
      </c>
    </row>
    <row r="233" spans="1:31">
      <c r="A233" s="9">
        <f>IF('01_Input_Raw_Products'!B233&lt;&gt;"",20,"")</f>
        <v>0</v>
      </c>
      <c r="B233" s="9" cm="1">
        <f t="array" ref="B233">IF('01_Input_Raw_Products'!M233&lt;&gt;"",'01_Input_Raw_Products'!M233,IFERROR(_xlfn.XLOOKUP('01_Input_Raw_Products'!F233,'10_Master_Gem_Types'!A:A,'10_Master_Gem_Types'!K:K),""))</f>
        <v>0</v>
      </c>
      <c r="C233" s="9">
        <f>'01_Input_Raw_Products'!B233</f>
        <v>0</v>
      </c>
      <c r="D233" s="9">
        <f>IF(C233="","",TEXT(I233,"0.00")&amp;" Ct "&amp;IF('01_Input_Raw_Products'!F233&lt;&gt;"",'01_Input_Raw_Products'!F233,'01_Input_Raw_Products'!D233)&amp;" "&amp;'01_Input_Raw_Products'!I233)</f>
        <v>0</v>
      </c>
      <c r="E233" s="9">
        <f>IF(C233="","",D233&amp;" | GemPundit")</f>
        <v>0</v>
      </c>
      <c r="F233" s="9" cm="1">
        <f t="array" ref="F233">IF('01_Input_Raw_Products'!X233&lt;&gt;"",'01_Input_Raw_Products'!X233,IFERROR(_xlfn.XLOOKUP('01_Input_Raw_Products'!F233,'10_Master_Gem_Types'!A:A,'10_Master_Gem_Types'!O:O),LOWER(SUBSTITUTE(IF('01_Input_Raw_Products'!F233&lt;&gt;"",'01_Input_Raw_Products'!F233,'01_Input_Raw_Products'!D233)," ","-"))))</f>
        <v>0</v>
      </c>
      <c r="G233" s="9">
        <f>'01_Input_Raw_Products'!C233</f>
        <v>0</v>
      </c>
      <c r="H233" s="9" cm="1">
        <f t="array" ref="H233">IF('01_Input_Raw_Products'!H233&lt;&gt;"",'01_Input_Raw_Products'!H233,IFERROR(_xlfn.XLOOKUP('01_Input_Raw_Products'!F233,'10_Master_Gem_Types'!A:A,'10_Master_Gem_Types'!D:D),""))</f>
        <v>0</v>
      </c>
      <c r="I233" s="7">
        <f>IF('01_Input_Raw_Products'!N233&lt;&gt;"",'01_Input_Raw_Products'!N233,IF('01_Input_Raw_Products'!O233&lt;&gt;"",'01_Input_Raw_Products'!O233*0.91,""))</f>
        <v>0</v>
      </c>
      <c r="J233" s="9" cm="1">
        <f t="array" ref="J233">IFERROR(_xlfn.XLOOKUP('01_Input_Raw_Products'!F233,'10_Master_Gem_Types'!A:A,'10_Master_Gem_Types'!N:N),"")</f>
        <v>0</v>
      </c>
      <c r="K233" s="9" cm="1">
        <f t="array" ref="K233">IF('01_Input_Raw_Products'!J233&lt;&gt;"",'01_Input_Raw_Products'!J233,IFERROR(_xlfn.XLOOKUP('01_Input_Raw_Products'!F233,'10_Master_Gem_Types'!A:A,'10_Master_Gem_Types'!E:E),""))</f>
        <v>0</v>
      </c>
      <c r="L233" s="9">
        <f>'01_Input_Raw_Products'!P233</f>
        <v>0</v>
      </c>
      <c r="M233" s="9" cm="1">
        <f t="array" ref="M233">IFERROR(_xlfn.XLOOKUP('01_Input_Raw_Products'!K233,'12_Color_Mapping'!A:A,'12_Color_Mapping'!B:B),IFERROR(_xlfn.XLOOKUP('01_Input_Raw_Products'!F233,'10_Master_Gem_Types'!A:A,'10_Master_Gem_Types'!F:F),""))</f>
        <v>0</v>
      </c>
      <c r="N233" s="9">
        <f>IF(C233="","",IF('01_Input_Raw_Products'!F233&lt;&gt;"",'01_Input_Raw_Products'!F233,'01_Input_Raw_Products'!D233))</f>
        <v>0</v>
      </c>
      <c r="O233" s="9">
        <f>IF(C233="","","Catalog Automation")</f>
        <v>0</v>
      </c>
      <c r="P233" s="9">
        <f>'01_Input_Raw_Products'!U233</f>
        <v>0</v>
      </c>
      <c r="Q233" s="7">
        <f>IF('01_Input_Raw_Products'!O233&lt;&gt;"",'01_Input_Raw_Products'!O233,IF('01_Input_Raw_Products'!N233&lt;&gt;"",'01_Input_Raw_Products'!N233*1.1,""))</f>
        <v>0</v>
      </c>
      <c r="R233" s="9">
        <f>'01_Input_Raw_Products'!S233</f>
        <v>0</v>
      </c>
      <c r="S233" s="9" cm="1">
        <f t="array" ref="S233">IFERROR(_xlfn.XLOOKUP('01_Input_Raw_Products'!F233,'10_Master_Gem_Types'!A:A,'10_Master_Gem_Types'!H:H),"")</f>
        <v>0</v>
      </c>
      <c r="T233" s="8">
        <f>'01_Input_Raw_Products'!Q233</f>
        <v>0</v>
      </c>
      <c r="U233" s="8">
        <f>'01_Input_Raw_Products'!R233</f>
        <v>0</v>
      </c>
      <c r="V233" s="7">
        <f>I233</f>
        <v>0</v>
      </c>
      <c r="W233" s="9" cm="1">
        <f t="array" ref="W233">IF('01_Input_Raw_Products'!G233&lt;&gt;"",'01_Input_Raw_Products'!G233,IFERROR(_xlfn.XLOOKUP('01_Input_Raw_Products'!F233,'10_Master_Gem_Types'!A:A,'10_Master_Gem_Types'!L:L),""))</f>
        <v>0</v>
      </c>
      <c r="X233" s="9" cm="1">
        <f t="array" ref="X233">IFERROR(_xlfn.XLOOKUP('01_Input_Raw_Products'!F233,'10_Master_Gem_Types'!A:A,'10_Master_Gem_Types'!J:J),"")</f>
        <v>0</v>
      </c>
      <c r="Y233" s="9" cm="1">
        <f t="array" ref="Y233">IFERROR(_xlfn.XLOOKUP('01_Input_Raw_Products'!F233,'10_Master_Gem_Types'!A:A,'10_Master_Gem_Types'!I:I),"")</f>
        <v>0</v>
      </c>
      <c r="Z233" s="9" cm="1">
        <f t="array" ref="Z233">IFERROR(_xlfn.XLOOKUP('01_Input_Raw_Products'!L233,'13_Certification_Stickers'!A:A,'13_Certification_Stickers'!C:C),"")</f>
        <v>0</v>
      </c>
      <c r="AA233" s="9" cm="1">
        <f t="array" ref="AA233">IFERROR(_xlfn.XLOOKUP('01_Input_Raw_Products'!S233,'14_Shipping_Rules'!A:A,'14_Shipping_Rules'!B:B),"")</f>
        <v>0</v>
      </c>
      <c r="AB233" s="9" cm="1">
        <f t="array" ref="AB233">IFERROR(_xlfn.XLOOKUP('01_Input_Raw_Products'!D233,'16_Astro_Flags'!A:A,'16_Astro_Flags'!B:B),"")</f>
        <v>0</v>
      </c>
      <c r="AC233" s="9">
        <f>IF(C233="","","Catalog, Search")</f>
        <v>0</v>
      </c>
      <c r="AD233" s="9">
        <f>IF(C233="","",IF(OR(F233="",J233="",M233="",S233="",Y233=""),"Manual Review","Ready"))</f>
        <v>0</v>
      </c>
      <c r="AE233" s="9">
        <f>IF(C233="","",TEXTJOIN("; ",TRUE,IF(F233="","Missing url_key",""),IF(J233="","Missing classification",""),IF(M233="","Missing j_colour",""),IF(S233="","Missing hsn_code",""),IF(Y233="","Missing tax_class_id","")))</f>
        <v>0</v>
      </c>
    </row>
    <row r="234" spans="1:31">
      <c r="A234" s="9">
        <f>IF('01_Input_Raw_Products'!B234&lt;&gt;"",20,"")</f>
        <v>0</v>
      </c>
      <c r="B234" s="9" cm="1">
        <f t="array" ref="B234">IF('01_Input_Raw_Products'!M234&lt;&gt;"",'01_Input_Raw_Products'!M234,IFERROR(_xlfn.XLOOKUP('01_Input_Raw_Products'!F234,'10_Master_Gem_Types'!A:A,'10_Master_Gem_Types'!K:K),""))</f>
        <v>0</v>
      </c>
      <c r="C234" s="9">
        <f>'01_Input_Raw_Products'!B234</f>
        <v>0</v>
      </c>
      <c r="D234" s="9">
        <f>IF(C234="","",TEXT(I234,"0.00")&amp;" Ct "&amp;IF('01_Input_Raw_Products'!F234&lt;&gt;"",'01_Input_Raw_Products'!F234,'01_Input_Raw_Products'!D234)&amp;" "&amp;'01_Input_Raw_Products'!I234)</f>
        <v>0</v>
      </c>
      <c r="E234" s="9">
        <f>IF(C234="","",D234&amp;" | GemPundit")</f>
        <v>0</v>
      </c>
      <c r="F234" s="9" cm="1">
        <f t="array" ref="F234">IF('01_Input_Raw_Products'!X234&lt;&gt;"",'01_Input_Raw_Products'!X234,IFERROR(_xlfn.XLOOKUP('01_Input_Raw_Products'!F234,'10_Master_Gem_Types'!A:A,'10_Master_Gem_Types'!O:O),LOWER(SUBSTITUTE(IF('01_Input_Raw_Products'!F234&lt;&gt;"",'01_Input_Raw_Products'!F234,'01_Input_Raw_Products'!D234)," ","-"))))</f>
        <v>0</v>
      </c>
      <c r="G234" s="9">
        <f>'01_Input_Raw_Products'!C234</f>
        <v>0</v>
      </c>
      <c r="H234" s="9" cm="1">
        <f t="array" ref="H234">IF('01_Input_Raw_Products'!H234&lt;&gt;"",'01_Input_Raw_Products'!H234,IFERROR(_xlfn.XLOOKUP('01_Input_Raw_Products'!F234,'10_Master_Gem_Types'!A:A,'10_Master_Gem_Types'!D:D),""))</f>
        <v>0</v>
      </c>
      <c r="I234" s="7">
        <f>IF('01_Input_Raw_Products'!N234&lt;&gt;"",'01_Input_Raw_Products'!N234,IF('01_Input_Raw_Products'!O234&lt;&gt;"",'01_Input_Raw_Products'!O234*0.91,""))</f>
        <v>0</v>
      </c>
      <c r="J234" s="9" cm="1">
        <f t="array" ref="J234">IFERROR(_xlfn.XLOOKUP('01_Input_Raw_Products'!F234,'10_Master_Gem_Types'!A:A,'10_Master_Gem_Types'!N:N),"")</f>
        <v>0</v>
      </c>
      <c r="K234" s="9" cm="1">
        <f t="array" ref="K234">IF('01_Input_Raw_Products'!J234&lt;&gt;"",'01_Input_Raw_Products'!J234,IFERROR(_xlfn.XLOOKUP('01_Input_Raw_Products'!F234,'10_Master_Gem_Types'!A:A,'10_Master_Gem_Types'!E:E),""))</f>
        <v>0</v>
      </c>
      <c r="L234" s="9">
        <f>'01_Input_Raw_Products'!P234</f>
        <v>0</v>
      </c>
      <c r="M234" s="9" cm="1">
        <f t="array" ref="M234">IFERROR(_xlfn.XLOOKUP('01_Input_Raw_Products'!K234,'12_Color_Mapping'!A:A,'12_Color_Mapping'!B:B),IFERROR(_xlfn.XLOOKUP('01_Input_Raw_Products'!F234,'10_Master_Gem_Types'!A:A,'10_Master_Gem_Types'!F:F),""))</f>
        <v>0</v>
      </c>
      <c r="N234" s="9">
        <f>IF(C234="","",IF('01_Input_Raw_Products'!F234&lt;&gt;"",'01_Input_Raw_Products'!F234,'01_Input_Raw_Products'!D234))</f>
        <v>0</v>
      </c>
      <c r="O234" s="9">
        <f>IF(C234="","","Catalog Automation")</f>
        <v>0</v>
      </c>
      <c r="P234" s="9">
        <f>'01_Input_Raw_Products'!U234</f>
        <v>0</v>
      </c>
      <c r="Q234" s="7">
        <f>IF('01_Input_Raw_Products'!O234&lt;&gt;"",'01_Input_Raw_Products'!O234,IF('01_Input_Raw_Products'!N234&lt;&gt;"",'01_Input_Raw_Products'!N234*1.1,""))</f>
        <v>0</v>
      </c>
      <c r="R234" s="9">
        <f>'01_Input_Raw_Products'!S234</f>
        <v>0</v>
      </c>
      <c r="S234" s="9" cm="1">
        <f t="array" ref="S234">IFERROR(_xlfn.XLOOKUP('01_Input_Raw_Products'!F234,'10_Master_Gem_Types'!A:A,'10_Master_Gem_Types'!H:H),"")</f>
        <v>0</v>
      </c>
      <c r="T234" s="8">
        <f>'01_Input_Raw_Products'!Q234</f>
        <v>0</v>
      </c>
      <c r="U234" s="8">
        <f>'01_Input_Raw_Products'!R234</f>
        <v>0</v>
      </c>
      <c r="V234" s="7">
        <f>I234</f>
        <v>0</v>
      </c>
      <c r="W234" s="9" cm="1">
        <f t="array" ref="W234">IF('01_Input_Raw_Products'!G234&lt;&gt;"",'01_Input_Raw_Products'!G234,IFERROR(_xlfn.XLOOKUP('01_Input_Raw_Products'!F234,'10_Master_Gem_Types'!A:A,'10_Master_Gem_Types'!L:L),""))</f>
        <v>0</v>
      </c>
      <c r="X234" s="9" cm="1">
        <f t="array" ref="X234">IFERROR(_xlfn.XLOOKUP('01_Input_Raw_Products'!F234,'10_Master_Gem_Types'!A:A,'10_Master_Gem_Types'!J:J),"")</f>
        <v>0</v>
      </c>
      <c r="Y234" s="9" cm="1">
        <f t="array" ref="Y234">IFERROR(_xlfn.XLOOKUP('01_Input_Raw_Products'!F234,'10_Master_Gem_Types'!A:A,'10_Master_Gem_Types'!I:I),"")</f>
        <v>0</v>
      </c>
      <c r="Z234" s="9" cm="1">
        <f t="array" ref="Z234">IFERROR(_xlfn.XLOOKUP('01_Input_Raw_Products'!L234,'13_Certification_Stickers'!A:A,'13_Certification_Stickers'!C:C),"")</f>
        <v>0</v>
      </c>
      <c r="AA234" s="9" cm="1">
        <f t="array" ref="AA234">IFERROR(_xlfn.XLOOKUP('01_Input_Raw_Products'!S234,'14_Shipping_Rules'!A:A,'14_Shipping_Rules'!B:B),"")</f>
        <v>0</v>
      </c>
      <c r="AB234" s="9" cm="1">
        <f t="array" ref="AB234">IFERROR(_xlfn.XLOOKUP('01_Input_Raw_Products'!D234,'16_Astro_Flags'!A:A,'16_Astro_Flags'!B:B),"")</f>
        <v>0</v>
      </c>
      <c r="AC234" s="9">
        <f>IF(C234="","","Catalog, Search")</f>
        <v>0</v>
      </c>
      <c r="AD234" s="9">
        <f>IF(C234="","",IF(OR(F234="",J234="",M234="",S234="",Y234=""),"Manual Review","Ready"))</f>
        <v>0</v>
      </c>
      <c r="AE234" s="9">
        <f>IF(C234="","",TEXTJOIN("; ",TRUE,IF(F234="","Missing url_key",""),IF(J234="","Missing classification",""),IF(M234="","Missing j_colour",""),IF(S234="","Missing hsn_code",""),IF(Y234="","Missing tax_class_id","")))</f>
        <v>0</v>
      </c>
    </row>
    <row r="235" spans="1:31">
      <c r="A235" s="9">
        <f>IF('01_Input_Raw_Products'!B235&lt;&gt;"",20,"")</f>
        <v>0</v>
      </c>
      <c r="B235" s="9" cm="1">
        <f t="array" ref="B235">IF('01_Input_Raw_Products'!M235&lt;&gt;"",'01_Input_Raw_Products'!M235,IFERROR(_xlfn.XLOOKUP('01_Input_Raw_Products'!F235,'10_Master_Gem_Types'!A:A,'10_Master_Gem_Types'!K:K),""))</f>
        <v>0</v>
      </c>
      <c r="C235" s="9">
        <f>'01_Input_Raw_Products'!B235</f>
        <v>0</v>
      </c>
      <c r="D235" s="9">
        <f>IF(C235="","",TEXT(I235,"0.00")&amp;" Ct "&amp;IF('01_Input_Raw_Products'!F235&lt;&gt;"",'01_Input_Raw_Products'!F235,'01_Input_Raw_Products'!D235)&amp;" "&amp;'01_Input_Raw_Products'!I235)</f>
        <v>0</v>
      </c>
      <c r="E235" s="9">
        <f>IF(C235="","",D235&amp;" | GemPundit")</f>
        <v>0</v>
      </c>
      <c r="F235" s="9" cm="1">
        <f t="array" ref="F235">IF('01_Input_Raw_Products'!X235&lt;&gt;"",'01_Input_Raw_Products'!X235,IFERROR(_xlfn.XLOOKUP('01_Input_Raw_Products'!F235,'10_Master_Gem_Types'!A:A,'10_Master_Gem_Types'!O:O),LOWER(SUBSTITUTE(IF('01_Input_Raw_Products'!F235&lt;&gt;"",'01_Input_Raw_Products'!F235,'01_Input_Raw_Products'!D235)," ","-"))))</f>
        <v>0</v>
      </c>
      <c r="G235" s="9">
        <f>'01_Input_Raw_Products'!C235</f>
        <v>0</v>
      </c>
      <c r="H235" s="9" cm="1">
        <f t="array" ref="H235">IF('01_Input_Raw_Products'!H235&lt;&gt;"",'01_Input_Raw_Products'!H235,IFERROR(_xlfn.XLOOKUP('01_Input_Raw_Products'!F235,'10_Master_Gem_Types'!A:A,'10_Master_Gem_Types'!D:D),""))</f>
        <v>0</v>
      </c>
      <c r="I235" s="7">
        <f>IF('01_Input_Raw_Products'!N235&lt;&gt;"",'01_Input_Raw_Products'!N235,IF('01_Input_Raw_Products'!O235&lt;&gt;"",'01_Input_Raw_Products'!O235*0.91,""))</f>
        <v>0</v>
      </c>
      <c r="J235" s="9" cm="1">
        <f t="array" ref="J235">IFERROR(_xlfn.XLOOKUP('01_Input_Raw_Products'!F235,'10_Master_Gem_Types'!A:A,'10_Master_Gem_Types'!N:N),"")</f>
        <v>0</v>
      </c>
      <c r="K235" s="9" cm="1">
        <f t="array" ref="K235">IF('01_Input_Raw_Products'!J235&lt;&gt;"",'01_Input_Raw_Products'!J235,IFERROR(_xlfn.XLOOKUP('01_Input_Raw_Products'!F235,'10_Master_Gem_Types'!A:A,'10_Master_Gem_Types'!E:E),""))</f>
        <v>0</v>
      </c>
      <c r="L235" s="9">
        <f>'01_Input_Raw_Products'!P235</f>
        <v>0</v>
      </c>
      <c r="M235" s="9" cm="1">
        <f t="array" ref="M235">IFERROR(_xlfn.XLOOKUP('01_Input_Raw_Products'!K235,'12_Color_Mapping'!A:A,'12_Color_Mapping'!B:B),IFERROR(_xlfn.XLOOKUP('01_Input_Raw_Products'!F235,'10_Master_Gem_Types'!A:A,'10_Master_Gem_Types'!F:F),""))</f>
        <v>0</v>
      </c>
      <c r="N235" s="9">
        <f>IF(C235="","",IF('01_Input_Raw_Products'!F235&lt;&gt;"",'01_Input_Raw_Products'!F235,'01_Input_Raw_Products'!D235))</f>
        <v>0</v>
      </c>
      <c r="O235" s="9">
        <f>IF(C235="","","Catalog Automation")</f>
        <v>0</v>
      </c>
      <c r="P235" s="9">
        <f>'01_Input_Raw_Products'!U235</f>
        <v>0</v>
      </c>
      <c r="Q235" s="7">
        <f>IF('01_Input_Raw_Products'!O235&lt;&gt;"",'01_Input_Raw_Products'!O235,IF('01_Input_Raw_Products'!N235&lt;&gt;"",'01_Input_Raw_Products'!N235*1.1,""))</f>
        <v>0</v>
      </c>
      <c r="R235" s="9">
        <f>'01_Input_Raw_Products'!S235</f>
        <v>0</v>
      </c>
      <c r="S235" s="9" cm="1">
        <f t="array" ref="S235">IFERROR(_xlfn.XLOOKUP('01_Input_Raw_Products'!F235,'10_Master_Gem_Types'!A:A,'10_Master_Gem_Types'!H:H),"")</f>
        <v>0</v>
      </c>
      <c r="T235" s="8">
        <f>'01_Input_Raw_Products'!Q235</f>
        <v>0</v>
      </c>
      <c r="U235" s="8">
        <f>'01_Input_Raw_Products'!R235</f>
        <v>0</v>
      </c>
      <c r="V235" s="7">
        <f>I235</f>
        <v>0</v>
      </c>
      <c r="W235" s="9" cm="1">
        <f t="array" ref="W235">IF('01_Input_Raw_Products'!G235&lt;&gt;"",'01_Input_Raw_Products'!G235,IFERROR(_xlfn.XLOOKUP('01_Input_Raw_Products'!F235,'10_Master_Gem_Types'!A:A,'10_Master_Gem_Types'!L:L),""))</f>
        <v>0</v>
      </c>
      <c r="X235" s="9" cm="1">
        <f t="array" ref="X235">IFERROR(_xlfn.XLOOKUP('01_Input_Raw_Products'!F235,'10_Master_Gem_Types'!A:A,'10_Master_Gem_Types'!J:J),"")</f>
        <v>0</v>
      </c>
      <c r="Y235" s="9" cm="1">
        <f t="array" ref="Y235">IFERROR(_xlfn.XLOOKUP('01_Input_Raw_Products'!F235,'10_Master_Gem_Types'!A:A,'10_Master_Gem_Types'!I:I),"")</f>
        <v>0</v>
      </c>
      <c r="Z235" s="9" cm="1">
        <f t="array" ref="Z235">IFERROR(_xlfn.XLOOKUP('01_Input_Raw_Products'!L235,'13_Certification_Stickers'!A:A,'13_Certification_Stickers'!C:C),"")</f>
        <v>0</v>
      </c>
      <c r="AA235" s="9" cm="1">
        <f t="array" ref="AA235">IFERROR(_xlfn.XLOOKUP('01_Input_Raw_Products'!S235,'14_Shipping_Rules'!A:A,'14_Shipping_Rules'!B:B),"")</f>
        <v>0</v>
      </c>
      <c r="AB235" s="9" cm="1">
        <f t="array" ref="AB235">IFERROR(_xlfn.XLOOKUP('01_Input_Raw_Products'!D235,'16_Astro_Flags'!A:A,'16_Astro_Flags'!B:B),"")</f>
        <v>0</v>
      </c>
      <c r="AC235" s="9">
        <f>IF(C235="","","Catalog, Search")</f>
        <v>0</v>
      </c>
      <c r="AD235" s="9">
        <f>IF(C235="","",IF(OR(F235="",J235="",M235="",S235="",Y235=""),"Manual Review","Ready"))</f>
        <v>0</v>
      </c>
      <c r="AE235" s="9">
        <f>IF(C235="","",TEXTJOIN("; ",TRUE,IF(F235="","Missing url_key",""),IF(J235="","Missing classification",""),IF(M235="","Missing j_colour",""),IF(S235="","Missing hsn_code",""),IF(Y235="","Missing tax_class_id","")))</f>
        <v>0</v>
      </c>
    </row>
    <row r="236" spans="1:31">
      <c r="A236" s="9">
        <f>IF('01_Input_Raw_Products'!B236&lt;&gt;"",20,"")</f>
        <v>0</v>
      </c>
      <c r="B236" s="9" cm="1">
        <f t="array" ref="B236">IF('01_Input_Raw_Products'!M236&lt;&gt;"",'01_Input_Raw_Products'!M236,IFERROR(_xlfn.XLOOKUP('01_Input_Raw_Products'!F236,'10_Master_Gem_Types'!A:A,'10_Master_Gem_Types'!K:K),""))</f>
        <v>0</v>
      </c>
      <c r="C236" s="9">
        <f>'01_Input_Raw_Products'!B236</f>
        <v>0</v>
      </c>
      <c r="D236" s="9">
        <f>IF(C236="","",TEXT(I236,"0.00")&amp;" Ct "&amp;IF('01_Input_Raw_Products'!F236&lt;&gt;"",'01_Input_Raw_Products'!F236,'01_Input_Raw_Products'!D236)&amp;" "&amp;'01_Input_Raw_Products'!I236)</f>
        <v>0</v>
      </c>
      <c r="E236" s="9">
        <f>IF(C236="","",D236&amp;" | GemPundit")</f>
        <v>0</v>
      </c>
      <c r="F236" s="9" cm="1">
        <f t="array" ref="F236">IF('01_Input_Raw_Products'!X236&lt;&gt;"",'01_Input_Raw_Products'!X236,IFERROR(_xlfn.XLOOKUP('01_Input_Raw_Products'!F236,'10_Master_Gem_Types'!A:A,'10_Master_Gem_Types'!O:O),LOWER(SUBSTITUTE(IF('01_Input_Raw_Products'!F236&lt;&gt;"",'01_Input_Raw_Products'!F236,'01_Input_Raw_Products'!D236)," ","-"))))</f>
        <v>0</v>
      </c>
      <c r="G236" s="9">
        <f>'01_Input_Raw_Products'!C236</f>
        <v>0</v>
      </c>
      <c r="H236" s="9" cm="1">
        <f t="array" ref="H236">IF('01_Input_Raw_Products'!H236&lt;&gt;"",'01_Input_Raw_Products'!H236,IFERROR(_xlfn.XLOOKUP('01_Input_Raw_Products'!F236,'10_Master_Gem_Types'!A:A,'10_Master_Gem_Types'!D:D),""))</f>
        <v>0</v>
      </c>
      <c r="I236" s="7">
        <f>IF('01_Input_Raw_Products'!N236&lt;&gt;"",'01_Input_Raw_Products'!N236,IF('01_Input_Raw_Products'!O236&lt;&gt;"",'01_Input_Raw_Products'!O236*0.91,""))</f>
        <v>0</v>
      </c>
      <c r="J236" s="9" cm="1">
        <f t="array" ref="J236">IFERROR(_xlfn.XLOOKUP('01_Input_Raw_Products'!F236,'10_Master_Gem_Types'!A:A,'10_Master_Gem_Types'!N:N),"")</f>
        <v>0</v>
      </c>
      <c r="K236" s="9" cm="1">
        <f t="array" ref="K236">IF('01_Input_Raw_Products'!J236&lt;&gt;"",'01_Input_Raw_Products'!J236,IFERROR(_xlfn.XLOOKUP('01_Input_Raw_Products'!F236,'10_Master_Gem_Types'!A:A,'10_Master_Gem_Types'!E:E),""))</f>
        <v>0</v>
      </c>
      <c r="L236" s="9">
        <f>'01_Input_Raw_Products'!P236</f>
        <v>0</v>
      </c>
      <c r="M236" s="9" cm="1">
        <f t="array" ref="M236">IFERROR(_xlfn.XLOOKUP('01_Input_Raw_Products'!K236,'12_Color_Mapping'!A:A,'12_Color_Mapping'!B:B),IFERROR(_xlfn.XLOOKUP('01_Input_Raw_Products'!F236,'10_Master_Gem_Types'!A:A,'10_Master_Gem_Types'!F:F),""))</f>
        <v>0</v>
      </c>
      <c r="N236" s="9">
        <f>IF(C236="","",IF('01_Input_Raw_Products'!F236&lt;&gt;"",'01_Input_Raw_Products'!F236,'01_Input_Raw_Products'!D236))</f>
        <v>0</v>
      </c>
      <c r="O236" s="9">
        <f>IF(C236="","","Catalog Automation")</f>
        <v>0</v>
      </c>
      <c r="P236" s="9">
        <f>'01_Input_Raw_Products'!U236</f>
        <v>0</v>
      </c>
      <c r="Q236" s="7">
        <f>IF('01_Input_Raw_Products'!O236&lt;&gt;"",'01_Input_Raw_Products'!O236,IF('01_Input_Raw_Products'!N236&lt;&gt;"",'01_Input_Raw_Products'!N236*1.1,""))</f>
        <v>0</v>
      </c>
      <c r="R236" s="9">
        <f>'01_Input_Raw_Products'!S236</f>
        <v>0</v>
      </c>
      <c r="S236" s="9" cm="1">
        <f t="array" ref="S236">IFERROR(_xlfn.XLOOKUP('01_Input_Raw_Products'!F236,'10_Master_Gem_Types'!A:A,'10_Master_Gem_Types'!H:H),"")</f>
        <v>0</v>
      </c>
      <c r="T236" s="8">
        <f>'01_Input_Raw_Products'!Q236</f>
        <v>0</v>
      </c>
      <c r="U236" s="8">
        <f>'01_Input_Raw_Products'!R236</f>
        <v>0</v>
      </c>
      <c r="V236" s="7">
        <f>I236</f>
        <v>0</v>
      </c>
      <c r="W236" s="9" cm="1">
        <f t="array" ref="W236">IF('01_Input_Raw_Products'!G236&lt;&gt;"",'01_Input_Raw_Products'!G236,IFERROR(_xlfn.XLOOKUP('01_Input_Raw_Products'!F236,'10_Master_Gem_Types'!A:A,'10_Master_Gem_Types'!L:L),""))</f>
        <v>0</v>
      </c>
      <c r="X236" s="9" cm="1">
        <f t="array" ref="X236">IFERROR(_xlfn.XLOOKUP('01_Input_Raw_Products'!F236,'10_Master_Gem_Types'!A:A,'10_Master_Gem_Types'!J:J),"")</f>
        <v>0</v>
      </c>
      <c r="Y236" s="9" cm="1">
        <f t="array" ref="Y236">IFERROR(_xlfn.XLOOKUP('01_Input_Raw_Products'!F236,'10_Master_Gem_Types'!A:A,'10_Master_Gem_Types'!I:I),"")</f>
        <v>0</v>
      </c>
      <c r="Z236" s="9" cm="1">
        <f t="array" ref="Z236">IFERROR(_xlfn.XLOOKUP('01_Input_Raw_Products'!L236,'13_Certification_Stickers'!A:A,'13_Certification_Stickers'!C:C),"")</f>
        <v>0</v>
      </c>
      <c r="AA236" s="9" cm="1">
        <f t="array" ref="AA236">IFERROR(_xlfn.XLOOKUP('01_Input_Raw_Products'!S236,'14_Shipping_Rules'!A:A,'14_Shipping_Rules'!B:B),"")</f>
        <v>0</v>
      </c>
      <c r="AB236" s="9" cm="1">
        <f t="array" ref="AB236">IFERROR(_xlfn.XLOOKUP('01_Input_Raw_Products'!D236,'16_Astro_Flags'!A:A,'16_Astro_Flags'!B:B),"")</f>
        <v>0</v>
      </c>
      <c r="AC236" s="9">
        <f>IF(C236="","","Catalog, Search")</f>
        <v>0</v>
      </c>
      <c r="AD236" s="9">
        <f>IF(C236="","",IF(OR(F236="",J236="",M236="",S236="",Y236=""),"Manual Review","Ready"))</f>
        <v>0</v>
      </c>
      <c r="AE236" s="9">
        <f>IF(C236="","",TEXTJOIN("; ",TRUE,IF(F236="","Missing url_key",""),IF(J236="","Missing classification",""),IF(M236="","Missing j_colour",""),IF(S236="","Missing hsn_code",""),IF(Y236="","Missing tax_class_id","")))</f>
        <v>0</v>
      </c>
    </row>
    <row r="237" spans="1:31">
      <c r="A237" s="9">
        <f>IF('01_Input_Raw_Products'!B237&lt;&gt;"",20,"")</f>
        <v>0</v>
      </c>
      <c r="B237" s="9" cm="1">
        <f t="array" ref="B237">IF('01_Input_Raw_Products'!M237&lt;&gt;"",'01_Input_Raw_Products'!M237,IFERROR(_xlfn.XLOOKUP('01_Input_Raw_Products'!F237,'10_Master_Gem_Types'!A:A,'10_Master_Gem_Types'!K:K),""))</f>
        <v>0</v>
      </c>
      <c r="C237" s="9">
        <f>'01_Input_Raw_Products'!B237</f>
        <v>0</v>
      </c>
      <c r="D237" s="9">
        <f>IF(C237="","",TEXT(I237,"0.00")&amp;" Ct "&amp;IF('01_Input_Raw_Products'!F237&lt;&gt;"",'01_Input_Raw_Products'!F237,'01_Input_Raw_Products'!D237)&amp;" "&amp;'01_Input_Raw_Products'!I237)</f>
        <v>0</v>
      </c>
      <c r="E237" s="9">
        <f>IF(C237="","",D237&amp;" | GemPundit")</f>
        <v>0</v>
      </c>
      <c r="F237" s="9" cm="1">
        <f t="array" ref="F237">IF('01_Input_Raw_Products'!X237&lt;&gt;"",'01_Input_Raw_Products'!X237,IFERROR(_xlfn.XLOOKUP('01_Input_Raw_Products'!F237,'10_Master_Gem_Types'!A:A,'10_Master_Gem_Types'!O:O),LOWER(SUBSTITUTE(IF('01_Input_Raw_Products'!F237&lt;&gt;"",'01_Input_Raw_Products'!F237,'01_Input_Raw_Products'!D237)," ","-"))))</f>
        <v>0</v>
      </c>
      <c r="G237" s="9">
        <f>'01_Input_Raw_Products'!C237</f>
        <v>0</v>
      </c>
      <c r="H237" s="9" cm="1">
        <f t="array" ref="H237">IF('01_Input_Raw_Products'!H237&lt;&gt;"",'01_Input_Raw_Products'!H237,IFERROR(_xlfn.XLOOKUP('01_Input_Raw_Products'!F237,'10_Master_Gem_Types'!A:A,'10_Master_Gem_Types'!D:D),""))</f>
        <v>0</v>
      </c>
      <c r="I237" s="7">
        <f>IF('01_Input_Raw_Products'!N237&lt;&gt;"",'01_Input_Raw_Products'!N237,IF('01_Input_Raw_Products'!O237&lt;&gt;"",'01_Input_Raw_Products'!O237*0.91,""))</f>
        <v>0</v>
      </c>
      <c r="J237" s="9" cm="1">
        <f t="array" ref="J237">IFERROR(_xlfn.XLOOKUP('01_Input_Raw_Products'!F237,'10_Master_Gem_Types'!A:A,'10_Master_Gem_Types'!N:N),"")</f>
        <v>0</v>
      </c>
      <c r="K237" s="9" cm="1">
        <f t="array" ref="K237">IF('01_Input_Raw_Products'!J237&lt;&gt;"",'01_Input_Raw_Products'!J237,IFERROR(_xlfn.XLOOKUP('01_Input_Raw_Products'!F237,'10_Master_Gem_Types'!A:A,'10_Master_Gem_Types'!E:E),""))</f>
        <v>0</v>
      </c>
      <c r="L237" s="9">
        <f>'01_Input_Raw_Products'!P237</f>
        <v>0</v>
      </c>
      <c r="M237" s="9" cm="1">
        <f t="array" ref="M237">IFERROR(_xlfn.XLOOKUP('01_Input_Raw_Products'!K237,'12_Color_Mapping'!A:A,'12_Color_Mapping'!B:B),IFERROR(_xlfn.XLOOKUP('01_Input_Raw_Products'!F237,'10_Master_Gem_Types'!A:A,'10_Master_Gem_Types'!F:F),""))</f>
        <v>0</v>
      </c>
      <c r="N237" s="9">
        <f>IF(C237="","",IF('01_Input_Raw_Products'!F237&lt;&gt;"",'01_Input_Raw_Products'!F237,'01_Input_Raw_Products'!D237))</f>
        <v>0</v>
      </c>
      <c r="O237" s="9">
        <f>IF(C237="","","Catalog Automation")</f>
        <v>0</v>
      </c>
      <c r="P237" s="9">
        <f>'01_Input_Raw_Products'!U237</f>
        <v>0</v>
      </c>
      <c r="Q237" s="7">
        <f>IF('01_Input_Raw_Products'!O237&lt;&gt;"",'01_Input_Raw_Products'!O237,IF('01_Input_Raw_Products'!N237&lt;&gt;"",'01_Input_Raw_Products'!N237*1.1,""))</f>
        <v>0</v>
      </c>
      <c r="R237" s="9">
        <f>'01_Input_Raw_Products'!S237</f>
        <v>0</v>
      </c>
      <c r="S237" s="9" cm="1">
        <f t="array" ref="S237">IFERROR(_xlfn.XLOOKUP('01_Input_Raw_Products'!F237,'10_Master_Gem_Types'!A:A,'10_Master_Gem_Types'!H:H),"")</f>
        <v>0</v>
      </c>
      <c r="T237" s="8">
        <f>'01_Input_Raw_Products'!Q237</f>
        <v>0</v>
      </c>
      <c r="U237" s="8">
        <f>'01_Input_Raw_Products'!R237</f>
        <v>0</v>
      </c>
      <c r="V237" s="7">
        <f>I237</f>
        <v>0</v>
      </c>
      <c r="W237" s="9" cm="1">
        <f t="array" ref="W237">IF('01_Input_Raw_Products'!G237&lt;&gt;"",'01_Input_Raw_Products'!G237,IFERROR(_xlfn.XLOOKUP('01_Input_Raw_Products'!F237,'10_Master_Gem_Types'!A:A,'10_Master_Gem_Types'!L:L),""))</f>
        <v>0</v>
      </c>
      <c r="X237" s="9" cm="1">
        <f t="array" ref="X237">IFERROR(_xlfn.XLOOKUP('01_Input_Raw_Products'!F237,'10_Master_Gem_Types'!A:A,'10_Master_Gem_Types'!J:J),"")</f>
        <v>0</v>
      </c>
      <c r="Y237" s="9" cm="1">
        <f t="array" ref="Y237">IFERROR(_xlfn.XLOOKUP('01_Input_Raw_Products'!F237,'10_Master_Gem_Types'!A:A,'10_Master_Gem_Types'!I:I),"")</f>
        <v>0</v>
      </c>
      <c r="Z237" s="9" cm="1">
        <f t="array" ref="Z237">IFERROR(_xlfn.XLOOKUP('01_Input_Raw_Products'!L237,'13_Certification_Stickers'!A:A,'13_Certification_Stickers'!C:C),"")</f>
        <v>0</v>
      </c>
      <c r="AA237" s="9" cm="1">
        <f t="array" ref="AA237">IFERROR(_xlfn.XLOOKUP('01_Input_Raw_Products'!S237,'14_Shipping_Rules'!A:A,'14_Shipping_Rules'!B:B),"")</f>
        <v>0</v>
      </c>
      <c r="AB237" s="9" cm="1">
        <f t="array" ref="AB237">IFERROR(_xlfn.XLOOKUP('01_Input_Raw_Products'!D237,'16_Astro_Flags'!A:A,'16_Astro_Flags'!B:B),"")</f>
        <v>0</v>
      </c>
      <c r="AC237" s="9">
        <f>IF(C237="","","Catalog, Search")</f>
        <v>0</v>
      </c>
      <c r="AD237" s="9">
        <f>IF(C237="","",IF(OR(F237="",J237="",M237="",S237="",Y237=""),"Manual Review","Ready"))</f>
        <v>0</v>
      </c>
      <c r="AE237" s="9">
        <f>IF(C237="","",TEXTJOIN("; ",TRUE,IF(F237="","Missing url_key",""),IF(J237="","Missing classification",""),IF(M237="","Missing j_colour",""),IF(S237="","Missing hsn_code",""),IF(Y237="","Missing tax_class_id","")))</f>
        <v>0</v>
      </c>
    </row>
    <row r="238" spans="1:31">
      <c r="A238" s="9">
        <f>IF('01_Input_Raw_Products'!B238&lt;&gt;"",20,"")</f>
        <v>0</v>
      </c>
      <c r="B238" s="9" cm="1">
        <f t="array" ref="B238">IF('01_Input_Raw_Products'!M238&lt;&gt;"",'01_Input_Raw_Products'!M238,IFERROR(_xlfn.XLOOKUP('01_Input_Raw_Products'!F238,'10_Master_Gem_Types'!A:A,'10_Master_Gem_Types'!K:K),""))</f>
        <v>0</v>
      </c>
      <c r="C238" s="9">
        <f>'01_Input_Raw_Products'!B238</f>
        <v>0</v>
      </c>
      <c r="D238" s="9">
        <f>IF(C238="","",TEXT(I238,"0.00")&amp;" Ct "&amp;IF('01_Input_Raw_Products'!F238&lt;&gt;"",'01_Input_Raw_Products'!F238,'01_Input_Raw_Products'!D238)&amp;" "&amp;'01_Input_Raw_Products'!I238)</f>
        <v>0</v>
      </c>
      <c r="E238" s="9">
        <f>IF(C238="","",D238&amp;" | GemPundit")</f>
        <v>0</v>
      </c>
      <c r="F238" s="9" cm="1">
        <f t="array" ref="F238">IF('01_Input_Raw_Products'!X238&lt;&gt;"",'01_Input_Raw_Products'!X238,IFERROR(_xlfn.XLOOKUP('01_Input_Raw_Products'!F238,'10_Master_Gem_Types'!A:A,'10_Master_Gem_Types'!O:O),LOWER(SUBSTITUTE(IF('01_Input_Raw_Products'!F238&lt;&gt;"",'01_Input_Raw_Products'!F238,'01_Input_Raw_Products'!D238)," ","-"))))</f>
        <v>0</v>
      </c>
      <c r="G238" s="9">
        <f>'01_Input_Raw_Products'!C238</f>
        <v>0</v>
      </c>
      <c r="H238" s="9" cm="1">
        <f t="array" ref="H238">IF('01_Input_Raw_Products'!H238&lt;&gt;"",'01_Input_Raw_Products'!H238,IFERROR(_xlfn.XLOOKUP('01_Input_Raw_Products'!F238,'10_Master_Gem_Types'!A:A,'10_Master_Gem_Types'!D:D),""))</f>
        <v>0</v>
      </c>
      <c r="I238" s="7">
        <f>IF('01_Input_Raw_Products'!N238&lt;&gt;"",'01_Input_Raw_Products'!N238,IF('01_Input_Raw_Products'!O238&lt;&gt;"",'01_Input_Raw_Products'!O238*0.91,""))</f>
        <v>0</v>
      </c>
      <c r="J238" s="9" cm="1">
        <f t="array" ref="J238">IFERROR(_xlfn.XLOOKUP('01_Input_Raw_Products'!F238,'10_Master_Gem_Types'!A:A,'10_Master_Gem_Types'!N:N),"")</f>
        <v>0</v>
      </c>
      <c r="K238" s="9" cm="1">
        <f t="array" ref="K238">IF('01_Input_Raw_Products'!J238&lt;&gt;"",'01_Input_Raw_Products'!J238,IFERROR(_xlfn.XLOOKUP('01_Input_Raw_Products'!F238,'10_Master_Gem_Types'!A:A,'10_Master_Gem_Types'!E:E),""))</f>
        <v>0</v>
      </c>
      <c r="L238" s="9">
        <f>'01_Input_Raw_Products'!P238</f>
        <v>0</v>
      </c>
      <c r="M238" s="9" cm="1">
        <f t="array" ref="M238">IFERROR(_xlfn.XLOOKUP('01_Input_Raw_Products'!K238,'12_Color_Mapping'!A:A,'12_Color_Mapping'!B:B),IFERROR(_xlfn.XLOOKUP('01_Input_Raw_Products'!F238,'10_Master_Gem_Types'!A:A,'10_Master_Gem_Types'!F:F),""))</f>
        <v>0</v>
      </c>
      <c r="N238" s="9">
        <f>IF(C238="","",IF('01_Input_Raw_Products'!F238&lt;&gt;"",'01_Input_Raw_Products'!F238,'01_Input_Raw_Products'!D238))</f>
        <v>0</v>
      </c>
      <c r="O238" s="9">
        <f>IF(C238="","","Catalog Automation")</f>
        <v>0</v>
      </c>
      <c r="P238" s="9">
        <f>'01_Input_Raw_Products'!U238</f>
        <v>0</v>
      </c>
      <c r="Q238" s="7">
        <f>IF('01_Input_Raw_Products'!O238&lt;&gt;"",'01_Input_Raw_Products'!O238,IF('01_Input_Raw_Products'!N238&lt;&gt;"",'01_Input_Raw_Products'!N238*1.1,""))</f>
        <v>0</v>
      </c>
      <c r="R238" s="9">
        <f>'01_Input_Raw_Products'!S238</f>
        <v>0</v>
      </c>
      <c r="S238" s="9" cm="1">
        <f t="array" ref="S238">IFERROR(_xlfn.XLOOKUP('01_Input_Raw_Products'!F238,'10_Master_Gem_Types'!A:A,'10_Master_Gem_Types'!H:H),"")</f>
        <v>0</v>
      </c>
      <c r="T238" s="8">
        <f>'01_Input_Raw_Products'!Q238</f>
        <v>0</v>
      </c>
      <c r="U238" s="8">
        <f>'01_Input_Raw_Products'!R238</f>
        <v>0</v>
      </c>
      <c r="V238" s="7">
        <f>I238</f>
        <v>0</v>
      </c>
      <c r="W238" s="9" cm="1">
        <f t="array" ref="W238">IF('01_Input_Raw_Products'!G238&lt;&gt;"",'01_Input_Raw_Products'!G238,IFERROR(_xlfn.XLOOKUP('01_Input_Raw_Products'!F238,'10_Master_Gem_Types'!A:A,'10_Master_Gem_Types'!L:L),""))</f>
        <v>0</v>
      </c>
      <c r="X238" s="9" cm="1">
        <f t="array" ref="X238">IFERROR(_xlfn.XLOOKUP('01_Input_Raw_Products'!F238,'10_Master_Gem_Types'!A:A,'10_Master_Gem_Types'!J:J),"")</f>
        <v>0</v>
      </c>
      <c r="Y238" s="9" cm="1">
        <f t="array" ref="Y238">IFERROR(_xlfn.XLOOKUP('01_Input_Raw_Products'!F238,'10_Master_Gem_Types'!A:A,'10_Master_Gem_Types'!I:I),"")</f>
        <v>0</v>
      </c>
      <c r="Z238" s="9" cm="1">
        <f t="array" ref="Z238">IFERROR(_xlfn.XLOOKUP('01_Input_Raw_Products'!L238,'13_Certification_Stickers'!A:A,'13_Certification_Stickers'!C:C),"")</f>
        <v>0</v>
      </c>
      <c r="AA238" s="9" cm="1">
        <f t="array" ref="AA238">IFERROR(_xlfn.XLOOKUP('01_Input_Raw_Products'!S238,'14_Shipping_Rules'!A:A,'14_Shipping_Rules'!B:B),"")</f>
        <v>0</v>
      </c>
      <c r="AB238" s="9" cm="1">
        <f t="array" ref="AB238">IFERROR(_xlfn.XLOOKUP('01_Input_Raw_Products'!D238,'16_Astro_Flags'!A:A,'16_Astro_Flags'!B:B),"")</f>
        <v>0</v>
      </c>
      <c r="AC238" s="9">
        <f>IF(C238="","","Catalog, Search")</f>
        <v>0</v>
      </c>
      <c r="AD238" s="9">
        <f>IF(C238="","",IF(OR(F238="",J238="",M238="",S238="",Y238=""),"Manual Review","Ready"))</f>
        <v>0</v>
      </c>
      <c r="AE238" s="9">
        <f>IF(C238="","",TEXTJOIN("; ",TRUE,IF(F238="","Missing url_key",""),IF(J238="","Missing classification",""),IF(M238="","Missing j_colour",""),IF(S238="","Missing hsn_code",""),IF(Y238="","Missing tax_class_id","")))</f>
        <v>0</v>
      </c>
    </row>
    <row r="239" spans="1:31">
      <c r="A239" s="9">
        <f>IF('01_Input_Raw_Products'!B239&lt;&gt;"",20,"")</f>
        <v>0</v>
      </c>
      <c r="B239" s="9" cm="1">
        <f t="array" ref="B239">IF('01_Input_Raw_Products'!M239&lt;&gt;"",'01_Input_Raw_Products'!M239,IFERROR(_xlfn.XLOOKUP('01_Input_Raw_Products'!F239,'10_Master_Gem_Types'!A:A,'10_Master_Gem_Types'!K:K),""))</f>
        <v>0</v>
      </c>
      <c r="C239" s="9">
        <f>'01_Input_Raw_Products'!B239</f>
        <v>0</v>
      </c>
      <c r="D239" s="9">
        <f>IF(C239="","",TEXT(I239,"0.00")&amp;" Ct "&amp;IF('01_Input_Raw_Products'!F239&lt;&gt;"",'01_Input_Raw_Products'!F239,'01_Input_Raw_Products'!D239)&amp;" "&amp;'01_Input_Raw_Products'!I239)</f>
        <v>0</v>
      </c>
      <c r="E239" s="9">
        <f>IF(C239="","",D239&amp;" | GemPundit")</f>
        <v>0</v>
      </c>
      <c r="F239" s="9" cm="1">
        <f t="array" ref="F239">IF('01_Input_Raw_Products'!X239&lt;&gt;"",'01_Input_Raw_Products'!X239,IFERROR(_xlfn.XLOOKUP('01_Input_Raw_Products'!F239,'10_Master_Gem_Types'!A:A,'10_Master_Gem_Types'!O:O),LOWER(SUBSTITUTE(IF('01_Input_Raw_Products'!F239&lt;&gt;"",'01_Input_Raw_Products'!F239,'01_Input_Raw_Products'!D239)," ","-"))))</f>
        <v>0</v>
      </c>
      <c r="G239" s="9">
        <f>'01_Input_Raw_Products'!C239</f>
        <v>0</v>
      </c>
      <c r="H239" s="9" cm="1">
        <f t="array" ref="H239">IF('01_Input_Raw_Products'!H239&lt;&gt;"",'01_Input_Raw_Products'!H239,IFERROR(_xlfn.XLOOKUP('01_Input_Raw_Products'!F239,'10_Master_Gem_Types'!A:A,'10_Master_Gem_Types'!D:D),""))</f>
        <v>0</v>
      </c>
      <c r="I239" s="7">
        <f>IF('01_Input_Raw_Products'!N239&lt;&gt;"",'01_Input_Raw_Products'!N239,IF('01_Input_Raw_Products'!O239&lt;&gt;"",'01_Input_Raw_Products'!O239*0.91,""))</f>
        <v>0</v>
      </c>
      <c r="J239" s="9" cm="1">
        <f t="array" ref="J239">IFERROR(_xlfn.XLOOKUP('01_Input_Raw_Products'!F239,'10_Master_Gem_Types'!A:A,'10_Master_Gem_Types'!N:N),"")</f>
        <v>0</v>
      </c>
      <c r="K239" s="9" cm="1">
        <f t="array" ref="K239">IF('01_Input_Raw_Products'!J239&lt;&gt;"",'01_Input_Raw_Products'!J239,IFERROR(_xlfn.XLOOKUP('01_Input_Raw_Products'!F239,'10_Master_Gem_Types'!A:A,'10_Master_Gem_Types'!E:E),""))</f>
        <v>0</v>
      </c>
      <c r="L239" s="9">
        <f>'01_Input_Raw_Products'!P239</f>
        <v>0</v>
      </c>
      <c r="M239" s="9" cm="1">
        <f t="array" ref="M239">IFERROR(_xlfn.XLOOKUP('01_Input_Raw_Products'!K239,'12_Color_Mapping'!A:A,'12_Color_Mapping'!B:B),IFERROR(_xlfn.XLOOKUP('01_Input_Raw_Products'!F239,'10_Master_Gem_Types'!A:A,'10_Master_Gem_Types'!F:F),""))</f>
        <v>0</v>
      </c>
      <c r="N239" s="9">
        <f>IF(C239="","",IF('01_Input_Raw_Products'!F239&lt;&gt;"",'01_Input_Raw_Products'!F239,'01_Input_Raw_Products'!D239))</f>
        <v>0</v>
      </c>
      <c r="O239" s="9">
        <f>IF(C239="","","Catalog Automation")</f>
        <v>0</v>
      </c>
      <c r="P239" s="9">
        <f>'01_Input_Raw_Products'!U239</f>
        <v>0</v>
      </c>
      <c r="Q239" s="7">
        <f>IF('01_Input_Raw_Products'!O239&lt;&gt;"",'01_Input_Raw_Products'!O239,IF('01_Input_Raw_Products'!N239&lt;&gt;"",'01_Input_Raw_Products'!N239*1.1,""))</f>
        <v>0</v>
      </c>
      <c r="R239" s="9">
        <f>'01_Input_Raw_Products'!S239</f>
        <v>0</v>
      </c>
      <c r="S239" s="9" cm="1">
        <f t="array" ref="S239">IFERROR(_xlfn.XLOOKUP('01_Input_Raw_Products'!F239,'10_Master_Gem_Types'!A:A,'10_Master_Gem_Types'!H:H),"")</f>
        <v>0</v>
      </c>
      <c r="T239" s="8">
        <f>'01_Input_Raw_Products'!Q239</f>
        <v>0</v>
      </c>
      <c r="U239" s="8">
        <f>'01_Input_Raw_Products'!R239</f>
        <v>0</v>
      </c>
      <c r="V239" s="7">
        <f>I239</f>
        <v>0</v>
      </c>
      <c r="W239" s="9" cm="1">
        <f t="array" ref="W239">IF('01_Input_Raw_Products'!G239&lt;&gt;"",'01_Input_Raw_Products'!G239,IFERROR(_xlfn.XLOOKUP('01_Input_Raw_Products'!F239,'10_Master_Gem_Types'!A:A,'10_Master_Gem_Types'!L:L),""))</f>
        <v>0</v>
      </c>
      <c r="X239" s="9" cm="1">
        <f t="array" ref="X239">IFERROR(_xlfn.XLOOKUP('01_Input_Raw_Products'!F239,'10_Master_Gem_Types'!A:A,'10_Master_Gem_Types'!J:J),"")</f>
        <v>0</v>
      </c>
      <c r="Y239" s="9" cm="1">
        <f t="array" ref="Y239">IFERROR(_xlfn.XLOOKUP('01_Input_Raw_Products'!F239,'10_Master_Gem_Types'!A:A,'10_Master_Gem_Types'!I:I),"")</f>
        <v>0</v>
      </c>
      <c r="Z239" s="9" cm="1">
        <f t="array" ref="Z239">IFERROR(_xlfn.XLOOKUP('01_Input_Raw_Products'!L239,'13_Certification_Stickers'!A:A,'13_Certification_Stickers'!C:C),"")</f>
        <v>0</v>
      </c>
      <c r="AA239" s="9" cm="1">
        <f t="array" ref="AA239">IFERROR(_xlfn.XLOOKUP('01_Input_Raw_Products'!S239,'14_Shipping_Rules'!A:A,'14_Shipping_Rules'!B:B),"")</f>
        <v>0</v>
      </c>
      <c r="AB239" s="9" cm="1">
        <f t="array" ref="AB239">IFERROR(_xlfn.XLOOKUP('01_Input_Raw_Products'!D239,'16_Astro_Flags'!A:A,'16_Astro_Flags'!B:B),"")</f>
        <v>0</v>
      </c>
      <c r="AC239" s="9">
        <f>IF(C239="","","Catalog, Search")</f>
        <v>0</v>
      </c>
      <c r="AD239" s="9">
        <f>IF(C239="","",IF(OR(F239="",J239="",M239="",S239="",Y239=""),"Manual Review","Ready"))</f>
        <v>0</v>
      </c>
      <c r="AE239" s="9">
        <f>IF(C239="","",TEXTJOIN("; ",TRUE,IF(F239="","Missing url_key",""),IF(J239="","Missing classification",""),IF(M239="","Missing j_colour",""),IF(S239="","Missing hsn_code",""),IF(Y239="","Missing tax_class_id","")))</f>
        <v>0</v>
      </c>
    </row>
    <row r="240" spans="1:31">
      <c r="A240" s="9">
        <f>IF('01_Input_Raw_Products'!B240&lt;&gt;"",20,"")</f>
        <v>0</v>
      </c>
      <c r="B240" s="9" cm="1">
        <f t="array" ref="B240">IF('01_Input_Raw_Products'!M240&lt;&gt;"",'01_Input_Raw_Products'!M240,IFERROR(_xlfn.XLOOKUP('01_Input_Raw_Products'!F240,'10_Master_Gem_Types'!A:A,'10_Master_Gem_Types'!K:K),""))</f>
        <v>0</v>
      </c>
      <c r="C240" s="9">
        <f>'01_Input_Raw_Products'!B240</f>
        <v>0</v>
      </c>
      <c r="D240" s="9">
        <f>IF(C240="","",TEXT(I240,"0.00")&amp;" Ct "&amp;IF('01_Input_Raw_Products'!F240&lt;&gt;"",'01_Input_Raw_Products'!F240,'01_Input_Raw_Products'!D240)&amp;" "&amp;'01_Input_Raw_Products'!I240)</f>
        <v>0</v>
      </c>
      <c r="E240" s="9">
        <f>IF(C240="","",D240&amp;" | GemPundit")</f>
        <v>0</v>
      </c>
      <c r="F240" s="9" cm="1">
        <f t="array" ref="F240">IF('01_Input_Raw_Products'!X240&lt;&gt;"",'01_Input_Raw_Products'!X240,IFERROR(_xlfn.XLOOKUP('01_Input_Raw_Products'!F240,'10_Master_Gem_Types'!A:A,'10_Master_Gem_Types'!O:O),LOWER(SUBSTITUTE(IF('01_Input_Raw_Products'!F240&lt;&gt;"",'01_Input_Raw_Products'!F240,'01_Input_Raw_Products'!D240)," ","-"))))</f>
        <v>0</v>
      </c>
      <c r="G240" s="9">
        <f>'01_Input_Raw_Products'!C240</f>
        <v>0</v>
      </c>
      <c r="H240" s="9" cm="1">
        <f t="array" ref="H240">IF('01_Input_Raw_Products'!H240&lt;&gt;"",'01_Input_Raw_Products'!H240,IFERROR(_xlfn.XLOOKUP('01_Input_Raw_Products'!F240,'10_Master_Gem_Types'!A:A,'10_Master_Gem_Types'!D:D),""))</f>
        <v>0</v>
      </c>
      <c r="I240" s="7">
        <f>IF('01_Input_Raw_Products'!N240&lt;&gt;"",'01_Input_Raw_Products'!N240,IF('01_Input_Raw_Products'!O240&lt;&gt;"",'01_Input_Raw_Products'!O240*0.91,""))</f>
        <v>0</v>
      </c>
      <c r="J240" s="9" cm="1">
        <f t="array" ref="J240">IFERROR(_xlfn.XLOOKUP('01_Input_Raw_Products'!F240,'10_Master_Gem_Types'!A:A,'10_Master_Gem_Types'!N:N),"")</f>
        <v>0</v>
      </c>
      <c r="K240" s="9" cm="1">
        <f t="array" ref="K240">IF('01_Input_Raw_Products'!J240&lt;&gt;"",'01_Input_Raw_Products'!J240,IFERROR(_xlfn.XLOOKUP('01_Input_Raw_Products'!F240,'10_Master_Gem_Types'!A:A,'10_Master_Gem_Types'!E:E),""))</f>
        <v>0</v>
      </c>
      <c r="L240" s="9">
        <f>'01_Input_Raw_Products'!P240</f>
        <v>0</v>
      </c>
      <c r="M240" s="9" cm="1">
        <f t="array" ref="M240">IFERROR(_xlfn.XLOOKUP('01_Input_Raw_Products'!K240,'12_Color_Mapping'!A:A,'12_Color_Mapping'!B:B),IFERROR(_xlfn.XLOOKUP('01_Input_Raw_Products'!F240,'10_Master_Gem_Types'!A:A,'10_Master_Gem_Types'!F:F),""))</f>
        <v>0</v>
      </c>
      <c r="N240" s="9">
        <f>IF(C240="","",IF('01_Input_Raw_Products'!F240&lt;&gt;"",'01_Input_Raw_Products'!F240,'01_Input_Raw_Products'!D240))</f>
        <v>0</v>
      </c>
      <c r="O240" s="9">
        <f>IF(C240="","","Catalog Automation")</f>
        <v>0</v>
      </c>
      <c r="P240" s="9">
        <f>'01_Input_Raw_Products'!U240</f>
        <v>0</v>
      </c>
      <c r="Q240" s="7">
        <f>IF('01_Input_Raw_Products'!O240&lt;&gt;"",'01_Input_Raw_Products'!O240,IF('01_Input_Raw_Products'!N240&lt;&gt;"",'01_Input_Raw_Products'!N240*1.1,""))</f>
        <v>0</v>
      </c>
      <c r="R240" s="9">
        <f>'01_Input_Raw_Products'!S240</f>
        <v>0</v>
      </c>
      <c r="S240" s="9" cm="1">
        <f t="array" ref="S240">IFERROR(_xlfn.XLOOKUP('01_Input_Raw_Products'!F240,'10_Master_Gem_Types'!A:A,'10_Master_Gem_Types'!H:H),"")</f>
        <v>0</v>
      </c>
      <c r="T240" s="8">
        <f>'01_Input_Raw_Products'!Q240</f>
        <v>0</v>
      </c>
      <c r="U240" s="8">
        <f>'01_Input_Raw_Products'!R240</f>
        <v>0</v>
      </c>
      <c r="V240" s="7">
        <f>I240</f>
        <v>0</v>
      </c>
      <c r="W240" s="9" cm="1">
        <f t="array" ref="W240">IF('01_Input_Raw_Products'!G240&lt;&gt;"",'01_Input_Raw_Products'!G240,IFERROR(_xlfn.XLOOKUP('01_Input_Raw_Products'!F240,'10_Master_Gem_Types'!A:A,'10_Master_Gem_Types'!L:L),""))</f>
        <v>0</v>
      </c>
      <c r="X240" s="9" cm="1">
        <f t="array" ref="X240">IFERROR(_xlfn.XLOOKUP('01_Input_Raw_Products'!F240,'10_Master_Gem_Types'!A:A,'10_Master_Gem_Types'!J:J),"")</f>
        <v>0</v>
      </c>
      <c r="Y240" s="9" cm="1">
        <f t="array" ref="Y240">IFERROR(_xlfn.XLOOKUP('01_Input_Raw_Products'!F240,'10_Master_Gem_Types'!A:A,'10_Master_Gem_Types'!I:I),"")</f>
        <v>0</v>
      </c>
      <c r="Z240" s="9" cm="1">
        <f t="array" ref="Z240">IFERROR(_xlfn.XLOOKUP('01_Input_Raw_Products'!L240,'13_Certification_Stickers'!A:A,'13_Certification_Stickers'!C:C),"")</f>
        <v>0</v>
      </c>
      <c r="AA240" s="9" cm="1">
        <f t="array" ref="AA240">IFERROR(_xlfn.XLOOKUP('01_Input_Raw_Products'!S240,'14_Shipping_Rules'!A:A,'14_Shipping_Rules'!B:B),"")</f>
        <v>0</v>
      </c>
      <c r="AB240" s="9" cm="1">
        <f t="array" ref="AB240">IFERROR(_xlfn.XLOOKUP('01_Input_Raw_Products'!D240,'16_Astro_Flags'!A:A,'16_Astro_Flags'!B:B),"")</f>
        <v>0</v>
      </c>
      <c r="AC240" s="9">
        <f>IF(C240="","","Catalog, Search")</f>
        <v>0</v>
      </c>
      <c r="AD240" s="9">
        <f>IF(C240="","",IF(OR(F240="",J240="",M240="",S240="",Y240=""),"Manual Review","Ready"))</f>
        <v>0</v>
      </c>
      <c r="AE240" s="9">
        <f>IF(C240="","",TEXTJOIN("; ",TRUE,IF(F240="","Missing url_key",""),IF(J240="","Missing classification",""),IF(M240="","Missing j_colour",""),IF(S240="","Missing hsn_code",""),IF(Y240="","Missing tax_class_id","")))</f>
        <v>0</v>
      </c>
    </row>
    <row r="241" spans="1:31">
      <c r="A241" s="9">
        <f>IF('01_Input_Raw_Products'!B241&lt;&gt;"",20,"")</f>
        <v>0</v>
      </c>
      <c r="B241" s="9" cm="1">
        <f t="array" ref="B241">IF('01_Input_Raw_Products'!M241&lt;&gt;"",'01_Input_Raw_Products'!M241,IFERROR(_xlfn.XLOOKUP('01_Input_Raw_Products'!F241,'10_Master_Gem_Types'!A:A,'10_Master_Gem_Types'!K:K),""))</f>
        <v>0</v>
      </c>
      <c r="C241" s="9">
        <f>'01_Input_Raw_Products'!B241</f>
        <v>0</v>
      </c>
      <c r="D241" s="9">
        <f>IF(C241="","",TEXT(I241,"0.00")&amp;" Ct "&amp;IF('01_Input_Raw_Products'!F241&lt;&gt;"",'01_Input_Raw_Products'!F241,'01_Input_Raw_Products'!D241)&amp;" "&amp;'01_Input_Raw_Products'!I241)</f>
        <v>0</v>
      </c>
      <c r="E241" s="9">
        <f>IF(C241="","",D241&amp;" | GemPundit")</f>
        <v>0</v>
      </c>
      <c r="F241" s="9" cm="1">
        <f t="array" ref="F241">IF('01_Input_Raw_Products'!X241&lt;&gt;"",'01_Input_Raw_Products'!X241,IFERROR(_xlfn.XLOOKUP('01_Input_Raw_Products'!F241,'10_Master_Gem_Types'!A:A,'10_Master_Gem_Types'!O:O),LOWER(SUBSTITUTE(IF('01_Input_Raw_Products'!F241&lt;&gt;"",'01_Input_Raw_Products'!F241,'01_Input_Raw_Products'!D241)," ","-"))))</f>
        <v>0</v>
      </c>
      <c r="G241" s="9">
        <f>'01_Input_Raw_Products'!C241</f>
        <v>0</v>
      </c>
      <c r="H241" s="9" cm="1">
        <f t="array" ref="H241">IF('01_Input_Raw_Products'!H241&lt;&gt;"",'01_Input_Raw_Products'!H241,IFERROR(_xlfn.XLOOKUP('01_Input_Raw_Products'!F241,'10_Master_Gem_Types'!A:A,'10_Master_Gem_Types'!D:D),""))</f>
        <v>0</v>
      </c>
      <c r="I241" s="7">
        <f>IF('01_Input_Raw_Products'!N241&lt;&gt;"",'01_Input_Raw_Products'!N241,IF('01_Input_Raw_Products'!O241&lt;&gt;"",'01_Input_Raw_Products'!O241*0.91,""))</f>
        <v>0</v>
      </c>
      <c r="J241" s="9" cm="1">
        <f t="array" ref="J241">IFERROR(_xlfn.XLOOKUP('01_Input_Raw_Products'!F241,'10_Master_Gem_Types'!A:A,'10_Master_Gem_Types'!N:N),"")</f>
        <v>0</v>
      </c>
      <c r="K241" s="9" cm="1">
        <f t="array" ref="K241">IF('01_Input_Raw_Products'!J241&lt;&gt;"",'01_Input_Raw_Products'!J241,IFERROR(_xlfn.XLOOKUP('01_Input_Raw_Products'!F241,'10_Master_Gem_Types'!A:A,'10_Master_Gem_Types'!E:E),""))</f>
        <v>0</v>
      </c>
      <c r="L241" s="9">
        <f>'01_Input_Raw_Products'!P241</f>
        <v>0</v>
      </c>
      <c r="M241" s="9" cm="1">
        <f t="array" ref="M241">IFERROR(_xlfn.XLOOKUP('01_Input_Raw_Products'!K241,'12_Color_Mapping'!A:A,'12_Color_Mapping'!B:B),IFERROR(_xlfn.XLOOKUP('01_Input_Raw_Products'!F241,'10_Master_Gem_Types'!A:A,'10_Master_Gem_Types'!F:F),""))</f>
        <v>0</v>
      </c>
      <c r="N241" s="9">
        <f>IF(C241="","",IF('01_Input_Raw_Products'!F241&lt;&gt;"",'01_Input_Raw_Products'!F241,'01_Input_Raw_Products'!D241))</f>
        <v>0</v>
      </c>
      <c r="O241" s="9">
        <f>IF(C241="","","Catalog Automation")</f>
        <v>0</v>
      </c>
      <c r="P241" s="9">
        <f>'01_Input_Raw_Products'!U241</f>
        <v>0</v>
      </c>
      <c r="Q241" s="7">
        <f>IF('01_Input_Raw_Products'!O241&lt;&gt;"",'01_Input_Raw_Products'!O241,IF('01_Input_Raw_Products'!N241&lt;&gt;"",'01_Input_Raw_Products'!N241*1.1,""))</f>
        <v>0</v>
      </c>
      <c r="R241" s="9">
        <f>'01_Input_Raw_Products'!S241</f>
        <v>0</v>
      </c>
      <c r="S241" s="9" cm="1">
        <f t="array" ref="S241">IFERROR(_xlfn.XLOOKUP('01_Input_Raw_Products'!F241,'10_Master_Gem_Types'!A:A,'10_Master_Gem_Types'!H:H),"")</f>
        <v>0</v>
      </c>
      <c r="T241" s="8">
        <f>'01_Input_Raw_Products'!Q241</f>
        <v>0</v>
      </c>
      <c r="U241" s="8">
        <f>'01_Input_Raw_Products'!R241</f>
        <v>0</v>
      </c>
      <c r="V241" s="7">
        <f>I241</f>
        <v>0</v>
      </c>
      <c r="W241" s="9" cm="1">
        <f t="array" ref="W241">IF('01_Input_Raw_Products'!G241&lt;&gt;"",'01_Input_Raw_Products'!G241,IFERROR(_xlfn.XLOOKUP('01_Input_Raw_Products'!F241,'10_Master_Gem_Types'!A:A,'10_Master_Gem_Types'!L:L),""))</f>
        <v>0</v>
      </c>
      <c r="X241" s="9" cm="1">
        <f t="array" ref="X241">IFERROR(_xlfn.XLOOKUP('01_Input_Raw_Products'!F241,'10_Master_Gem_Types'!A:A,'10_Master_Gem_Types'!J:J),"")</f>
        <v>0</v>
      </c>
      <c r="Y241" s="9" cm="1">
        <f t="array" ref="Y241">IFERROR(_xlfn.XLOOKUP('01_Input_Raw_Products'!F241,'10_Master_Gem_Types'!A:A,'10_Master_Gem_Types'!I:I),"")</f>
        <v>0</v>
      </c>
      <c r="Z241" s="9" cm="1">
        <f t="array" ref="Z241">IFERROR(_xlfn.XLOOKUP('01_Input_Raw_Products'!L241,'13_Certification_Stickers'!A:A,'13_Certification_Stickers'!C:C),"")</f>
        <v>0</v>
      </c>
      <c r="AA241" s="9" cm="1">
        <f t="array" ref="AA241">IFERROR(_xlfn.XLOOKUP('01_Input_Raw_Products'!S241,'14_Shipping_Rules'!A:A,'14_Shipping_Rules'!B:B),"")</f>
        <v>0</v>
      </c>
      <c r="AB241" s="9" cm="1">
        <f t="array" ref="AB241">IFERROR(_xlfn.XLOOKUP('01_Input_Raw_Products'!D241,'16_Astro_Flags'!A:A,'16_Astro_Flags'!B:B),"")</f>
        <v>0</v>
      </c>
      <c r="AC241" s="9">
        <f>IF(C241="","","Catalog, Search")</f>
        <v>0</v>
      </c>
      <c r="AD241" s="9">
        <f>IF(C241="","",IF(OR(F241="",J241="",M241="",S241="",Y241=""),"Manual Review","Ready"))</f>
        <v>0</v>
      </c>
      <c r="AE241" s="9">
        <f>IF(C241="","",TEXTJOIN("; ",TRUE,IF(F241="","Missing url_key",""),IF(J241="","Missing classification",""),IF(M241="","Missing j_colour",""),IF(S241="","Missing hsn_code",""),IF(Y241="","Missing tax_class_id","")))</f>
        <v>0</v>
      </c>
    </row>
    <row r="242" spans="1:31">
      <c r="A242" s="9">
        <f>IF('01_Input_Raw_Products'!B242&lt;&gt;"",20,"")</f>
        <v>0</v>
      </c>
      <c r="B242" s="9" cm="1">
        <f t="array" ref="B242">IF('01_Input_Raw_Products'!M242&lt;&gt;"",'01_Input_Raw_Products'!M242,IFERROR(_xlfn.XLOOKUP('01_Input_Raw_Products'!F242,'10_Master_Gem_Types'!A:A,'10_Master_Gem_Types'!K:K),""))</f>
        <v>0</v>
      </c>
      <c r="C242" s="9">
        <f>'01_Input_Raw_Products'!B242</f>
        <v>0</v>
      </c>
      <c r="D242" s="9">
        <f>IF(C242="","",TEXT(I242,"0.00")&amp;" Ct "&amp;IF('01_Input_Raw_Products'!F242&lt;&gt;"",'01_Input_Raw_Products'!F242,'01_Input_Raw_Products'!D242)&amp;" "&amp;'01_Input_Raw_Products'!I242)</f>
        <v>0</v>
      </c>
      <c r="E242" s="9">
        <f>IF(C242="","",D242&amp;" | GemPundit")</f>
        <v>0</v>
      </c>
      <c r="F242" s="9" cm="1">
        <f t="array" ref="F242">IF('01_Input_Raw_Products'!X242&lt;&gt;"",'01_Input_Raw_Products'!X242,IFERROR(_xlfn.XLOOKUP('01_Input_Raw_Products'!F242,'10_Master_Gem_Types'!A:A,'10_Master_Gem_Types'!O:O),LOWER(SUBSTITUTE(IF('01_Input_Raw_Products'!F242&lt;&gt;"",'01_Input_Raw_Products'!F242,'01_Input_Raw_Products'!D242)," ","-"))))</f>
        <v>0</v>
      </c>
      <c r="G242" s="9">
        <f>'01_Input_Raw_Products'!C242</f>
        <v>0</v>
      </c>
      <c r="H242" s="9" cm="1">
        <f t="array" ref="H242">IF('01_Input_Raw_Products'!H242&lt;&gt;"",'01_Input_Raw_Products'!H242,IFERROR(_xlfn.XLOOKUP('01_Input_Raw_Products'!F242,'10_Master_Gem_Types'!A:A,'10_Master_Gem_Types'!D:D),""))</f>
        <v>0</v>
      </c>
      <c r="I242" s="7">
        <f>IF('01_Input_Raw_Products'!N242&lt;&gt;"",'01_Input_Raw_Products'!N242,IF('01_Input_Raw_Products'!O242&lt;&gt;"",'01_Input_Raw_Products'!O242*0.91,""))</f>
        <v>0</v>
      </c>
      <c r="J242" s="9" cm="1">
        <f t="array" ref="J242">IFERROR(_xlfn.XLOOKUP('01_Input_Raw_Products'!F242,'10_Master_Gem_Types'!A:A,'10_Master_Gem_Types'!N:N),"")</f>
        <v>0</v>
      </c>
      <c r="K242" s="9" cm="1">
        <f t="array" ref="K242">IF('01_Input_Raw_Products'!J242&lt;&gt;"",'01_Input_Raw_Products'!J242,IFERROR(_xlfn.XLOOKUP('01_Input_Raw_Products'!F242,'10_Master_Gem_Types'!A:A,'10_Master_Gem_Types'!E:E),""))</f>
        <v>0</v>
      </c>
      <c r="L242" s="9">
        <f>'01_Input_Raw_Products'!P242</f>
        <v>0</v>
      </c>
      <c r="M242" s="9" cm="1">
        <f t="array" ref="M242">IFERROR(_xlfn.XLOOKUP('01_Input_Raw_Products'!K242,'12_Color_Mapping'!A:A,'12_Color_Mapping'!B:B),IFERROR(_xlfn.XLOOKUP('01_Input_Raw_Products'!F242,'10_Master_Gem_Types'!A:A,'10_Master_Gem_Types'!F:F),""))</f>
        <v>0</v>
      </c>
      <c r="N242" s="9">
        <f>IF(C242="","",IF('01_Input_Raw_Products'!F242&lt;&gt;"",'01_Input_Raw_Products'!F242,'01_Input_Raw_Products'!D242))</f>
        <v>0</v>
      </c>
      <c r="O242" s="9">
        <f>IF(C242="","","Catalog Automation")</f>
        <v>0</v>
      </c>
      <c r="P242" s="9">
        <f>'01_Input_Raw_Products'!U242</f>
        <v>0</v>
      </c>
      <c r="Q242" s="7">
        <f>IF('01_Input_Raw_Products'!O242&lt;&gt;"",'01_Input_Raw_Products'!O242,IF('01_Input_Raw_Products'!N242&lt;&gt;"",'01_Input_Raw_Products'!N242*1.1,""))</f>
        <v>0</v>
      </c>
      <c r="R242" s="9">
        <f>'01_Input_Raw_Products'!S242</f>
        <v>0</v>
      </c>
      <c r="S242" s="9" cm="1">
        <f t="array" ref="S242">IFERROR(_xlfn.XLOOKUP('01_Input_Raw_Products'!F242,'10_Master_Gem_Types'!A:A,'10_Master_Gem_Types'!H:H),"")</f>
        <v>0</v>
      </c>
      <c r="T242" s="8">
        <f>'01_Input_Raw_Products'!Q242</f>
        <v>0</v>
      </c>
      <c r="U242" s="8">
        <f>'01_Input_Raw_Products'!R242</f>
        <v>0</v>
      </c>
      <c r="V242" s="7">
        <f>I242</f>
        <v>0</v>
      </c>
      <c r="W242" s="9" cm="1">
        <f t="array" ref="W242">IF('01_Input_Raw_Products'!G242&lt;&gt;"",'01_Input_Raw_Products'!G242,IFERROR(_xlfn.XLOOKUP('01_Input_Raw_Products'!F242,'10_Master_Gem_Types'!A:A,'10_Master_Gem_Types'!L:L),""))</f>
        <v>0</v>
      </c>
      <c r="X242" s="9" cm="1">
        <f t="array" ref="X242">IFERROR(_xlfn.XLOOKUP('01_Input_Raw_Products'!F242,'10_Master_Gem_Types'!A:A,'10_Master_Gem_Types'!J:J),"")</f>
        <v>0</v>
      </c>
      <c r="Y242" s="9" cm="1">
        <f t="array" ref="Y242">IFERROR(_xlfn.XLOOKUP('01_Input_Raw_Products'!F242,'10_Master_Gem_Types'!A:A,'10_Master_Gem_Types'!I:I),"")</f>
        <v>0</v>
      </c>
      <c r="Z242" s="9" cm="1">
        <f t="array" ref="Z242">IFERROR(_xlfn.XLOOKUP('01_Input_Raw_Products'!L242,'13_Certification_Stickers'!A:A,'13_Certification_Stickers'!C:C),"")</f>
        <v>0</v>
      </c>
      <c r="AA242" s="9" cm="1">
        <f t="array" ref="AA242">IFERROR(_xlfn.XLOOKUP('01_Input_Raw_Products'!S242,'14_Shipping_Rules'!A:A,'14_Shipping_Rules'!B:B),"")</f>
        <v>0</v>
      </c>
      <c r="AB242" s="9" cm="1">
        <f t="array" ref="AB242">IFERROR(_xlfn.XLOOKUP('01_Input_Raw_Products'!D242,'16_Astro_Flags'!A:A,'16_Astro_Flags'!B:B),"")</f>
        <v>0</v>
      </c>
      <c r="AC242" s="9">
        <f>IF(C242="","","Catalog, Search")</f>
        <v>0</v>
      </c>
      <c r="AD242" s="9">
        <f>IF(C242="","",IF(OR(F242="",J242="",M242="",S242="",Y242=""),"Manual Review","Ready"))</f>
        <v>0</v>
      </c>
      <c r="AE242" s="9">
        <f>IF(C242="","",TEXTJOIN("; ",TRUE,IF(F242="","Missing url_key",""),IF(J242="","Missing classification",""),IF(M242="","Missing j_colour",""),IF(S242="","Missing hsn_code",""),IF(Y242="","Missing tax_class_id","")))</f>
        <v>0</v>
      </c>
    </row>
    <row r="243" spans="1:31">
      <c r="A243" s="9">
        <f>IF('01_Input_Raw_Products'!B243&lt;&gt;"",20,"")</f>
        <v>0</v>
      </c>
      <c r="B243" s="9" cm="1">
        <f t="array" ref="B243">IF('01_Input_Raw_Products'!M243&lt;&gt;"",'01_Input_Raw_Products'!M243,IFERROR(_xlfn.XLOOKUP('01_Input_Raw_Products'!F243,'10_Master_Gem_Types'!A:A,'10_Master_Gem_Types'!K:K),""))</f>
        <v>0</v>
      </c>
      <c r="C243" s="9">
        <f>'01_Input_Raw_Products'!B243</f>
        <v>0</v>
      </c>
      <c r="D243" s="9">
        <f>IF(C243="","",TEXT(I243,"0.00")&amp;" Ct "&amp;IF('01_Input_Raw_Products'!F243&lt;&gt;"",'01_Input_Raw_Products'!F243,'01_Input_Raw_Products'!D243)&amp;" "&amp;'01_Input_Raw_Products'!I243)</f>
        <v>0</v>
      </c>
      <c r="E243" s="9">
        <f>IF(C243="","",D243&amp;" | GemPundit")</f>
        <v>0</v>
      </c>
      <c r="F243" s="9" cm="1">
        <f t="array" ref="F243">IF('01_Input_Raw_Products'!X243&lt;&gt;"",'01_Input_Raw_Products'!X243,IFERROR(_xlfn.XLOOKUP('01_Input_Raw_Products'!F243,'10_Master_Gem_Types'!A:A,'10_Master_Gem_Types'!O:O),LOWER(SUBSTITUTE(IF('01_Input_Raw_Products'!F243&lt;&gt;"",'01_Input_Raw_Products'!F243,'01_Input_Raw_Products'!D243)," ","-"))))</f>
        <v>0</v>
      </c>
      <c r="G243" s="9">
        <f>'01_Input_Raw_Products'!C243</f>
        <v>0</v>
      </c>
      <c r="H243" s="9" cm="1">
        <f t="array" ref="H243">IF('01_Input_Raw_Products'!H243&lt;&gt;"",'01_Input_Raw_Products'!H243,IFERROR(_xlfn.XLOOKUP('01_Input_Raw_Products'!F243,'10_Master_Gem_Types'!A:A,'10_Master_Gem_Types'!D:D),""))</f>
        <v>0</v>
      </c>
      <c r="I243" s="7">
        <f>IF('01_Input_Raw_Products'!N243&lt;&gt;"",'01_Input_Raw_Products'!N243,IF('01_Input_Raw_Products'!O243&lt;&gt;"",'01_Input_Raw_Products'!O243*0.91,""))</f>
        <v>0</v>
      </c>
      <c r="J243" s="9" cm="1">
        <f t="array" ref="J243">IFERROR(_xlfn.XLOOKUP('01_Input_Raw_Products'!F243,'10_Master_Gem_Types'!A:A,'10_Master_Gem_Types'!N:N),"")</f>
        <v>0</v>
      </c>
      <c r="K243" s="9" cm="1">
        <f t="array" ref="K243">IF('01_Input_Raw_Products'!J243&lt;&gt;"",'01_Input_Raw_Products'!J243,IFERROR(_xlfn.XLOOKUP('01_Input_Raw_Products'!F243,'10_Master_Gem_Types'!A:A,'10_Master_Gem_Types'!E:E),""))</f>
        <v>0</v>
      </c>
      <c r="L243" s="9">
        <f>'01_Input_Raw_Products'!P243</f>
        <v>0</v>
      </c>
      <c r="M243" s="9" cm="1">
        <f t="array" ref="M243">IFERROR(_xlfn.XLOOKUP('01_Input_Raw_Products'!K243,'12_Color_Mapping'!A:A,'12_Color_Mapping'!B:B),IFERROR(_xlfn.XLOOKUP('01_Input_Raw_Products'!F243,'10_Master_Gem_Types'!A:A,'10_Master_Gem_Types'!F:F),""))</f>
        <v>0</v>
      </c>
      <c r="N243" s="9">
        <f>IF(C243="","",IF('01_Input_Raw_Products'!F243&lt;&gt;"",'01_Input_Raw_Products'!F243,'01_Input_Raw_Products'!D243))</f>
        <v>0</v>
      </c>
      <c r="O243" s="9">
        <f>IF(C243="","","Catalog Automation")</f>
        <v>0</v>
      </c>
      <c r="P243" s="9">
        <f>'01_Input_Raw_Products'!U243</f>
        <v>0</v>
      </c>
      <c r="Q243" s="7">
        <f>IF('01_Input_Raw_Products'!O243&lt;&gt;"",'01_Input_Raw_Products'!O243,IF('01_Input_Raw_Products'!N243&lt;&gt;"",'01_Input_Raw_Products'!N243*1.1,""))</f>
        <v>0</v>
      </c>
      <c r="R243" s="9">
        <f>'01_Input_Raw_Products'!S243</f>
        <v>0</v>
      </c>
      <c r="S243" s="9" cm="1">
        <f t="array" ref="S243">IFERROR(_xlfn.XLOOKUP('01_Input_Raw_Products'!F243,'10_Master_Gem_Types'!A:A,'10_Master_Gem_Types'!H:H),"")</f>
        <v>0</v>
      </c>
      <c r="T243" s="8">
        <f>'01_Input_Raw_Products'!Q243</f>
        <v>0</v>
      </c>
      <c r="U243" s="8">
        <f>'01_Input_Raw_Products'!R243</f>
        <v>0</v>
      </c>
      <c r="V243" s="7">
        <f>I243</f>
        <v>0</v>
      </c>
      <c r="W243" s="9" cm="1">
        <f t="array" ref="W243">IF('01_Input_Raw_Products'!G243&lt;&gt;"",'01_Input_Raw_Products'!G243,IFERROR(_xlfn.XLOOKUP('01_Input_Raw_Products'!F243,'10_Master_Gem_Types'!A:A,'10_Master_Gem_Types'!L:L),""))</f>
        <v>0</v>
      </c>
      <c r="X243" s="9" cm="1">
        <f t="array" ref="X243">IFERROR(_xlfn.XLOOKUP('01_Input_Raw_Products'!F243,'10_Master_Gem_Types'!A:A,'10_Master_Gem_Types'!J:J),"")</f>
        <v>0</v>
      </c>
      <c r="Y243" s="9" cm="1">
        <f t="array" ref="Y243">IFERROR(_xlfn.XLOOKUP('01_Input_Raw_Products'!F243,'10_Master_Gem_Types'!A:A,'10_Master_Gem_Types'!I:I),"")</f>
        <v>0</v>
      </c>
      <c r="Z243" s="9" cm="1">
        <f t="array" ref="Z243">IFERROR(_xlfn.XLOOKUP('01_Input_Raw_Products'!L243,'13_Certification_Stickers'!A:A,'13_Certification_Stickers'!C:C),"")</f>
        <v>0</v>
      </c>
      <c r="AA243" s="9" cm="1">
        <f t="array" ref="AA243">IFERROR(_xlfn.XLOOKUP('01_Input_Raw_Products'!S243,'14_Shipping_Rules'!A:A,'14_Shipping_Rules'!B:B),"")</f>
        <v>0</v>
      </c>
      <c r="AB243" s="9" cm="1">
        <f t="array" ref="AB243">IFERROR(_xlfn.XLOOKUP('01_Input_Raw_Products'!D243,'16_Astro_Flags'!A:A,'16_Astro_Flags'!B:B),"")</f>
        <v>0</v>
      </c>
      <c r="AC243" s="9">
        <f>IF(C243="","","Catalog, Search")</f>
        <v>0</v>
      </c>
      <c r="AD243" s="9">
        <f>IF(C243="","",IF(OR(F243="",J243="",M243="",S243="",Y243=""),"Manual Review","Ready"))</f>
        <v>0</v>
      </c>
      <c r="AE243" s="9">
        <f>IF(C243="","",TEXTJOIN("; ",TRUE,IF(F243="","Missing url_key",""),IF(J243="","Missing classification",""),IF(M243="","Missing j_colour",""),IF(S243="","Missing hsn_code",""),IF(Y243="","Missing tax_class_id","")))</f>
        <v>0</v>
      </c>
    </row>
    <row r="244" spans="1:31">
      <c r="A244" s="9">
        <f>IF('01_Input_Raw_Products'!B244&lt;&gt;"",20,"")</f>
        <v>0</v>
      </c>
      <c r="B244" s="9" cm="1">
        <f t="array" ref="B244">IF('01_Input_Raw_Products'!M244&lt;&gt;"",'01_Input_Raw_Products'!M244,IFERROR(_xlfn.XLOOKUP('01_Input_Raw_Products'!F244,'10_Master_Gem_Types'!A:A,'10_Master_Gem_Types'!K:K),""))</f>
        <v>0</v>
      </c>
      <c r="C244" s="9">
        <f>'01_Input_Raw_Products'!B244</f>
        <v>0</v>
      </c>
      <c r="D244" s="9">
        <f>IF(C244="","",TEXT(I244,"0.00")&amp;" Ct "&amp;IF('01_Input_Raw_Products'!F244&lt;&gt;"",'01_Input_Raw_Products'!F244,'01_Input_Raw_Products'!D244)&amp;" "&amp;'01_Input_Raw_Products'!I244)</f>
        <v>0</v>
      </c>
      <c r="E244" s="9">
        <f>IF(C244="","",D244&amp;" | GemPundit")</f>
        <v>0</v>
      </c>
      <c r="F244" s="9" cm="1">
        <f t="array" ref="F244">IF('01_Input_Raw_Products'!X244&lt;&gt;"",'01_Input_Raw_Products'!X244,IFERROR(_xlfn.XLOOKUP('01_Input_Raw_Products'!F244,'10_Master_Gem_Types'!A:A,'10_Master_Gem_Types'!O:O),LOWER(SUBSTITUTE(IF('01_Input_Raw_Products'!F244&lt;&gt;"",'01_Input_Raw_Products'!F244,'01_Input_Raw_Products'!D244)," ","-"))))</f>
        <v>0</v>
      </c>
      <c r="G244" s="9">
        <f>'01_Input_Raw_Products'!C244</f>
        <v>0</v>
      </c>
      <c r="H244" s="9" cm="1">
        <f t="array" ref="H244">IF('01_Input_Raw_Products'!H244&lt;&gt;"",'01_Input_Raw_Products'!H244,IFERROR(_xlfn.XLOOKUP('01_Input_Raw_Products'!F244,'10_Master_Gem_Types'!A:A,'10_Master_Gem_Types'!D:D),""))</f>
        <v>0</v>
      </c>
      <c r="I244" s="7">
        <f>IF('01_Input_Raw_Products'!N244&lt;&gt;"",'01_Input_Raw_Products'!N244,IF('01_Input_Raw_Products'!O244&lt;&gt;"",'01_Input_Raw_Products'!O244*0.91,""))</f>
        <v>0</v>
      </c>
      <c r="J244" s="9" cm="1">
        <f t="array" ref="J244">IFERROR(_xlfn.XLOOKUP('01_Input_Raw_Products'!F244,'10_Master_Gem_Types'!A:A,'10_Master_Gem_Types'!N:N),"")</f>
        <v>0</v>
      </c>
      <c r="K244" s="9" cm="1">
        <f t="array" ref="K244">IF('01_Input_Raw_Products'!J244&lt;&gt;"",'01_Input_Raw_Products'!J244,IFERROR(_xlfn.XLOOKUP('01_Input_Raw_Products'!F244,'10_Master_Gem_Types'!A:A,'10_Master_Gem_Types'!E:E),""))</f>
        <v>0</v>
      </c>
      <c r="L244" s="9">
        <f>'01_Input_Raw_Products'!P244</f>
        <v>0</v>
      </c>
      <c r="M244" s="9" cm="1">
        <f t="array" ref="M244">IFERROR(_xlfn.XLOOKUP('01_Input_Raw_Products'!K244,'12_Color_Mapping'!A:A,'12_Color_Mapping'!B:B),IFERROR(_xlfn.XLOOKUP('01_Input_Raw_Products'!F244,'10_Master_Gem_Types'!A:A,'10_Master_Gem_Types'!F:F),""))</f>
        <v>0</v>
      </c>
      <c r="N244" s="9">
        <f>IF(C244="","",IF('01_Input_Raw_Products'!F244&lt;&gt;"",'01_Input_Raw_Products'!F244,'01_Input_Raw_Products'!D244))</f>
        <v>0</v>
      </c>
      <c r="O244" s="9">
        <f>IF(C244="","","Catalog Automation")</f>
        <v>0</v>
      </c>
      <c r="P244" s="9">
        <f>'01_Input_Raw_Products'!U244</f>
        <v>0</v>
      </c>
      <c r="Q244" s="7">
        <f>IF('01_Input_Raw_Products'!O244&lt;&gt;"",'01_Input_Raw_Products'!O244,IF('01_Input_Raw_Products'!N244&lt;&gt;"",'01_Input_Raw_Products'!N244*1.1,""))</f>
        <v>0</v>
      </c>
      <c r="R244" s="9">
        <f>'01_Input_Raw_Products'!S244</f>
        <v>0</v>
      </c>
      <c r="S244" s="9" cm="1">
        <f t="array" ref="S244">IFERROR(_xlfn.XLOOKUP('01_Input_Raw_Products'!F244,'10_Master_Gem_Types'!A:A,'10_Master_Gem_Types'!H:H),"")</f>
        <v>0</v>
      </c>
      <c r="T244" s="8">
        <f>'01_Input_Raw_Products'!Q244</f>
        <v>0</v>
      </c>
      <c r="U244" s="8">
        <f>'01_Input_Raw_Products'!R244</f>
        <v>0</v>
      </c>
      <c r="V244" s="7">
        <f>I244</f>
        <v>0</v>
      </c>
      <c r="W244" s="9" cm="1">
        <f t="array" ref="W244">IF('01_Input_Raw_Products'!G244&lt;&gt;"",'01_Input_Raw_Products'!G244,IFERROR(_xlfn.XLOOKUP('01_Input_Raw_Products'!F244,'10_Master_Gem_Types'!A:A,'10_Master_Gem_Types'!L:L),""))</f>
        <v>0</v>
      </c>
      <c r="X244" s="9" cm="1">
        <f t="array" ref="X244">IFERROR(_xlfn.XLOOKUP('01_Input_Raw_Products'!F244,'10_Master_Gem_Types'!A:A,'10_Master_Gem_Types'!J:J),"")</f>
        <v>0</v>
      </c>
      <c r="Y244" s="9" cm="1">
        <f t="array" ref="Y244">IFERROR(_xlfn.XLOOKUP('01_Input_Raw_Products'!F244,'10_Master_Gem_Types'!A:A,'10_Master_Gem_Types'!I:I),"")</f>
        <v>0</v>
      </c>
      <c r="Z244" s="9" cm="1">
        <f t="array" ref="Z244">IFERROR(_xlfn.XLOOKUP('01_Input_Raw_Products'!L244,'13_Certification_Stickers'!A:A,'13_Certification_Stickers'!C:C),"")</f>
        <v>0</v>
      </c>
      <c r="AA244" s="9" cm="1">
        <f t="array" ref="AA244">IFERROR(_xlfn.XLOOKUP('01_Input_Raw_Products'!S244,'14_Shipping_Rules'!A:A,'14_Shipping_Rules'!B:B),"")</f>
        <v>0</v>
      </c>
      <c r="AB244" s="9" cm="1">
        <f t="array" ref="AB244">IFERROR(_xlfn.XLOOKUP('01_Input_Raw_Products'!D244,'16_Astro_Flags'!A:A,'16_Astro_Flags'!B:B),"")</f>
        <v>0</v>
      </c>
      <c r="AC244" s="9">
        <f>IF(C244="","","Catalog, Search")</f>
        <v>0</v>
      </c>
      <c r="AD244" s="9">
        <f>IF(C244="","",IF(OR(F244="",J244="",M244="",S244="",Y244=""),"Manual Review","Ready"))</f>
        <v>0</v>
      </c>
      <c r="AE244" s="9">
        <f>IF(C244="","",TEXTJOIN("; ",TRUE,IF(F244="","Missing url_key",""),IF(J244="","Missing classification",""),IF(M244="","Missing j_colour",""),IF(S244="","Missing hsn_code",""),IF(Y244="","Missing tax_class_id","")))</f>
        <v>0</v>
      </c>
    </row>
    <row r="245" spans="1:31">
      <c r="A245" s="9">
        <f>IF('01_Input_Raw_Products'!B245&lt;&gt;"",20,"")</f>
        <v>0</v>
      </c>
      <c r="B245" s="9" cm="1">
        <f t="array" ref="B245">IF('01_Input_Raw_Products'!M245&lt;&gt;"",'01_Input_Raw_Products'!M245,IFERROR(_xlfn.XLOOKUP('01_Input_Raw_Products'!F245,'10_Master_Gem_Types'!A:A,'10_Master_Gem_Types'!K:K),""))</f>
        <v>0</v>
      </c>
      <c r="C245" s="9">
        <f>'01_Input_Raw_Products'!B245</f>
        <v>0</v>
      </c>
      <c r="D245" s="9">
        <f>IF(C245="","",TEXT(I245,"0.00")&amp;" Ct "&amp;IF('01_Input_Raw_Products'!F245&lt;&gt;"",'01_Input_Raw_Products'!F245,'01_Input_Raw_Products'!D245)&amp;" "&amp;'01_Input_Raw_Products'!I245)</f>
        <v>0</v>
      </c>
      <c r="E245" s="9">
        <f>IF(C245="","",D245&amp;" | GemPundit")</f>
        <v>0</v>
      </c>
      <c r="F245" s="9" cm="1">
        <f t="array" ref="F245">IF('01_Input_Raw_Products'!X245&lt;&gt;"",'01_Input_Raw_Products'!X245,IFERROR(_xlfn.XLOOKUP('01_Input_Raw_Products'!F245,'10_Master_Gem_Types'!A:A,'10_Master_Gem_Types'!O:O),LOWER(SUBSTITUTE(IF('01_Input_Raw_Products'!F245&lt;&gt;"",'01_Input_Raw_Products'!F245,'01_Input_Raw_Products'!D245)," ","-"))))</f>
        <v>0</v>
      </c>
      <c r="G245" s="9">
        <f>'01_Input_Raw_Products'!C245</f>
        <v>0</v>
      </c>
      <c r="H245" s="9" cm="1">
        <f t="array" ref="H245">IF('01_Input_Raw_Products'!H245&lt;&gt;"",'01_Input_Raw_Products'!H245,IFERROR(_xlfn.XLOOKUP('01_Input_Raw_Products'!F245,'10_Master_Gem_Types'!A:A,'10_Master_Gem_Types'!D:D),""))</f>
        <v>0</v>
      </c>
      <c r="I245" s="7">
        <f>IF('01_Input_Raw_Products'!N245&lt;&gt;"",'01_Input_Raw_Products'!N245,IF('01_Input_Raw_Products'!O245&lt;&gt;"",'01_Input_Raw_Products'!O245*0.91,""))</f>
        <v>0</v>
      </c>
      <c r="J245" s="9" cm="1">
        <f t="array" ref="J245">IFERROR(_xlfn.XLOOKUP('01_Input_Raw_Products'!F245,'10_Master_Gem_Types'!A:A,'10_Master_Gem_Types'!N:N),"")</f>
        <v>0</v>
      </c>
      <c r="K245" s="9" cm="1">
        <f t="array" ref="K245">IF('01_Input_Raw_Products'!J245&lt;&gt;"",'01_Input_Raw_Products'!J245,IFERROR(_xlfn.XLOOKUP('01_Input_Raw_Products'!F245,'10_Master_Gem_Types'!A:A,'10_Master_Gem_Types'!E:E),""))</f>
        <v>0</v>
      </c>
      <c r="L245" s="9">
        <f>'01_Input_Raw_Products'!P245</f>
        <v>0</v>
      </c>
      <c r="M245" s="9" cm="1">
        <f t="array" ref="M245">IFERROR(_xlfn.XLOOKUP('01_Input_Raw_Products'!K245,'12_Color_Mapping'!A:A,'12_Color_Mapping'!B:B),IFERROR(_xlfn.XLOOKUP('01_Input_Raw_Products'!F245,'10_Master_Gem_Types'!A:A,'10_Master_Gem_Types'!F:F),""))</f>
        <v>0</v>
      </c>
      <c r="N245" s="9">
        <f>IF(C245="","",IF('01_Input_Raw_Products'!F245&lt;&gt;"",'01_Input_Raw_Products'!F245,'01_Input_Raw_Products'!D245))</f>
        <v>0</v>
      </c>
      <c r="O245" s="9">
        <f>IF(C245="","","Catalog Automation")</f>
        <v>0</v>
      </c>
      <c r="P245" s="9">
        <f>'01_Input_Raw_Products'!U245</f>
        <v>0</v>
      </c>
      <c r="Q245" s="7">
        <f>IF('01_Input_Raw_Products'!O245&lt;&gt;"",'01_Input_Raw_Products'!O245,IF('01_Input_Raw_Products'!N245&lt;&gt;"",'01_Input_Raw_Products'!N245*1.1,""))</f>
        <v>0</v>
      </c>
      <c r="R245" s="9">
        <f>'01_Input_Raw_Products'!S245</f>
        <v>0</v>
      </c>
      <c r="S245" s="9" cm="1">
        <f t="array" ref="S245">IFERROR(_xlfn.XLOOKUP('01_Input_Raw_Products'!F245,'10_Master_Gem_Types'!A:A,'10_Master_Gem_Types'!H:H),"")</f>
        <v>0</v>
      </c>
      <c r="T245" s="8">
        <f>'01_Input_Raw_Products'!Q245</f>
        <v>0</v>
      </c>
      <c r="U245" s="8">
        <f>'01_Input_Raw_Products'!R245</f>
        <v>0</v>
      </c>
      <c r="V245" s="7">
        <f>I245</f>
        <v>0</v>
      </c>
      <c r="W245" s="9" cm="1">
        <f t="array" ref="W245">IF('01_Input_Raw_Products'!G245&lt;&gt;"",'01_Input_Raw_Products'!G245,IFERROR(_xlfn.XLOOKUP('01_Input_Raw_Products'!F245,'10_Master_Gem_Types'!A:A,'10_Master_Gem_Types'!L:L),""))</f>
        <v>0</v>
      </c>
      <c r="X245" s="9" cm="1">
        <f t="array" ref="X245">IFERROR(_xlfn.XLOOKUP('01_Input_Raw_Products'!F245,'10_Master_Gem_Types'!A:A,'10_Master_Gem_Types'!J:J),"")</f>
        <v>0</v>
      </c>
      <c r="Y245" s="9" cm="1">
        <f t="array" ref="Y245">IFERROR(_xlfn.XLOOKUP('01_Input_Raw_Products'!F245,'10_Master_Gem_Types'!A:A,'10_Master_Gem_Types'!I:I),"")</f>
        <v>0</v>
      </c>
      <c r="Z245" s="9" cm="1">
        <f t="array" ref="Z245">IFERROR(_xlfn.XLOOKUP('01_Input_Raw_Products'!L245,'13_Certification_Stickers'!A:A,'13_Certification_Stickers'!C:C),"")</f>
        <v>0</v>
      </c>
      <c r="AA245" s="9" cm="1">
        <f t="array" ref="AA245">IFERROR(_xlfn.XLOOKUP('01_Input_Raw_Products'!S245,'14_Shipping_Rules'!A:A,'14_Shipping_Rules'!B:B),"")</f>
        <v>0</v>
      </c>
      <c r="AB245" s="9" cm="1">
        <f t="array" ref="AB245">IFERROR(_xlfn.XLOOKUP('01_Input_Raw_Products'!D245,'16_Astro_Flags'!A:A,'16_Astro_Flags'!B:B),"")</f>
        <v>0</v>
      </c>
      <c r="AC245" s="9">
        <f>IF(C245="","","Catalog, Search")</f>
        <v>0</v>
      </c>
      <c r="AD245" s="9">
        <f>IF(C245="","",IF(OR(F245="",J245="",M245="",S245="",Y245=""),"Manual Review","Ready"))</f>
        <v>0</v>
      </c>
      <c r="AE245" s="9">
        <f>IF(C245="","",TEXTJOIN("; ",TRUE,IF(F245="","Missing url_key",""),IF(J245="","Missing classification",""),IF(M245="","Missing j_colour",""),IF(S245="","Missing hsn_code",""),IF(Y245="","Missing tax_class_id","")))</f>
        <v>0</v>
      </c>
    </row>
    <row r="246" spans="1:31">
      <c r="A246" s="9">
        <f>IF('01_Input_Raw_Products'!B246&lt;&gt;"",20,"")</f>
        <v>0</v>
      </c>
      <c r="B246" s="9" cm="1">
        <f t="array" ref="B246">IF('01_Input_Raw_Products'!M246&lt;&gt;"",'01_Input_Raw_Products'!M246,IFERROR(_xlfn.XLOOKUP('01_Input_Raw_Products'!F246,'10_Master_Gem_Types'!A:A,'10_Master_Gem_Types'!K:K),""))</f>
        <v>0</v>
      </c>
      <c r="C246" s="9">
        <f>'01_Input_Raw_Products'!B246</f>
        <v>0</v>
      </c>
      <c r="D246" s="9">
        <f>IF(C246="","",TEXT(I246,"0.00")&amp;" Ct "&amp;IF('01_Input_Raw_Products'!F246&lt;&gt;"",'01_Input_Raw_Products'!F246,'01_Input_Raw_Products'!D246)&amp;" "&amp;'01_Input_Raw_Products'!I246)</f>
        <v>0</v>
      </c>
      <c r="E246" s="9">
        <f>IF(C246="","",D246&amp;" | GemPundit")</f>
        <v>0</v>
      </c>
      <c r="F246" s="9" cm="1">
        <f t="array" ref="F246">IF('01_Input_Raw_Products'!X246&lt;&gt;"",'01_Input_Raw_Products'!X246,IFERROR(_xlfn.XLOOKUP('01_Input_Raw_Products'!F246,'10_Master_Gem_Types'!A:A,'10_Master_Gem_Types'!O:O),LOWER(SUBSTITUTE(IF('01_Input_Raw_Products'!F246&lt;&gt;"",'01_Input_Raw_Products'!F246,'01_Input_Raw_Products'!D246)," ","-"))))</f>
        <v>0</v>
      </c>
      <c r="G246" s="9">
        <f>'01_Input_Raw_Products'!C246</f>
        <v>0</v>
      </c>
      <c r="H246" s="9" cm="1">
        <f t="array" ref="H246">IF('01_Input_Raw_Products'!H246&lt;&gt;"",'01_Input_Raw_Products'!H246,IFERROR(_xlfn.XLOOKUP('01_Input_Raw_Products'!F246,'10_Master_Gem_Types'!A:A,'10_Master_Gem_Types'!D:D),""))</f>
        <v>0</v>
      </c>
      <c r="I246" s="7">
        <f>IF('01_Input_Raw_Products'!N246&lt;&gt;"",'01_Input_Raw_Products'!N246,IF('01_Input_Raw_Products'!O246&lt;&gt;"",'01_Input_Raw_Products'!O246*0.91,""))</f>
        <v>0</v>
      </c>
      <c r="J246" s="9" cm="1">
        <f t="array" ref="J246">IFERROR(_xlfn.XLOOKUP('01_Input_Raw_Products'!F246,'10_Master_Gem_Types'!A:A,'10_Master_Gem_Types'!N:N),"")</f>
        <v>0</v>
      </c>
      <c r="K246" s="9" cm="1">
        <f t="array" ref="K246">IF('01_Input_Raw_Products'!J246&lt;&gt;"",'01_Input_Raw_Products'!J246,IFERROR(_xlfn.XLOOKUP('01_Input_Raw_Products'!F246,'10_Master_Gem_Types'!A:A,'10_Master_Gem_Types'!E:E),""))</f>
        <v>0</v>
      </c>
      <c r="L246" s="9">
        <f>'01_Input_Raw_Products'!P246</f>
        <v>0</v>
      </c>
      <c r="M246" s="9" cm="1">
        <f t="array" ref="M246">IFERROR(_xlfn.XLOOKUP('01_Input_Raw_Products'!K246,'12_Color_Mapping'!A:A,'12_Color_Mapping'!B:B),IFERROR(_xlfn.XLOOKUP('01_Input_Raw_Products'!F246,'10_Master_Gem_Types'!A:A,'10_Master_Gem_Types'!F:F),""))</f>
        <v>0</v>
      </c>
      <c r="N246" s="9">
        <f>IF(C246="","",IF('01_Input_Raw_Products'!F246&lt;&gt;"",'01_Input_Raw_Products'!F246,'01_Input_Raw_Products'!D246))</f>
        <v>0</v>
      </c>
      <c r="O246" s="9">
        <f>IF(C246="","","Catalog Automation")</f>
        <v>0</v>
      </c>
      <c r="P246" s="9">
        <f>'01_Input_Raw_Products'!U246</f>
        <v>0</v>
      </c>
      <c r="Q246" s="7">
        <f>IF('01_Input_Raw_Products'!O246&lt;&gt;"",'01_Input_Raw_Products'!O246,IF('01_Input_Raw_Products'!N246&lt;&gt;"",'01_Input_Raw_Products'!N246*1.1,""))</f>
        <v>0</v>
      </c>
      <c r="R246" s="9">
        <f>'01_Input_Raw_Products'!S246</f>
        <v>0</v>
      </c>
      <c r="S246" s="9" cm="1">
        <f t="array" ref="S246">IFERROR(_xlfn.XLOOKUP('01_Input_Raw_Products'!F246,'10_Master_Gem_Types'!A:A,'10_Master_Gem_Types'!H:H),"")</f>
        <v>0</v>
      </c>
      <c r="T246" s="8">
        <f>'01_Input_Raw_Products'!Q246</f>
        <v>0</v>
      </c>
      <c r="U246" s="8">
        <f>'01_Input_Raw_Products'!R246</f>
        <v>0</v>
      </c>
      <c r="V246" s="7">
        <f>I246</f>
        <v>0</v>
      </c>
      <c r="W246" s="9" cm="1">
        <f t="array" ref="W246">IF('01_Input_Raw_Products'!G246&lt;&gt;"",'01_Input_Raw_Products'!G246,IFERROR(_xlfn.XLOOKUP('01_Input_Raw_Products'!F246,'10_Master_Gem_Types'!A:A,'10_Master_Gem_Types'!L:L),""))</f>
        <v>0</v>
      </c>
      <c r="X246" s="9" cm="1">
        <f t="array" ref="X246">IFERROR(_xlfn.XLOOKUP('01_Input_Raw_Products'!F246,'10_Master_Gem_Types'!A:A,'10_Master_Gem_Types'!J:J),"")</f>
        <v>0</v>
      </c>
      <c r="Y246" s="9" cm="1">
        <f t="array" ref="Y246">IFERROR(_xlfn.XLOOKUP('01_Input_Raw_Products'!F246,'10_Master_Gem_Types'!A:A,'10_Master_Gem_Types'!I:I),"")</f>
        <v>0</v>
      </c>
      <c r="Z246" s="9" cm="1">
        <f t="array" ref="Z246">IFERROR(_xlfn.XLOOKUP('01_Input_Raw_Products'!L246,'13_Certification_Stickers'!A:A,'13_Certification_Stickers'!C:C),"")</f>
        <v>0</v>
      </c>
      <c r="AA246" s="9" cm="1">
        <f t="array" ref="AA246">IFERROR(_xlfn.XLOOKUP('01_Input_Raw_Products'!S246,'14_Shipping_Rules'!A:A,'14_Shipping_Rules'!B:B),"")</f>
        <v>0</v>
      </c>
      <c r="AB246" s="9" cm="1">
        <f t="array" ref="AB246">IFERROR(_xlfn.XLOOKUP('01_Input_Raw_Products'!D246,'16_Astro_Flags'!A:A,'16_Astro_Flags'!B:B),"")</f>
        <v>0</v>
      </c>
      <c r="AC246" s="9">
        <f>IF(C246="","","Catalog, Search")</f>
        <v>0</v>
      </c>
      <c r="AD246" s="9">
        <f>IF(C246="","",IF(OR(F246="",J246="",M246="",S246="",Y246=""),"Manual Review","Ready"))</f>
        <v>0</v>
      </c>
      <c r="AE246" s="9">
        <f>IF(C246="","",TEXTJOIN("; ",TRUE,IF(F246="","Missing url_key",""),IF(J246="","Missing classification",""),IF(M246="","Missing j_colour",""),IF(S246="","Missing hsn_code",""),IF(Y246="","Missing tax_class_id","")))</f>
        <v>0</v>
      </c>
    </row>
    <row r="247" spans="1:31">
      <c r="A247" s="9">
        <f>IF('01_Input_Raw_Products'!B247&lt;&gt;"",20,"")</f>
        <v>0</v>
      </c>
      <c r="B247" s="9" cm="1">
        <f t="array" ref="B247">IF('01_Input_Raw_Products'!M247&lt;&gt;"",'01_Input_Raw_Products'!M247,IFERROR(_xlfn.XLOOKUP('01_Input_Raw_Products'!F247,'10_Master_Gem_Types'!A:A,'10_Master_Gem_Types'!K:K),""))</f>
        <v>0</v>
      </c>
      <c r="C247" s="9">
        <f>'01_Input_Raw_Products'!B247</f>
        <v>0</v>
      </c>
      <c r="D247" s="9">
        <f>IF(C247="","",TEXT(I247,"0.00")&amp;" Ct "&amp;IF('01_Input_Raw_Products'!F247&lt;&gt;"",'01_Input_Raw_Products'!F247,'01_Input_Raw_Products'!D247)&amp;" "&amp;'01_Input_Raw_Products'!I247)</f>
        <v>0</v>
      </c>
      <c r="E247" s="9">
        <f>IF(C247="","",D247&amp;" | GemPundit")</f>
        <v>0</v>
      </c>
      <c r="F247" s="9" cm="1">
        <f t="array" ref="F247">IF('01_Input_Raw_Products'!X247&lt;&gt;"",'01_Input_Raw_Products'!X247,IFERROR(_xlfn.XLOOKUP('01_Input_Raw_Products'!F247,'10_Master_Gem_Types'!A:A,'10_Master_Gem_Types'!O:O),LOWER(SUBSTITUTE(IF('01_Input_Raw_Products'!F247&lt;&gt;"",'01_Input_Raw_Products'!F247,'01_Input_Raw_Products'!D247)," ","-"))))</f>
        <v>0</v>
      </c>
      <c r="G247" s="9">
        <f>'01_Input_Raw_Products'!C247</f>
        <v>0</v>
      </c>
      <c r="H247" s="9" cm="1">
        <f t="array" ref="H247">IF('01_Input_Raw_Products'!H247&lt;&gt;"",'01_Input_Raw_Products'!H247,IFERROR(_xlfn.XLOOKUP('01_Input_Raw_Products'!F247,'10_Master_Gem_Types'!A:A,'10_Master_Gem_Types'!D:D),""))</f>
        <v>0</v>
      </c>
      <c r="I247" s="7">
        <f>IF('01_Input_Raw_Products'!N247&lt;&gt;"",'01_Input_Raw_Products'!N247,IF('01_Input_Raw_Products'!O247&lt;&gt;"",'01_Input_Raw_Products'!O247*0.91,""))</f>
        <v>0</v>
      </c>
      <c r="J247" s="9" cm="1">
        <f t="array" ref="J247">IFERROR(_xlfn.XLOOKUP('01_Input_Raw_Products'!F247,'10_Master_Gem_Types'!A:A,'10_Master_Gem_Types'!N:N),"")</f>
        <v>0</v>
      </c>
      <c r="K247" s="9" cm="1">
        <f t="array" ref="K247">IF('01_Input_Raw_Products'!J247&lt;&gt;"",'01_Input_Raw_Products'!J247,IFERROR(_xlfn.XLOOKUP('01_Input_Raw_Products'!F247,'10_Master_Gem_Types'!A:A,'10_Master_Gem_Types'!E:E),""))</f>
        <v>0</v>
      </c>
      <c r="L247" s="9">
        <f>'01_Input_Raw_Products'!P247</f>
        <v>0</v>
      </c>
      <c r="M247" s="9" cm="1">
        <f t="array" ref="M247">IFERROR(_xlfn.XLOOKUP('01_Input_Raw_Products'!K247,'12_Color_Mapping'!A:A,'12_Color_Mapping'!B:B),IFERROR(_xlfn.XLOOKUP('01_Input_Raw_Products'!F247,'10_Master_Gem_Types'!A:A,'10_Master_Gem_Types'!F:F),""))</f>
        <v>0</v>
      </c>
      <c r="N247" s="9">
        <f>IF(C247="","",IF('01_Input_Raw_Products'!F247&lt;&gt;"",'01_Input_Raw_Products'!F247,'01_Input_Raw_Products'!D247))</f>
        <v>0</v>
      </c>
      <c r="O247" s="9">
        <f>IF(C247="","","Catalog Automation")</f>
        <v>0</v>
      </c>
      <c r="P247" s="9">
        <f>'01_Input_Raw_Products'!U247</f>
        <v>0</v>
      </c>
      <c r="Q247" s="7">
        <f>IF('01_Input_Raw_Products'!O247&lt;&gt;"",'01_Input_Raw_Products'!O247,IF('01_Input_Raw_Products'!N247&lt;&gt;"",'01_Input_Raw_Products'!N247*1.1,""))</f>
        <v>0</v>
      </c>
      <c r="R247" s="9">
        <f>'01_Input_Raw_Products'!S247</f>
        <v>0</v>
      </c>
      <c r="S247" s="9" cm="1">
        <f t="array" ref="S247">IFERROR(_xlfn.XLOOKUP('01_Input_Raw_Products'!F247,'10_Master_Gem_Types'!A:A,'10_Master_Gem_Types'!H:H),"")</f>
        <v>0</v>
      </c>
      <c r="T247" s="8">
        <f>'01_Input_Raw_Products'!Q247</f>
        <v>0</v>
      </c>
      <c r="U247" s="8">
        <f>'01_Input_Raw_Products'!R247</f>
        <v>0</v>
      </c>
      <c r="V247" s="7">
        <f>I247</f>
        <v>0</v>
      </c>
      <c r="W247" s="9" cm="1">
        <f t="array" ref="W247">IF('01_Input_Raw_Products'!G247&lt;&gt;"",'01_Input_Raw_Products'!G247,IFERROR(_xlfn.XLOOKUP('01_Input_Raw_Products'!F247,'10_Master_Gem_Types'!A:A,'10_Master_Gem_Types'!L:L),""))</f>
        <v>0</v>
      </c>
      <c r="X247" s="9" cm="1">
        <f t="array" ref="X247">IFERROR(_xlfn.XLOOKUP('01_Input_Raw_Products'!F247,'10_Master_Gem_Types'!A:A,'10_Master_Gem_Types'!J:J),"")</f>
        <v>0</v>
      </c>
      <c r="Y247" s="9" cm="1">
        <f t="array" ref="Y247">IFERROR(_xlfn.XLOOKUP('01_Input_Raw_Products'!F247,'10_Master_Gem_Types'!A:A,'10_Master_Gem_Types'!I:I),"")</f>
        <v>0</v>
      </c>
      <c r="Z247" s="9" cm="1">
        <f t="array" ref="Z247">IFERROR(_xlfn.XLOOKUP('01_Input_Raw_Products'!L247,'13_Certification_Stickers'!A:A,'13_Certification_Stickers'!C:C),"")</f>
        <v>0</v>
      </c>
      <c r="AA247" s="9" cm="1">
        <f t="array" ref="AA247">IFERROR(_xlfn.XLOOKUP('01_Input_Raw_Products'!S247,'14_Shipping_Rules'!A:A,'14_Shipping_Rules'!B:B),"")</f>
        <v>0</v>
      </c>
      <c r="AB247" s="9" cm="1">
        <f t="array" ref="AB247">IFERROR(_xlfn.XLOOKUP('01_Input_Raw_Products'!D247,'16_Astro_Flags'!A:A,'16_Astro_Flags'!B:B),"")</f>
        <v>0</v>
      </c>
      <c r="AC247" s="9">
        <f>IF(C247="","","Catalog, Search")</f>
        <v>0</v>
      </c>
      <c r="AD247" s="9">
        <f>IF(C247="","",IF(OR(F247="",J247="",M247="",S247="",Y247=""),"Manual Review","Ready"))</f>
        <v>0</v>
      </c>
      <c r="AE247" s="9">
        <f>IF(C247="","",TEXTJOIN("; ",TRUE,IF(F247="","Missing url_key",""),IF(J247="","Missing classification",""),IF(M247="","Missing j_colour",""),IF(S247="","Missing hsn_code",""),IF(Y247="","Missing tax_class_id","")))</f>
        <v>0</v>
      </c>
    </row>
    <row r="248" spans="1:31">
      <c r="A248" s="9">
        <f>IF('01_Input_Raw_Products'!B248&lt;&gt;"",20,"")</f>
        <v>0</v>
      </c>
      <c r="B248" s="9" cm="1">
        <f t="array" ref="B248">IF('01_Input_Raw_Products'!M248&lt;&gt;"",'01_Input_Raw_Products'!M248,IFERROR(_xlfn.XLOOKUP('01_Input_Raw_Products'!F248,'10_Master_Gem_Types'!A:A,'10_Master_Gem_Types'!K:K),""))</f>
        <v>0</v>
      </c>
      <c r="C248" s="9">
        <f>'01_Input_Raw_Products'!B248</f>
        <v>0</v>
      </c>
      <c r="D248" s="9">
        <f>IF(C248="","",TEXT(I248,"0.00")&amp;" Ct "&amp;IF('01_Input_Raw_Products'!F248&lt;&gt;"",'01_Input_Raw_Products'!F248,'01_Input_Raw_Products'!D248)&amp;" "&amp;'01_Input_Raw_Products'!I248)</f>
        <v>0</v>
      </c>
      <c r="E248" s="9">
        <f>IF(C248="","",D248&amp;" | GemPundit")</f>
        <v>0</v>
      </c>
      <c r="F248" s="9" cm="1">
        <f t="array" ref="F248">IF('01_Input_Raw_Products'!X248&lt;&gt;"",'01_Input_Raw_Products'!X248,IFERROR(_xlfn.XLOOKUP('01_Input_Raw_Products'!F248,'10_Master_Gem_Types'!A:A,'10_Master_Gem_Types'!O:O),LOWER(SUBSTITUTE(IF('01_Input_Raw_Products'!F248&lt;&gt;"",'01_Input_Raw_Products'!F248,'01_Input_Raw_Products'!D248)," ","-"))))</f>
        <v>0</v>
      </c>
      <c r="G248" s="9">
        <f>'01_Input_Raw_Products'!C248</f>
        <v>0</v>
      </c>
      <c r="H248" s="9" cm="1">
        <f t="array" ref="H248">IF('01_Input_Raw_Products'!H248&lt;&gt;"",'01_Input_Raw_Products'!H248,IFERROR(_xlfn.XLOOKUP('01_Input_Raw_Products'!F248,'10_Master_Gem_Types'!A:A,'10_Master_Gem_Types'!D:D),""))</f>
        <v>0</v>
      </c>
      <c r="I248" s="7">
        <f>IF('01_Input_Raw_Products'!N248&lt;&gt;"",'01_Input_Raw_Products'!N248,IF('01_Input_Raw_Products'!O248&lt;&gt;"",'01_Input_Raw_Products'!O248*0.91,""))</f>
        <v>0</v>
      </c>
      <c r="J248" s="9" cm="1">
        <f t="array" ref="J248">IFERROR(_xlfn.XLOOKUP('01_Input_Raw_Products'!F248,'10_Master_Gem_Types'!A:A,'10_Master_Gem_Types'!N:N),"")</f>
        <v>0</v>
      </c>
      <c r="K248" s="9" cm="1">
        <f t="array" ref="K248">IF('01_Input_Raw_Products'!J248&lt;&gt;"",'01_Input_Raw_Products'!J248,IFERROR(_xlfn.XLOOKUP('01_Input_Raw_Products'!F248,'10_Master_Gem_Types'!A:A,'10_Master_Gem_Types'!E:E),""))</f>
        <v>0</v>
      </c>
      <c r="L248" s="9">
        <f>'01_Input_Raw_Products'!P248</f>
        <v>0</v>
      </c>
      <c r="M248" s="9" cm="1">
        <f t="array" ref="M248">IFERROR(_xlfn.XLOOKUP('01_Input_Raw_Products'!K248,'12_Color_Mapping'!A:A,'12_Color_Mapping'!B:B),IFERROR(_xlfn.XLOOKUP('01_Input_Raw_Products'!F248,'10_Master_Gem_Types'!A:A,'10_Master_Gem_Types'!F:F),""))</f>
        <v>0</v>
      </c>
      <c r="N248" s="9">
        <f>IF(C248="","",IF('01_Input_Raw_Products'!F248&lt;&gt;"",'01_Input_Raw_Products'!F248,'01_Input_Raw_Products'!D248))</f>
        <v>0</v>
      </c>
      <c r="O248" s="9">
        <f>IF(C248="","","Catalog Automation")</f>
        <v>0</v>
      </c>
      <c r="P248" s="9">
        <f>'01_Input_Raw_Products'!U248</f>
        <v>0</v>
      </c>
      <c r="Q248" s="7">
        <f>IF('01_Input_Raw_Products'!O248&lt;&gt;"",'01_Input_Raw_Products'!O248,IF('01_Input_Raw_Products'!N248&lt;&gt;"",'01_Input_Raw_Products'!N248*1.1,""))</f>
        <v>0</v>
      </c>
      <c r="R248" s="9">
        <f>'01_Input_Raw_Products'!S248</f>
        <v>0</v>
      </c>
      <c r="S248" s="9" cm="1">
        <f t="array" ref="S248">IFERROR(_xlfn.XLOOKUP('01_Input_Raw_Products'!F248,'10_Master_Gem_Types'!A:A,'10_Master_Gem_Types'!H:H),"")</f>
        <v>0</v>
      </c>
      <c r="T248" s="8">
        <f>'01_Input_Raw_Products'!Q248</f>
        <v>0</v>
      </c>
      <c r="U248" s="8">
        <f>'01_Input_Raw_Products'!R248</f>
        <v>0</v>
      </c>
      <c r="V248" s="7">
        <f>I248</f>
        <v>0</v>
      </c>
      <c r="W248" s="9" cm="1">
        <f t="array" ref="W248">IF('01_Input_Raw_Products'!G248&lt;&gt;"",'01_Input_Raw_Products'!G248,IFERROR(_xlfn.XLOOKUP('01_Input_Raw_Products'!F248,'10_Master_Gem_Types'!A:A,'10_Master_Gem_Types'!L:L),""))</f>
        <v>0</v>
      </c>
      <c r="X248" s="9" cm="1">
        <f t="array" ref="X248">IFERROR(_xlfn.XLOOKUP('01_Input_Raw_Products'!F248,'10_Master_Gem_Types'!A:A,'10_Master_Gem_Types'!J:J),"")</f>
        <v>0</v>
      </c>
      <c r="Y248" s="9" cm="1">
        <f t="array" ref="Y248">IFERROR(_xlfn.XLOOKUP('01_Input_Raw_Products'!F248,'10_Master_Gem_Types'!A:A,'10_Master_Gem_Types'!I:I),"")</f>
        <v>0</v>
      </c>
      <c r="Z248" s="9" cm="1">
        <f t="array" ref="Z248">IFERROR(_xlfn.XLOOKUP('01_Input_Raw_Products'!L248,'13_Certification_Stickers'!A:A,'13_Certification_Stickers'!C:C),"")</f>
        <v>0</v>
      </c>
      <c r="AA248" s="9" cm="1">
        <f t="array" ref="AA248">IFERROR(_xlfn.XLOOKUP('01_Input_Raw_Products'!S248,'14_Shipping_Rules'!A:A,'14_Shipping_Rules'!B:B),"")</f>
        <v>0</v>
      </c>
      <c r="AB248" s="9" cm="1">
        <f t="array" ref="AB248">IFERROR(_xlfn.XLOOKUP('01_Input_Raw_Products'!D248,'16_Astro_Flags'!A:A,'16_Astro_Flags'!B:B),"")</f>
        <v>0</v>
      </c>
      <c r="AC248" s="9">
        <f>IF(C248="","","Catalog, Search")</f>
        <v>0</v>
      </c>
      <c r="AD248" s="9">
        <f>IF(C248="","",IF(OR(F248="",J248="",M248="",S248="",Y248=""),"Manual Review","Ready"))</f>
        <v>0</v>
      </c>
      <c r="AE248" s="9">
        <f>IF(C248="","",TEXTJOIN("; ",TRUE,IF(F248="","Missing url_key",""),IF(J248="","Missing classification",""),IF(M248="","Missing j_colour",""),IF(S248="","Missing hsn_code",""),IF(Y248="","Missing tax_class_id","")))</f>
        <v>0</v>
      </c>
    </row>
    <row r="249" spans="1:31">
      <c r="A249" s="9">
        <f>IF('01_Input_Raw_Products'!B249&lt;&gt;"",20,"")</f>
        <v>0</v>
      </c>
      <c r="B249" s="9" cm="1">
        <f t="array" ref="B249">IF('01_Input_Raw_Products'!M249&lt;&gt;"",'01_Input_Raw_Products'!M249,IFERROR(_xlfn.XLOOKUP('01_Input_Raw_Products'!F249,'10_Master_Gem_Types'!A:A,'10_Master_Gem_Types'!K:K),""))</f>
        <v>0</v>
      </c>
      <c r="C249" s="9">
        <f>'01_Input_Raw_Products'!B249</f>
        <v>0</v>
      </c>
      <c r="D249" s="9">
        <f>IF(C249="","",TEXT(I249,"0.00")&amp;" Ct "&amp;IF('01_Input_Raw_Products'!F249&lt;&gt;"",'01_Input_Raw_Products'!F249,'01_Input_Raw_Products'!D249)&amp;" "&amp;'01_Input_Raw_Products'!I249)</f>
        <v>0</v>
      </c>
      <c r="E249" s="9">
        <f>IF(C249="","",D249&amp;" | GemPundit")</f>
        <v>0</v>
      </c>
      <c r="F249" s="9" cm="1">
        <f t="array" ref="F249">IF('01_Input_Raw_Products'!X249&lt;&gt;"",'01_Input_Raw_Products'!X249,IFERROR(_xlfn.XLOOKUP('01_Input_Raw_Products'!F249,'10_Master_Gem_Types'!A:A,'10_Master_Gem_Types'!O:O),LOWER(SUBSTITUTE(IF('01_Input_Raw_Products'!F249&lt;&gt;"",'01_Input_Raw_Products'!F249,'01_Input_Raw_Products'!D249)," ","-"))))</f>
        <v>0</v>
      </c>
      <c r="G249" s="9">
        <f>'01_Input_Raw_Products'!C249</f>
        <v>0</v>
      </c>
      <c r="H249" s="9" cm="1">
        <f t="array" ref="H249">IF('01_Input_Raw_Products'!H249&lt;&gt;"",'01_Input_Raw_Products'!H249,IFERROR(_xlfn.XLOOKUP('01_Input_Raw_Products'!F249,'10_Master_Gem_Types'!A:A,'10_Master_Gem_Types'!D:D),""))</f>
        <v>0</v>
      </c>
      <c r="I249" s="7">
        <f>IF('01_Input_Raw_Products'!N249&lt;&gt;"",'01_Input_Raw_Products'!N249,IF('01_Input_Raw_Products'!O249&lt;&gt;"",'01_Input_Raw_Products'!O249*0.91,""))</f>
        <v>0</v>
      </c>
      <c r="J249" s="9" cm="1">
        <f t="array" ref="J249">IFERROR(_xlfn.XLOOKUP('01_Input_Raw_Products'!F249,'10_Master_Gem_Types'!A:A,'10_Master_Gem_Types'!N:N),"")</f>
        <v>0</v>
      </c>
      <c r="K249" s="9" cm="1">
        <f t="array" ref="K249">IF('01_Input_Raw_Products'!J249&lt;&gt;"",'01_Input_Raw_Products'!J249,IFERROR(_xlfn.XLOOKUP('01_Input_Raw_Products'!F249,'10_Master_Gem_Types'!A:A,'10_Master_Gem_Types'!E:E),""))</f>
        <v>0</v>
      </c>
      <c r="L249" s="9">
        <f>'01_Input_Raw_Products'!P249</f>
        <v>0</v>
      </c>
      <c r="M249" s="9" cm="1">
        <f t="array" ref="M249">IFERROR(_xlfn.XLOOKUP('01_Input_Raw_Products'!K249,'12_Color_Mapping'!A:A,'12_Color_Mapping'!B:B),IFERROR(_xlfn.XLOOKUP('01_Input_Raw_Products'!F249,'10_Master_Gem_Types'!A:A,'10_Master_Gem_Types'!F:F),""))</f>
        <v>0</v>
      </c>
      <c r="N249" s="9">
        <f>IF(C249="","",IF('01_Input_Raw_Products'!F249&lt;&gt;"",'01_Input_Raw_Products'!F249,'01_Input_Raw_Products'!D249))</f>
        <v>0</v>
      </c>
      <c r="O249" s="9">
        <f>IF(C249="","","Catalog Automation")</f>
        <v>0</v>
      </c>
      <c r="P249" s="9">
        <f>'01_Input_Raw_Products'!U249</f>
        <v>0</v>
      </c>
      <c r="Q249" s="7">
        <f>IF('01_Input_Raw_Products'!O249&lt;&gt;"",'01_Input_Raw_Products'!O249,IF('01_Input_Raw_Products'!N249&lt;&gt;"",'01_Input_Raw_Products'!N249*1.1,""))</f>
        <v>0</v>
      </c>
      <c r="R249" s="9">
        <f>'01_Input_Raw_Products'!S249</f>
        <v>0</v>
      </c>
      <c r="S249" s="9" cm="1">
        <f t="array" ref="S249">IFERROR(_xlfn.XLOOKUP('01_Input_Raw_Products'!F249,'10_Master_Gem_Types'!A:A,'10_Master_Gem_Types'!H:H),"")</f>
        <v>0</v>
      </c>
      <c r="T249" s="8">
        <f>'01_Input_Raw_Products'!Q249</f>
        <v>0</v>
      </c>
      <c r="U249" s="8">
        <f>'01_Input_Raw_Products'!R249</f>
        <v>0</v>
      </c>
      <c r="V249" s="7">
        <f>I249</f>
        <v>0</v>
      </c>
      <c r="W249" s="9" cm="1">
        <f t="array" ref="W249">IF('01_Input_Raw_Products'!G249&lt;&gt;"",'01_Input_Raw_Products'!G249,IFERROR(_xlfn.XLOOKUP('01_Input_Raw_Products'!F249,'10_Master_Gem_Types'!A:A,'10_Master_Gem_Types'!L:L),""))</f>
        <v>0</v>
      </c>
      <c r="X249" s="9" cm="1">
        <f t="array" ref="X249">IFERROR(_xlfn.XLOOKUP('01_Input_Raw_Products'!F249,'10_Master_Gem_Types'!A:A,'10_Master_Gem_Types'!J:J),"")</f>
        <v>0</v>
      </c>
      <c r="Y249" s="9" cm="1">
        <f t="array" ref="Y249">IFERROR(_xlfn.XLOOKUP('01_Input_Raw_Products'!F249,'10_Master_Gem_Types'!A:A,'10_Master_Gem_Types'!I:I),"")</f>
        <v>0</v>
      </c>
      <c r="Z249" s="9" cm="1">
        <f t="array" ref="Z249">IFERROR(_xlfn.XLOOKUP('01_Input_Raw_Products'!L249,'13_Certification_Stickers'!A:A,'13_Certification_Stickers'!C:C),"")</f>
        <v>0</v>
      </c>
      <c r="AA249" s="9" cm="1">
        <f t="array" ref="AA249">IFERROR(_xlfn.XLOOKUP('01_Input_Raw_Products'!S249,'14_Shipping_Rules'!A:A,'14_Shipping_Rules'!B:B),"")</f>
        <v>0</v>
      </c>
      <c r="AB249" s="9" cm="1">
        <f t="array" ref="AB249">IFERROR(_xlfn.XLOOKUP('01_Input_Raw_Products'!D249,'16_Astro_Flags'!A:A,'16_Astro_Flags'!B:B),"")</f>
        <v>0</v>
      </c>
      <c r="AC249" s="9">
        <f>IF(C249="","","Catalog, Search")</f>
        <v>0</v>
      </c>
      <c r="AD249" s="9">
        <f>IF(C249="","",IF(OR(F249="",J249="",M249="",S249="",Y249=""),"Manual Review","Ready"))</f>
        <v>0</v>
      </c>
      <c r="AE249" s="9">
        <f>IF(C249="","",TEXTJOIN("; ",TRUE,IF(F249="","Missing url_key",""),IF(J249="","Missing classification",""),IF(M249="","Missing j_colour",""),IF(S249="","Missing hsn_code",""),IF(Y249="","Missing tax_class_id","")))</f>
        <v>0</v>
      </c>
    </row>
    <row r="250" spans="1:31">
      <c r="A250" s="9">
        <f>IF('01_Input_Raw_Products'!B250&lt;&gt;"",20,"")</f>
        <v>0</v>
      </c>
      <c r="B250" s="9" cm="1">
        <f t="array" ref="B250">IF('01_Input_Raw_Products'!M250&lt;&gt;"",'01_Input_Raw_Products'!M250,IFERROR(_xlfn.XLOOKUP('01_Input_Raw_Products'!F250,'10_Master_Gem_Types'!A:A,'10_Master_Gem_Types'!K:K),""))</f>
        <v>0</v>
      </c>
      <c r="C250" s="9">
        <f>'01_Input_Raw_Products'!B250</f>
        <v>0</v>
      </c>
      <c r="D250" s="9">
        <f>IF(C250="","",TEXT(I250,"0.00")&amp;" Ct "&amp;IF('01_Input_Raw_Products'!F250&lt;&gt;"",'01_Input_Raw_Products'!F250,'01_Input_Raw_Products'!D250)&amp;" "&amp;'01_Input_Raw_Products'!I250)</f>
        <v>0</v>
      </c>
      <c r="E250" s="9">
        <f>IF(C250="","",D250&amp;" | GemPundit")</f>
        <v>0</v>
      </c>
      <c r="F250" s="9" cm="1">
        <f t="array" ref="F250">IF('01_Input_Raw_Products'!X250&lt;&gt;"",'01_Input_Raw_Products'!X250,IFERROR(_xlfn.XLOOKUP('01_Input_Raw_Products'!F250,'10_Master_Gem_Types'!A:A,'10_Master_Gem_Types'!O:O),LOWER(SUBSTITUTE(IF('01_Input_Raw_Products'!F250&lt;&gt;"",'01_Input_Raw_Products'!F250,'01_Input_Raw_Products'!D250)," ","-"))))</f>
        <v>0</v>
      </c>
      <c r="G250" s="9">
        <f>'01_Input_Raw_Products'!C250</f>
        <v>0</v>
      </c>
      <c r="H250" s="9" cm="1">
        <f t="array" ref="H250">IF('01_Input_Raw_Products'!H250&lt;&gt;"",'01_Input_Raw_Products'!H250,IFERROR(_xlfn.XLOOKUP('01_Input_Raw_Products'!F250,'10_Master_Gem_Types'!A:A,'10_Master_Gem_Types'!D:D),""))</f>
        <v>0</v>
      </c>
      <c r="I250" s="7">
        <f>IF('01_Input_Raw_Products'!N250&lt;&gt;"",'01_Input_Raw_Products'!N250,IF('01_Input_Raw_Products'!O250&lt;&gt;"",'01_Input_Raw_Products'!O250*0.91,""))</f>
        <v>0</v>
      </c>
      <c r="J250" s="9" cm="1">
        <f t="array" ref="J250">IFERROR(_xlfn.XLOOKUP('01_Input_Raw_Products'!F250,'10_Master_Gem_Types'!A:A,'10_Master_Gem_Types'!N:N),"")</f>
        <v>0</v>
      </c>
      <c r="K250" s="9" cm="1">
        <f t="array" ref="K250">IF('01_Input_Raw_Products'!J250&lt;&gt;"",'01_Input_Raw_Products'!J250,IFERROR(_xlfn.XLOOKUP('01_Input_Raw_Products'!F250,'10_Master_Gem_Types'!A:A,'10_Master_Gem_Types'!E:E),""))</f>
        <v>0</v>
      </c>
      <c r="L250" s="9">
        <f>'01_Input_Raw_Products'!P250</f>
        <v>0</v>
      </c>
      <c r="M250" s="9" cm="1">
        <f t="array" ref="M250">IFERROR(_xlfn.XLOOKUP('01_Input_Raw_Products'!K250,'12_Color_Mapping'!A:A,'12_Color_Mapping'!B:B),IFERROR(_xlfn.XLOOKUP('01_Input_Raw_Products'!F250,'10_Master_Gem_Types'!A:A,'10_Master_Gem_Types'!F:F),""))</f>
        <v>0</v>
      </c>
      <c r="N250" s="9">
        <f>IF(C250="","",IF('01_Input_Raw_Products'!F250&lt;&gt;"",'01_Input_Raw_Products'!F250,'01_Input_Raw_Products'!D250))</f>
        <v>0</v>
      </c>
      <c r="O250" s="9">
        <f>IF(C250="","","Catalog Automation")</f>
        <v>0</v>
      </c>
      <c r="P250" s="9">
        <f>'01_Input_Raw_Products'!U250</f>
        <v>0</v>
      </c>
      <c r="Q250" s="7">
        <f>IF('01_Input_Raw_Products'!O250&lt;&gt;"",'01_Input_Raw_Products'!O250,IF('01_Input_Raw_Products'!N250&lt;&gt;"",'01_Input_Raw_Products'!N250*1.1,""))</f>
        <v>0</v>
      </c>
      <c r="R250" s="9">
        <f>'01_Input_Raw_Products'!S250</f>
        <v>0</v>
      </c>
      <c r="S250" s="9" cm="1">
        <f t="array" ref="S250">IFERROR(_xlfn.XLOOKUP('01_Input_Raw_Products'!F250,'10_Master_Gem_Types'!A:A,'10_Master_Gem_Types'!H:H),"")</f>
        <v>0</v>
      </c>
      <c r="T250" s="8">
        <f>'01_Input_Raw_Products'!Q250</f>
        <v>0</v>
      </c>
      <c r="U250" s="8">
        <f>'01_Input_Raw_Products'!R250</f>
        <v>0</v>
      </c>
      <c r="V250" s="7">
        <f>I250</f>
        <v>0</v>
      </c>
      <c r="W250" s="9" cm="1">
        <f t="array" ref="W250">IF('01_Input_Raw_Products'!G250&lt;&gt;"",'01_Input_Raw_Products'!G250,IFERROR(_xlfn.XLOOKUP('01_Input_Raw_Products'!F250,'10_Master_Gem_Types'!A:A,'10_Master_Gem_Types'!L:L),""))</f>
        <v>0</v>
      </c>
      <c r="X250" s="9" cm="1">
        <f t="array" ref="X250">IFERROR(_xlfn.XLOOKUP('01_Input_Raw_Products'!F250,'10_Master_Gem_Types'!A:A,'10_Master_Gem_Types'!J:J),"")</f>
        <v>0</v>
      </c>
      <c r="Y250" s="9" cm="1">
        <f t="array" ref="Y250">IFERROR(_xlfn.XLOOKUP('01_Input_Raw_Products'!F250,'10_Master_Gem_Types'!A:A,'10_Master_Gem_Types'!I:I),"")</f>
        <v>0</v>
      </c>
      <c r="Z250" s="9" cm="1">
        <f t="array" ref="Z250">IFERROR(_xlfn.XLOOKUP('01_Input_Raw_Products'!L250,'13_Certification_Stickers'!A:A,'13_Certification_Stickers'!C:C),"")</f>
        <v>0</v>
      </c>
      <c r="AA250" s="9" cm="1">
        <f t="array" ref="AA250">IFERROR(_xlfn.XLOOKUP('01_Input_Raw_Products'!S250,'14_Shipping_Rules'!A:A,'14_Shipping_Rules'!B:B),"")</f>
        <v>0</v>
      </c>
      <c r="AB250" s="9" cm="1">
        <f t="array" ref="AB250">IFERROR(_xlfn.XLOOKUP('01_Input_Raw_Products'!D250,'16_Astro_Flags'!A:A,'16_Astro_Flags'!B:B),"")</f>
        <v>0</v>
      </c>
      <c r="AC250" s="9">
        <f>IF(C250="","","Catalog, Search")</f>
        <v>0</v>
      </c>
      <c r="AD250" s="9">
        <f>IF(C250="","",IF(OR(F250="",J250="",M250="",S250="",Y250=""),"Manual Review","Ready"))</f>
        <v>0</v>
      </c>
      <c r="AE250" s="9">
        <f>IF(C250="","",TEXTJOIN("; ",TRUE,IF(F250="","Missing url_key",""),IF(J250="","Missing classification",""),IF(M250="","Missing j_colour",""),IF(S250="","Missing hsn_code",""),IF(Y250="","Missing tax_class_id","")))</f>
        <v>0</v>
      </c>
    </row>
    <row r="251" spans="1:31">
      <c r="A251" s="9">
        <f>IF('01_Input_Raw_Products'!B251&lt;&gt;"",20,"")</f>
        <v>0</v>
      </c>
      <c r="B251" s="9" cm="1">
        <f t="array" ref="B251">IF('01_Input_Raw_Products'!M251&lt;&gt;"",'01_Input_Raw_Products'!M251,IFERROR(_xlfn.XLOOKUP('01_Input_Raw_Products'!F251,'10_Master_Gem_Types'!A:A,'10_Master_Gem_Types'!K:K),""))</f>
        <v>0</v>
      </c>
      <c r="C251" s="9">
        <f>'01_Input_Raw_Products'!B251</f>
        <v>0</v>
      </c>
      <c r="D251" s="9">
        <f>IF(C251="","",TEXT(I251,"0.00")&amp;" Ct "&amp;IF('01_Input_Raw_Products'!F251&lt;&gt;"",'01_Input_Raw_Products'!F251,'01_Input_Raw_Products'!D251)&amp;" "&amp;'01_Input_Raw_Products'!I251)</f>
        <v>0</v>
      </c>
      <c r="E251" s="9">
        <f>IF(C251="","",D251&amp;" | GemPundit")</f>
        <v>0</v>
      </c>
      <c r="F251" s="9" cm="1">
        <f t="array" ref="F251">IF('01_Input_Raw_Products'!X251&lt;&gt;"",'01_Input_Raw_Products'!X251,IFERROR(_xlfn.XLOOKUP('01_Input_Raw_Products'!F251,'10_Master_Gem_Types'!A:A,'10_Master_Gem_Types'!O:O),LOWER(SUBSTITUTE(IF('01_Input_Raw_Products'!F251&lt;&gt;"",'01_Input_Raw_Products'!F251,'01_Input_Raw_Products'!D251)," ","-"))))</f>
        <v>0</v>
      </c>
      <c r="G251" s="9">
        <f>'01_Input_Raw_Products'!C251</f>
        <v>0</v>
      </c>
      <c r="H251" s="9" cm="1">
        <f t="array" ref="H251">IF('01_Input_Raw_Products'!H251&lt;&gt;"",'01_Input_Raw_Products'!H251,IFERROR(_xlfn.XLOOKUP('01_Input_Raw_Products'!F251,'10_Master_Gem_Types'!A:A,'10_Master_Gem_Types'!D:D),""))</f>
        <v>0</v>
      </c>
      <c r="I251" s="7">
        <f>IF('01_Input_Raw_Products'!N251&lt;&gt;"",'01_Input_Raw_Products'!N251,IF('01_Input_Raw_Products'!O251&lt;&gt;"",'01_Input_Raw_Products'!O251*0.91,""))</f>
        <v>0</v>
      </c>
      <c r="J251" s="9" cm="1">
        <f t="array" ref="J251">IFERROR(_xlfn.XLOOKUP('01_Input_Raw_Products'!F251,'10_Master_Gem_Types'!A:A,'10_Master_Gem_Types'!N:N),"")</f>
        <v>0</v>
      </c>
      <c r="K251" s="9" cm="1">
        <f t="array" ref="K251">IF('01_Input_Raw_Products'!J251&lt;&gt;"",'01_Input_Raw_Products'!J251,IFERROR(_xlfn.XLOOKUP('01_Input_Raw_Products'!F251,'10_Master_Gem_Types'!A:A,'10_Master_Gem_Types'!E:E),""))</f>
        <v>0</v>
      </c>
      <c r="L251" s="9">
        <f>'01_Input_Raw_Products'!P251</f>
        <v>0</v>
      </c>
      <c r="M251" s="9" cm="1">
        <f t="array" ref="M251">IFERROR(_xlfn.XLOOKUP('01_Input_Raw_Products'!K251,'12_Color_Mapping'!A:A,'12_Color_Mapping'!B:B),IFERROR(_xlfn.XLOOKUP('01_Input_Raw_Products'!F251,'10_Master_Gem_Types'!A:A,'10_Master_Gem_Types'!F:F),""))</f>
        <v>0</v>
      </c>
      <c r="N251" s="9">
        <f>IF(C251="","",IF('01_Input_Raw_Products'!F251&lt;&gt;"",'01_Input_Raw_Products'!F251,'01_Input_Raw_Products'!D251))</f>
        <v>0</v>
      </c>
      <c r="O251" s="9">
        <f>IF(C251="","","Catalog Automation")</f>
        <v>0</v>
      </c>
      <c r="P251" s="9">
        <f>'01_Input_Raw_Products'!U251</f>
        <v>0</v>
      </c>
      <c r="Q251" s="7">
        <f>IF('01_Input_Raw_Products'!O251&lt;&gt;"",'01_Input_Raw_Products'!O251,IF('01_Input_Raw_Products'!N251&lt;&gt;"",'01_Input_Raw_Products'!N251*1.1,""))</f>
        <v>0</v>
      </c>
      <c r="R251" s="9">
        <f>'01_Input_Raw_Products'!S251</f>
        <v>0</v>
      </c>
      <c r="S251" s="9" cm="1">
        <f t="array" ref="S251">IFERROR(_xlfn.XLOOKUP('01_Input_Raw_Products'!F251,'10_Master_Gem_Types'!A:A,'10_Master_Gem_Types'!H:H),"")</f>
        <v>0</v>
      </c>
      <c r="T251" s="8">
        <f>'01_Input_Raw_Products'!Q251</f>
        <v>0</v>
      </c>
      <c r="U251" s="8">
        <f>'01_Input_Raw_Products'!R251</f>
        <v>0</v>
      </c>
      <c r="V251" s="7">
        <f>I251</f>
        <v>0</v>
      </c>
      <c r="W251" s="9" cm="1">
        <f t="array" ref="W251">IF('01_Input_Raw_Products'!G251&lt;&gt;"",'01_Input_Raw_Products'!G251,IFERROR(_xlfn.XLOOKUP('01_Input_Raw_Products'!F251,'10_Master_Gem_Types'!A:A,'10_Master_Gem_Types'!L:L),""))</f>
        <v>0</v>
      </c>
      <c r="X251" s="9" cm="1">
        <f t="array" ref="X251">IFERROR(_xlfn.XLOOKUP('01_Input_Raw_Products'!F251,'10_Master_Gem_Types'!A:A,'10_Master_Gem_Types'!J:J),"")</f>
        <v>0</v>
      </c>
      <c r="Y251" s="9" cm="1">
        <f t="array" ref="Y251">IFERROR(_xlfn.XLOOKUP('01_Input_Raw_Products'!F251,'10_Master_Gem_Types'!A:A,'10_Master_Gem_Types'!I:I),"")</f>
        <v>0</v>
      </c>
      <c r="Z251" s="9" cm="1">
        <f t="array" ref="Z251">IFERROR(_xlfn.XLOOKUP('01_Input_Raw_Products'!L251,'13_Certification_Stickers'!A:A,'13_Certification_Stickers'!C:C),"")</f>
        <v>0</v>
      </c>
      <c r="AA251" s="9" cm="1">
        <f t="array" ref="AA251">IFERROR(_xlfn.XLOOKUP('01_Input_Raw_Products'!S251,'14_Shipping_Rules'!A:A,'14_Shipping_Rules'!B:B),"")</f>
        <v>0</v>
      </c>
      <c r="AB251" s="9" cm="1">
        <f t="array" ref="AB251">IFERROR(_xlfn.XLOOKUP('01_Input_Raw_Products'!D251,'16_Astro_Flags'!A:A,'16_Astro_Flags'!B:B),"")</f>
        <v>0</v>
      </c>
      <c r="AC251" s="9">
        <f>IF(C251="","","Catalog, Search")</f>
        <v>0</v>
      </c>
      <c r="AD251" s="9">
        <f>IF(C251="","",IF(OR(F251="",J251="",M251="",S251="",Y251=""),"Manual Review","Ready"))</f>
        <v>0</v>
      </c>
      <c r="AE251" s="9">
        <f>IF(C251="","",TEXTJOIN("; ",TRUE,IF(F251="","Missing url_key",""),IF(J251="","Missing classification",""),IF(M251="","Missing j_colour",""),IF(S251="","Missing hsn_code",""),IF(Y251="","Missing tax_class_id","")))</f>
        <v>0</v>
      </c>
    </row>
    <row r="252" spans="1:31">
      <c r="A252" s="9">
        <f>IF('01_Input_Raw_Products'!B252&lt;&gt;"",20,"")</f>
        <v>0</v>
      </c>
      <c r="B252" s="9" cm="1">
        <f t="array" ref="B252">IF('01_Input_Raw_Products'!M252&lt;&gt;"",'01_Input_Raw_Products'!M252,IFERROR(_xlfn.XLOOKUP('01_Input_Raw_Products'!F252,'10_Master_Gem_Types'!A:A,'10_Master_Gem_Types'!K:K),""))</f>
        <v>0</v>
      </c>
      <c r="C252" s="9">
        <f>'01_Input_Raw_Products'!B252</f>
        <v>0</v>
      </c>
      <c r="D252" s="9">
        <f>IF(C252="","",TEXT(I252,"0.00")&amp;" Ct "&amp;IF('01_Input_Raw_Products'!F252&lt;&gt;"",'01_Input_Raw_Products'!F252,'01_Input_Raw_Products'!D252)&amp;" "&amp;'01_Input_Raw_Products'!I252)</f>
        <v>0</v>
      </c>
      <c r="E252" s="9">
        <f>IF(C252="","",D252&amp;" | GemPundit")</f>
        <v>0</v>
      </c>
      <c r="F252" s="9" cm="1">
        <f t="array" ref="F252">IF('01_Input_Raw_Products'!X252&lt;&gt;"",'01_Input_Raw_Products'!X252,IFERROR(_xlfn.XLOOKUP('01_Input_Raw_Products'!F252,'10_Master_Gem_Types'!A:A,'10_Master_Gem_Types'!O:O),LOWER(SUBSTITUTE(IF('01_Input_Raw_Products'!F252&lt;&gt;"",'01_Input_Raw_Products'!F252,'01_Input_Raw_Products'!D252)," ","-"))))</f>
        <v>0</v>
      </c>
      <c r="G252" s="9">
        <f>'01_Input_Raw_Products'!C252</f>
        <v>0</v>
      </c>
      <c r="H252" s="9" cm="1">
        <f t="array" ref="H252">IF('01_Input_Raw_Products'!H252&lt;&gt;"",'01_Input_Raw_Products'!H252,IFERROR(_xlfn.XLOOKUP('01_Input_Raw_Products'!F252,'10_Master_Gem_Types'!A:A,'10_Master_Gem_Types'!D:D),""))</f>
        <v>0</v>
      </c>
      <c r="I252" s="7">
        <f>IF('01_Input_Raw_Products'!N252&lt;&gt;"",'01_Input_Raw_Products'!N252,IF('01_Input_Raw_Products'!O252&lt;&gt;"",'01_Input_Raw_Products'!O252*0.91,""))</f>
        <v>0</v>
      </c>
      <c r="J252" s="9" cm="1">
        <f t="array" ref="J252">IFERROR(_xlfn.XLOOKUP('01_Input_Raw_Products'!F252,'10_Master_Gem_Types'!A:A,'10_Master_Gem_Types'!N:N),"")</f>
        <v>0</v>
      </c>
      <c r="K252" s="9" cm="1">
        <f t="array" ref="K252">IF('01_Input_Raw_Products'!J252&lt;&gt;"",'01_Input_Raw_Products'!J252,IFERROR(_xlfn.XLOOKUP('01_Input_Raw_Products'!F252,'10_Master_Gem_Types'!A:A,'10_Master_Gem_Types'!E:E),""))</f>
        <v>0</v>
      </c>
      <c r="L252" s="9">
        <f>'01_Input_Raw_Products'!P252</f>
        <v>0</v>
      </c>
      <c r="M252" s="9" cm="1">
        <f t="array" ref="M252">IFERROR(_xlfn.XLOOKUP('01_Input_Raw_Products'!K252,'12_Color_Mapping'!A:A,'12_Color_Mapping'!B:B),IFERROR(_xlfn.XLOOKUP('01_Input_Raw_Products'!F252,'10_Master_Gem_Types'!A:A,'10_Master_Gem_Types'!F:F),""))</f>
        <v>0</v>
      </c>
      <c r="N252" s="9">
        <f>IF(C252="","",IF('01_Input_Raw_Products'!F252&lt;&gt;"",'01_Input_Raw_Products'!F252,'01_Input_Raw_Products'!D252))</f>
        <v>0</v>
      </c>
      <c r="O252" s="9">
        <f>IF(C252="","","Catalog Automation")</f>
        <v>0</v>
      </c>
      <c r="P252" s="9">
        <f>'01_Input_Raw_Products'!U252</f>
        <v>0</v>
      </c>
      <c r="Q252" s="7">
        <f>IF('01_Input_Raw_Products'!O252&lt;&gt;"",'01_Input_Raw_Products'!O252,IF('01_Input_Raw_Products'!N252&lt;&gt;"",'01_Input_Raw_Products'!N252*1.1,""))</f>
        <v>0</v>
      </c>
      <c r="R252" s="9">
        <f>'01_Input_Raw_Products'!S252</f>
        <v>0</v>
      </c>
      <c r="S252" s="9" cm="1">
        <f t="array" ref="S252">IFERROR(_xlfn.XLOOKUP('01_Input_Raw_Products'!F252,'10_Master_Gem_Types'!A:A,'10_Master_Gem_Types'!H:H),"")</f>
        <v>0</v>
      </c>
      <c r="T252" s="8">
        <f>'01_Input_Raw_Products'!Q252</f>
        <v>0</v>
      </c>
      <c r="U252" s="8">
        <f>'01_Input_Raw_Products'!R252</f>
        <v>0</v>
      </c>
      <c r="V252" s="7">
        <f>I252</f>
        <v>0</v>
      </c>
      <c r="W252" s="9" cm="1">
        <f t="array" ref="W252">IF('01_Input_Raw_Products'!G252&lt;&gt;"",'01_Input_Raw_Products'!G252,IFERROR(_xlfn.XLOOKUP('01_Input_Raw_Products'!F252,'10_Master_Gem_Types'!A:A,'10_Master_Gem_Types'!L:L),""))</f>
        <v>0</v>
      </c>
      <c r="X252" s="9" cm="1">
        <f t="array" ref="X252">IFERROR(_xlfn.XLOOKUP('01_Input_Raw_Products'!F252,'10_Master_Gem_Types'!A:A,'10_Master_Gem_Types'!J:J),"")</f>
        <v>0</v>
      </c>
      <c r="Y252" s="9" cm="1">
        <f t="array" ref="Y252">IFERROR(_xlfn.XLOOKUP('01_Input_Raw_Products'!F252,'10_Master_Gem_Types'!A:A,'10_Master_Gem_Types'!I:I),"")</f>
        <v>0</v>
      </c>
      <c r="Z252" s="9" cm="1">
        <f t="array" ref="Z252">IFERROR(_xlfn.XLOOKUP('01_Input_Raw_Products'!L252,'13_Certification_Stickers'!A:A,'13_Certification_Stickers'!C:C),"")</f>
        <v>0</v>
      </c>
      <c r="AA252" s="9" cm="1">
        <f t="array" ref="AA252">IFERROR(_xlfn.XLOOKUP('01_Input_Raw_Products'!S252,'14_Shipping_Rules'!A:A,'14_Shipping_Rules'!B:B),"")</f>
        <v>0</v>
      </c>
      <c r="AB252" s="9" cm="1">
        <f t="array" ref="AB252">IFERROR(_xlfn.XLOOKUP('01_Input_Raw_Products'!D252,'16_Astro_Flags'!A:A,'16_Astro_Flags'!B:B),"")</f>
        <v>0</v>
      </c>
      <c r="AC252" s="9">
        <f>IF(C252="","","Catalog, Search")</f>
        <v>0</v>
      </c>
      <c r="AD252" s="9">
        <f>IF(C252="","",IF(OR(F252="",J252="",M252="",S252="",Y252=""),"Manual Review","Ready"))</f>
        <v>0</v>
      </c>
      <c r="AE252" s="9">
        <f>IF(C252="","",TEXTJOIN("; ",TRUE,IF(F252="","Missing url_key",""),IF(J252="","Missing classification",""),IF(M252="","Missing j_colour",""),IF(S252="","Missing hsn_code",""),IF(Y252="","Missing tax_class_id","")))</f>
        <v>0</v>
      </c>
    </row>
    <row r="253" spans="1:31">
      <c r="A253" s="9">
        <f>IF('01_Input_Raw_Products'!B253&lt;&gt;"",20,"")</f>
        <v>0</v>
      </c>
      <c r="B253" s="9" cm="1">
        <f t="array" ref="B253">IF('01_Input_Raw_Products'!M253&lt;&gt;"",'01_Input_Raw_Products'!M253,IFERROR(_xlfn.XLOOKUP('01_Input_Raw_Products'!F253,'10_Master_Gem_Types'!A:A,'10_Master_Gem_Types'!K:K),""))</f>
        <v>0</v>
      </c>
      <c r="C253" s="9">
        <f>'01_Input_Raw_Products'!B253</f>
        <v>0</v>
      </c>
      <c r="D253" s="9">
        <f>IF(C253="","",TEXT(I253,"0.00")&amp;" Ct "&amp;IF('01_Input_Raw_Products'!F253&lt;&gt;"",'01_Input_Raw_Products'!F253,'01_Input_Raw_Products'!D253)&amp;" "&amp;'01_Input_Raw_Products'!I253)</f>
        <v>0</v>
      </c>
      <c r="E253" s="9">
        <f>IF(C253="","",D253&amp;" | GemPundit")</f>
        <v>0</v>
      </c>
      <c r="F253" s="9" cm="1">
        <f t="array" ref="F253">IF('01_Input_Raw_Products'!X253&lt;&gt;"",'01_Input_Raw_Products'!X253,IFERROR(_xlfn.XLOOKUP('01_Input_Raw_Products'!F253,'10_Master_Gem_Types'!A:A,'10_Master_Gem_Types'!O:O),LOWER(SUBSTITUTE(IF('01_Input_Raw_Products'!F253&lt;&gt;"",'01_Input_Raw_Products'!F253,'01_Input_Raw_Products'!D253)," ","-"))))</f>
        <v>0</v>
      </c>
      <c r="G253" s="9">
        <f>'01_Input_Raw_Products'!C253</f>
        <v>0</v>
      </c>
      <c r="H253" s="9" cm="1">
        <f t="array" ref="H253">IF('01_Input_Raw_Products'!H253&lt;&gt;"",'01_Input_Raw_Products'!H253,IFERROR(_xlfn.XLOOKUP('01_Input_Raw_Products'!F253,'10_Master_Gem_Types'!A:A,'10_Master_Gem_Types'!D:D),""))</f>
        <v>0</v>
      </c>
      <c r="I253" s="7">
        <f>IF('01_Input_Raw_Products'!N253&lt;&gt;"",'01_Input_Raw_Products'!N253,IF('01_Input_Raw_Products'!O253&lt;&gt;"",'01_Input_Raw_Products'!O253*0.91,""))</f>
        <v>0</v>
      </c>
      <c r="J253" s="9" cm="1">
        <f t="array" ref="J253">IFERROR(_xlfn.XLOOKUP('01_Input_Raw_Products'!F253,'10_Master_Gem_Types'!A:A,'10_Master_Gem_Types'!N:N),"")</f>
        <v>0</v>
      </c>
      <c r="K253" s="9" cm="1">
        <f t="array" ref="K253">IF('01_Input_Raw_Products'!J253&lt;&gt;"",'01_Input_Raw_Products'!J253,IFERROR(_xlfn.XLOOKUP('01_Input_Raw_Products'!F253,'10_Master_Gem_Types'!A:A,'10_Master_Gem_Types'!E:E),""))</f>
        <v>0</v>
      </c>
      <c r="L253" s="9">
        <f>'01_Input_Raw_Products'!P253</f>
        <v>0</v>
      </c>
      <c r="M253" s="9" cm="1">
        <f t="array" ref="M253">IFERROR(_xlfn.XLOOKUP('01_Input_Raw_Products'!K253,'12_Color_Mapping'!A:A,'12_Color_Mapping'!B:B),IFERROR(_xlfn.XLOOKUP('01_Input_Raw_Products'!F253,'10_Master_Gem_Types'!A:A,'10_Master_Gem_Types'!F:F),""))</f>
        <v>0</v>
      </c>
      <c r="N253" s="9">
        <f>IF(C253="","",IF('01_Input_Raw_Products'!F253&lt;&gt;"",'01_Input_Raw_Products'!F253,'01_Input_Raw_Products'!D253))</f>
        <v>0</v>
      </c>
      <c r="O253" s="9">
        <f>IF(C253="","","Catalog Automation")</f>
        <v>0</v>
      </c>
      <c r="P253" s="9">
        <f>'01_Input_Raw_Products'!U253</f>
        <v>0</v>
      </c>
      <c r="Q253" s="7">
        <f>IF('01_Input_Raw_Products'!O253&lt;&gt;"",'01_Input_Raw_Products'!O253,IF('01_Input_Raw_Products'!N253&lt;&gt;"",'01_Input_Raw_Products'!N253*1.1,""))</f>
        <v>0</v>
      </c>
      <c r="R253" s="9">
        <f>'01_Input_Raw_Products'!S253</f>
        <v>0</v>
      </c>
      <c r="S253" s="9" cm="1">
        <f t="array" ref="S253">IFERROR(_xlfn.XLOOKUP('01_Input_Raw_Products'!F253,'10_Master_Gem_Types'!A:A,'10_Master_Gem_Types'!H:H),"")</f>
        <v>0</v>
      </c>
      <c r="T253" s="8">
        <f>'01_Input_Raw_Products'!Q253</f>
        <v>0</v>
      </c>
      <c r="U253" s="8">
        <f>'01_Input_Raw_Products'!R253</f>
        <v>0</v>
      </c>
      <c r="V253" s="7">
        <f>I253</f>
        <v>0</v>
      </c>
      <c r="W253" s="9" cm="1">
        <f t="array" ref="W253">IF('01_Input_Raw_Products'!G253&lt;&gt;"",'01_Input_Raw_Products'!G253,IFERROR(_xlfn.XLOOKUP('01_Input_Raw_Products'!F253,'10_Master_Gem_Types'!A:A,'10_Master_Gem_Types'!L:L),""))</f>
        <v>0</v>
      </c>
      <c r="X253" s="9" cm="1">
        <f t="array" ref="X253">IFERROR(_xlfn.XLOOKUP('01_Input_Raw_Products'!F253,'10_Master_Gem_Types'!A:A,'10_Master_Gem_Types'!J:J),"")</f>
        <v>0</v>
      </c>
      <c r="Y253" s="9" cm="1">
        <f t="array" ref="Y253">IFERROR(_xlfn.XLOOKUP('01_Input_Raw_Products'!F253,'10_Master_Gem_Types'!A:A,'10_Master_Gem_Types'!I:I),"")</f>
        <v>0</v>
      </c>
      <c r="Z253" s="9" cm="1">
        <f t="array" ref="Z253">IFERROR(_xlfn.XLOOKUP('01_Input_Raw_Products'!L253,'13_Certification_Stickers'!A:A,'13_Certification_Stickers'!C:C),"")</f>
        <v>0</v>
      </c>
      <c r="AA253" s="9" cm="1">
        <f t="array" ref="AA253">IFERROR(_xlfn.XLOOKUP('01_Input_Raw_Products'!S253,'14_Shipping_Rules'!A:A,'14_Shipping_Rules'!B:B),"")</f>
        <v>0</v>
      </c>
      <c r="AB253" s="9" cm="1">
        <f t="array" ref="AB253">IFERROR(_xlfn.XLOOKUP('01_Input_Raw_Products'!D253,'16_Astro_Flags'!A:A,'16_Astro_Flags'!B:B),"")</f>
        <v>0</v>
      </c>
      <c r="AC253" s="9">
        <f>IF(C253="","","Catalog, Search")</f>
        <v>0</v>
      </c>
      <c r="AD253" s="9">
        <f>IF(C253="","",IF(OR(F253="",J253="",M253="",S253="",Y253=""),"Manual Review","Ready"))</f>
        <v>0</v>
      </c>
      <c r="AE253" s="9">
        <f>IF(C253="","",TEXTJOIN("; ",TRUE,IF(F253="","Missing url_key",""),IF(J253="","Missing classification",""),IF(M253="","Missing j_colour",""),IF(S253="","Missing hsn_code",""),IF(Y253="","Missing tax_class_id","")))</f>
        <v>0</v>
      </c>
    </row>
    <row r="254" spans="1:31">
      <c r="A254" s="9">
        <f>IF('01_Input_Raw_Products'!B254&lt;&gt;"",20,"")</f>
        <v>0</v>
      </c>
      <c r="B254" s="9" cm="1">
        <f t="array" ref="B254">IF('01_Input_Raw_Products'!M254&lt;&gt;"",'01_Input_Raw_Products'!M254,IFERROR(_xlfn.XLOOKUP('01_Input_Raw_Products'!F254,'10_Master_Gem_Types'!A:A,'10_Master_Gem_Types'!K:K),""))</f>
        <v>0</v>
      </c>
      <c r="C254" s="9">
        <f>'01_Input_Raw_Products'!B254</f>
        <v>0</v>
      </c>
      <c r="D254" s="9">
        <f>IF(C254="","",TEXT(I254,"0.00")&amp;" Ct "&amp;IF('01_Input_Raw_Products'!F254&lt;&gt;"",'01_Input_Raw_Products'!F254,'01_Input_Raw_Products'!D254)&amp;" "&amp;'01_Input_Raw_Products'!I254)</f>
        <v>0</v>
      </c>
      <c r="E254" s="9">
        <f>IF(C254="","",D254&amp;" | GemPundit")</f>
        <v>0</v>
      </c>
      <c r="F254" s="9" cm="1">
        <f t="array" ref="F254">IF('01_Input_Raw_Products'!X254&lt;&gt;"",'01_Input_Raw_Products'!X254,IFERROR(_xlfn.XLOOKUP('01_Input_Raw_Products'!F254,'10_Master_Gem_Types'!A:A,'10_Master_Gem_Types'!O:O),LOWER(SUBSTITUTE(IF('01_Input_Raw_Products'!F254&lt;&gt;"",'01_Input_Raw_Products'!F254,'01_Input_Raw_Products'!D254)," ","-"))))</f>
        <v>0</v>
      </c>
      <c r="G254" s="9">
        <f>'01_Input_Raw_Products'!C254</f>
        <v>0</v>
      </c>
      <c r="H254" s="9" cm="1">
        <f t="array" ref="H254">IF('01_Input_Raw_Products'!H254&lt;&gt;"",'01_Input_Raw_Products'!H254,IFERROR(_xlfn.XLOOKUP('01_Input_Raw_Products'!F254,'10_Master_Gem_Types'!A:A,'10_Master_Gem_Types'!D:D),""))</f>
        <v>0</v>
      </c>
      <c r="I254" s="7">
        <f>IF('01_Input_Raw_Products'!N254&lt;&gt;"",'01_Input_Raw_Products'!N254,IF('01_Input_Raw_Products'!O254&lt;&gt;"",'01_Input_Raw_Products'!O254*0.91,""))</f>
        <v>0</v>
      </c>
      <c r="J254" s="9" cm="1">
        <f t="array" ref="J254">IFERROR(_xlfn.XLOOKUP('01_Input_Raw_Products'!F254,'10_Master_Gem_Types'!A:A,'10_Master_Gem_Types'!N:N),"")</f>
        <v>0</v>
      </c>
      <c r="K254" s="9" cm="1">
        <f t="array" ref="K254">IF('01_Input_Raw_Products'!J254&lt;&gt;"",'01_Input_Raw_Products'!J254,IFERROR(_xlfn.XLOOKUP('01_Input_Raw_Products'!F254,'10_Master_Gem_Types'!A:A,'10_Master_Gem_Types'!E:E),""))</f>
        <v>0</v>
      </c>
      <c r="L254" s="9">
        <f>'01_Input_Raw_Products'!P254</f>
        <v>0</v>
      </c>
      <c r="M254" s="9" cm="1">
        <f t="array" ref="M254">IFERROR(_xlfn.XLOOKUP('01_Input_Raw_Products'!K254,'12_Color_Mapping'!A:A,'12_Color_Mapping'!B:B),IFERROR(_xlfn.XLOOKUP('01_Input_Raw_Products'!F254,'10_Master_Gem_Types'!A:A,'10_Master_Gem_Types'!F:F),""))</f>
        <v>0</v>
      </c>
      <c r="N254" s="9">
        <f>IF(C254="","",IF('01_Input_Raw_Products'!F254&lt;&gt;"",'01_Input_Raw_Products'!F254,'01_Input_Raw_Products'!D254))</f>
        <v>0</v>
      </c>
      <c r="O254" s="9">
        <f>IF(C254="","","Catalog Automation")</f>
        <v>0</v>
      </c>
      <c r="P254" s="9">
        <f>'01_Input_Raw_Products'!U254</f>
        <v>0</v>
      </c>
      <c r="Q254" s="7">
        <f>IF('01_Input_Raw_Products'!O254&lt;&gt;"",'01_Input_Raw_Products'!O254,IF('01_Input_Raw_Products'!N254&lt;&gt;"",'01_Input_Raw_Products'!N254*1.1,""))</f>
        <v>0</v>
      </c>
      <c r="R254" s="9">
        <f>'01_Input_Raw_Products'!S254</f>
        <v>0</v>
      </c>
      <c r="S254" s="9" cm="1">
        <f t="array" ref="S254">IFERROR(_xlfn.XLOOKUP('01_Input_Raw_Products'!F254,'10_Master_Gem_Types'!A:A,'10_Master_Gem_Types'!H:H),"")</f>
        <v>0</v>
      </c>
      <c r="T254" s="8">
        <f>'01_Input_Raw_Products'!Q254</f>
        <v>0</v>
      </c>
      <c r="U254" s="8">
        <f>'01_Input_Raw_Products'!R254</f>
        <v>0</v>
      </c>
      <c r="V254" s="7">
        <f>I254</f>
        <v>0</v>
      </c>
      <c r="W254" s="9" cm="1">
        <f t="array" ref="W254">IF('01_Input_Raw_Products'!G254&lt;&gt;"",'01_Input_Raw_Products'!G254,IFERROR(_xlfn.XLOOKUP('01_Input_Raw_Products'!F254,'10_Master_Gem_Types'!A:A,'10_Master_Gem_Types'!L:L),""))</f>
        <v>0</v>
      </c>
      <c r="X254" s="9" cm="1">
        <f t="array" ref="X254">IFERROR(_xlfn.XLOOKUP('01_Input_Raw_Products'!F254,'10_Master_Gem_Types'!A:A,'10_Master_Gem_Types'!J:J),"")</f>
        <v>0</v>
      </c>
      <c r="Y254" s="9" cm="1">
        <f t="array" ref="Y254">IFERROR(_xlfn.XLOOKUP('01_Input_Raw_Products'!F254,'10_Master_Gem_Types'!A:A,'10_Master_Gem_Types'!I:I),"")</f>
        <v>0</v>
      </c>
      <c r="Z254" s="9" cm="1">
        <f t="array" ref="Z254">IFERROR(_xlfn.XLOOKUP('01_Input_Raw_Products'!L254,'13_Certification_Stickers'!A:A,'13_Certification_Stickers'!C:C),"")</f>
        <v>0</v>
      </c>
      <c r="AA254" s="9" cm="1">
        <f t="array" ref="AA254">IFERROR(_xlfn.XLOOKUP('01_Input_Raw_Products'!S254,'14_Shipping_Rules'!A:A,'14_Shipping_Rules'!B:B),"")</f>
        <v>0</v>
      </c>
      <c r="AB254" s="9" cm="1">
        <f t="array" ref="AB254">IFERROR(_xlfn.XLOOKUP('01_Input_Raw_Products'!D254,'16_Astro_Flags'!A:A,'16_Astro_Flags'!B:B),"")</f>
        <v>0</v>
      </c>
      <c r="AC254" s="9">
        <f>IF(C254="","","Catalog, Search")</f>
        <v>0</v>
      </c>
      <c r="AD254" s="9">
        <f>IF(C254="","",IF(OR(F254="",J254="",M254="",S254="",Y254=""),"Manual Review","Ready"))</f>
        <v>0</v>
      </c>
      <c r="AE254" s="9">
        <f>IF(C254="","",TEXTJOIN("; ",TRUE,IF(F254="","Missing url_key",""),IF(J254="","Missing classification",""),IF(M254="","Missing j_colour",""),IF(S254="","Missing hsn_code",""),IF(Y254="","Missing tax_class_id","")))</f>
        <v>0</v>
      </c>
    </row>
    <row r="255" spans="1:31">
      <c r="A255" s="9">
        <f>IF('01_Input_Raw_Products'!B255&lt;&gt;"",20,"")</f>
        <v>0</v>
      </c>
      <c r="B255" s="9" cm="1">
        <f t="array" ref="B255">IF('01_Input_Raw_Products'!M255&lt;&gt;"",'01_Input_Raw_Products'!M255,IFERROR(_xlfn.XLOOKUP('01_Input_Raw_Products'!F255,'10_Master_Gem_Types'!A:A,'10_Master_Gem_Types'!K:K),""))</f>
        <v>0</v>
      </c>
      <c r="C255" s="9">
        <f>'01_Input_Raw_Products'!B255</f>
        <v>0</v>
      </c>
      <c r="D255" s="9">
        <f>IF(C255="","",TEXT(I255,"0.00")&amp;" Ct "&amp;IF('01_Input_Raw_Products'!F255&lt;&gt;"",'01_Input_Raw_Products'!F255,'01_Input_Raw_Products'!D255)&amp;" "&amp;'01_Input_Raw_Products'!I255)</f>
        <v>0</v>
      </c>
      <c r="E255" s="9">
        <f>IF(C255="","",D255&amp;" | GemPundit")</f>
        <v>0</v>
      </c>
      <c r="F255" s="9" cm="1">
        <f t="array" ref="F255">IF('01_Input_Raw_Products'!X255&lt;&gt;"",'01_Input_Raw_Products'!X255,IFERROR(_xlfn.XLOOKUP('01_Input_Raw_Products'!F255,'10_Master_Gem_Types'!A:A,'10_Master_Gem_Types'!O:O),LOWER(SUBSTITUTE(IF('01_Input_Raw_Products'!F255&lt;&gt;"",'01_Input_Raw_Products'!F255,'01_Input_Raw_Products'!D255)," ","-"))))</f>
        <v>0</v>
      </c>
      <c r="G255" s="9">
        <f>'01_Input_Raw_Products'!C255</f>
        <v>0</v>
      </c>
      <c r="H255" s="9" cm="1">
        <f t="array" ref="H255">IF('01_Input_Raw_Products'!H255&lt;&gt;"",'01_Input_Raw_Products'!H255,IFERROR(_xlfn.XLOOKUP('01_Input_Raw_Products'!F255,'10_Master_Gem_Types'!A:A,'10_Master_Gem_Types'!D:D),""))</f>
        <v>0</v>
      </c>
      <c r="I255" s="7">
        <f>IF('01_Input_Raw_Products'!N255&lt;&gt;"",'01_Input_Raw_Products'!N255,IF('01_Input_Raw_Products'!O255&lt;&gt;"",'01_Input_Raw_Products'!O255*0.91,""))</f>
        <v>0</v>
      </c>
      <c r="J255" s="9" cm="1">
        <f t="array" ref="J255">IFERROR(_xlfn.XLOOKUP('01_Input_Raw_Products'!F255,'10_Master_Gem_Types'!A:A,'10_Master_Gem_Types'!N:N),"")</f>
        <v>0</v>
      </c>
      <c r="K255" s="9" cm="1">
        <f t="array" ref="K255">IF('01_Input_Raw_Products'!J255&lt;&gt;"",'01_Input_Raw_Products'!J255,IFERROR(_xlfn.XLOOKUP('01_Input_Raw_Products'!F255,'10_Master_Gem_Types'!A:A,'10_Master_Gem_Types'!E:E),""))</f>
        <v>0</v>
      </c>
      <c r="L255" s="9">
        <f>'01_Input_Raw_Products'!P255</f>
        <v>0</v>
      </c>
      <c r="M255" s="9" cm="1">
        <f t="array" ref="M255">IFERROR(_xlfn.XLOOKUP('01_Input_Raw_Products'!K255,'12_Color_Mapping'!A:A,'12_Color_Mapping'!B:B),IFERROR(_xlfn.XLOOKUP('01_Input_Raw_Products'!F255,'10_Master_Gem_Types'!A:A,'10_Master_Gem_Types'!F:F),""))</f>
        <v>0</v>
      </c>
      <c r="N255" s="9">
        <f>IF(C255="","",IF('01_Input_Raw_Products'!F255&lt;&gt;"",'01_Input_Raw_Products'!F255,'01_Input_Raw_Products'!D255))</f>
        <v>0</v>
      </c>
      <c r="O255" s="9">
        <f>IF(C255="","","Catalog Automation")</f>
        <v>0</v>
      </c>
      <c r="P255" s="9">
        <f>'01_Input_Raw_Products'!U255</f>
        <v>0</v>
      </c>
      <c r="Q255" s="7">
        <f>IF('01_Input_Raw_Products'!O255&lt;&gt;"",'01_Input_Raw_Products'!O255,IF('01_Input_Raw_Products'!N255&lt;&gt;"",'01_Input_Raw_Products'!N255*1.1,""))</f>
        <v>0</v>
      </c>
      <c r="R255" s="9">
        <f>'01_Input_Raw_Products'!S255</f>
        <v>0</v>
      </c>
      <c r="S255" s="9" cm="1">
        <f t="array" ref="S255">IFERROR(_xlfn.XLOOKUP('01_Input_Raw_Products'!F255,'10_Master_Gem_Types'!A:A,'10_Master_Gem_Types'!H:H),"")</f>
        <v>0</v>
      </c>
      <c r="T255" s="8">
        <f>'01_Input_Raw_Products'!Q255</f>
        <v>0</v>
      </c>
      <c r="U255" s="8">
        <f>'01_Input_Raw_Products'!R255</f>
        <v>0</v>
      </c>
      <c r="V255" s="7">
        <f>I255</f>
        <v>0</v>
      </c>
      <c r="W255" s="9" cm="1">
        <f t="array" ref="W255">IF('01_Input_Raw_Products'!G255&lt;&gt;"",'01_Input_Raw_Products'!G255,IFERROR(_xlfn.XLOOKUP('01_Input_Raw_Products'!F255,'10_Master_Gem_Types'!A:A,'10_Master_Gem_Types'!L:L),""))</f>
        <v>0</v>
      </c>
      <c r="X255" s="9" cm="1">
        <f t="array" ref="X255">IFERROR(_xlfn.XLOOKUP('01_Input_Raw_Products'!F255,'10_Master_Gem_Types'!A:A,'10_Master_Gem_Types'!J:J),"")</f>
        <v>0</v>
      </c>
      <c r="Y255" s="9" cm="1">
        <f t="array" ref="Y255">IFERROR(_xlfn.XLOOKUP('01_Input_Raw_Products'!F255,'10_Master_Gem_Types'!A:A,'10_Master_Gem_Types'!I:I),"")</f>
        <v>0</v>
      </c>
      <c r="Z255" s="9" cm="1">
        <f t="array" ref="Z255">IFERROR(_xlfn.XLOOKUP('01_Input_Raw_Products'!L255,'13_Certification_Stickers'!A:A,'13_Certification_Stickers'!C:C),"")</f>
        <v>0</v>
      </c>
      <c r="AA255" s="9" cm="1">
        <f t="array" ref="AA255">IFERROR(_xlfn.XLOOKUP('01_Input_Raw_Products'!S255,'14_Shipping_Rules'!A:A,'14_Shipping_Rules'!B:B),"")</f>
        <v>0</v>
      </c>
      <c r="AB255" s="9" cm="1">
        <f t="array" ref="AB255">IFERROR(_xlfn.XLOOKUP('01_Input_Raw_Products'!D255,'16_Astro_Flags'!A:A,'16_Astro_Flags'!B:B),"")</f>
        <v>0</v>
      </c>
      <c r="AC255" s="9">
        <f>IF(C255="","","Catalog, Search")</f>
        <v>0</v>
      </c>
      <c r="AD255" s="9">
        <f>IF(C255="","",IF(OR(F255="",J255="",M255="",S255="",Y255=""),"Manual Review","Ready"))</f>
        <v>0</v>
      </c>
      <c r="AE255" s="9">
        <f>IF(C255="","",TEXTJOIN("; ",TRUE,IF(F255="","Missing url_key",""),IF(J255="","Missing classification",""),IF(M255="","Missing j_colour",""),IF(S255="","Missing hsn_code",""),IF(Y255="","Missing tax_class_id","")))</f>
        <v>0</v>
      </c>
    </row>
    <row r="256" spans="1:31">
      <c r="A256" s="9">
        <f>IF('01_Input_Raw_Products'!B256&lt;&gt;"",20,"")</f>
        <v>0</v>
      </c>
      <c r="B256" s="9" cm="1">
        <f t="array" ref="B256">IF('01_Input_Raw_Products'!M256&lt;&gt;"",'01_Input_Raw_Products'!M256,IFERROR(_xlfn.XLOOKUP('01_Input_Raw_Products'!F256,'10_Master_Gem_Types'!A:A,'10_Master_Gem_Types'!K:K),""))</f>
        <v>0</v>
      </c>
      <c r="C256" s="9">
        <f>'01_Input_Raw_Products'!B256</f>
        <v>0</v>
      </c>
      <c r="D256" s="9">
        <f>IF(C256="","",TEXT(I256,"0.00")&amp;" Ct "&amp;IF('01_Input_Raw_Products'!F256&lt;&gt;"",'01_Input_Raw_Products'!F256,'01_Input_Raw_Products'!D256)&amp;" "&amp;'01_Input_Raw_Products'!I256)</f>
        <v>0</v>
      </c>
      <c r="E256" s="9">
        <f>IF(C256="","",D256&amp;" | GemPundit")</f>
        <v>0</v>
      </c>
      <c r="F256" s="9" cm="1">
        <f t="array" ref="F256">IF('01_Input_Raw_Products'!X256&lt;&gt;"",'01_Input_Raw_Products'!X256,IFERROR(_xlfn.XLOOKUP('01_Input_Raw_Products'!F256,'10_Master_Gem_Types'!A:A,'10_Master_Gem_Types'!O:O),LOWER(SUBSTITUTE(IF('01_Input_Raw_Products'!F256&lt;&gt;"",'01_Input_Raw_Products'!F256,'01_Input_Raw_Products'!D256)," ","-"))))</f>
        <v>0</v>
      </c>
      <c r="G256" s="9">
        <f>'01_Input_Raw_Products'!C256</f>
        <v>0</v>
      </c>
      <c r="H256" s="9" cm="1">
        <f t="array" ref="H256">IF('01_Input_Raw_Products'!H256&lt;&gt;"",'01_Input_Raw_Products'!H256,IFERROR(_xlfn.XLOOKUP('01_Input_Raw_Products'!F256,'10_Master_Gem_Types'!A:A,'10_Master_Gem_Types'!D:D),""))</f>
        <v>0</v>
      </c>
      <c r="I256" s="7">
        <f>IF('01_Input_Raw_Products'!N256&lt;&gt;"",'01_Input_Raw_Products'!N256,IF('01_Input_Raw_Products'!O256&lt;&gt;"",'01_Input_Raw_Products'!O256*0.91,""))</f>
        <v>0</v>
      </c>
      <c r="J256" s="9" cm="1">
        <f t="array" ref="J256">IFERROR(_xlfn.XLOOKUP('01_Input_Raw_Products'!F256,'10_Master_Gem_Types'!A:A,'10_Master_Gem_Types'!N:N),"")</f>
        <v>0</v>
      </c>
      <c r="K256" s="9" cm="1">
        <f t="array" ref="K256">IF('01_Input_Raw_Products'!J256&lt;&gt;"",'01_Input_Raw_Products'!J256,IFERROR(_xlfn.XLOOKUP('01_Input_Raw_Products'!F256,'10_Master_Gem_Types'!A:A,'10_Master_Gem_Types'!E:E),""))</f>
        <v>0</v>
      </c>
      <c r="L256" s="9">
        <f>'01_Input_Raw_Products'!P256</f>
        <v>0</v>
      </c>
      <c r="M256" s="9" cm="1">
        <f t="array" ref="M256">IFERROR(_xlfn.XLOOKUP('01_Input_Raw_Products'!K256,'12_Color_Mapping'!A:A,'12_Color_Mapping'!B:B),IFERROR(_xlfn.XLOOKUP('01_Input_Raw_Products'!F256,'10_Master_Gem_Types'!A:A,'10_Master_Gem_Types'!F:F),""))</f>
        <v>0</v>
      </c>
      <c r="N256" s="9">
        <f>IF(C256="","",IF('01_Input_Raw_Products'!F256&lt;&gt;"",'01_Input_Raw_Products'!F256,'01_Input_Raw_Products'!D256))</f>
        <v>0</v>
      </c>
      <c r="O256" s="9">
        <f>IF(C256="","","Catalog Automation")</f>
        <v>0</v>
      </c>
      <c r="P256" s="9">
        <f>'01_Input_Raw_Products'!U256</f>
        <v>0</v>
      </c>
      <c r="Q256" s="7">
        <f>IF('01_Input_Raw_Products'!O256&lt;&gt;"",'01_Input_Raw_Products'!O256,IF('01_Input_Raw_Products'!N256&lt;&gt;"",'01_Input_Raw_Products'!N256*1.1,""))</f>
        <v>0</v>
      </c>
      <c r="R256" s="9">
        <f>'01_Input_Raw_Products'!S256</f>
        <v>0</v>
      </c>
      <c r="S256" s="9" cm="1">
        <f t="array" ref="S256">IFERROR(_xlfn.XLOOKUP('01_Input_Raw_Products'!F256,'10_Master_Gem_Types'!A:A,'10_Master_Gem_Types'!H:H),"")</f>
        <v>0</v>
      </c>
      <c r="T256" s="8">
        <f>'01_Input_Raw_Products'!Q256</f>
        <v>0</v>
      </c>
      <c r="U256" s="8">
        <f>'01_Input_Raw_Products'!R256</f>
        <v>0</v>
      </c>
      <c r="V256" s="7">
        <f>I256</f>
        <v>0</v>
      </c>
      <c r="W256" s="9" cm="1">
        <f t="array" ref="W256">IF('01_Input_Raw_Products'!G256&lt;&gt;"",'01_Input_Raw_Products'!G256,IFERROR(_xlfn.XLOOKUP('01_Input_Raw_Products'!F256,'10_Master_Gem_Types'!A:A,'10_Master_Gem_Types'!L:L),""))</f>
        <v>0</v>
      </c>
      <c r="X256" s="9" cm="1">
        <f t="array" ref="X256">IFERROR(_xlfn.XLOOKUP('01_Input_Raw_Products'!F256,'10_Master_Gem_Types'!A:A,'10_Master_Gem_Types'!J:J),"")</f>
        <v>0</v>
      </c>
      <c r="Y256" s="9" cm="1">
        <f t="array" ref="Y256">IFERROR(_xlfn.XLOOKUP('01_Input_Raw_Products'!F256,'10_Master_Gem_Types'!A:A,'10_Master_Gem_Types'!I:I),"")</f>
        <v>0</v>
      </c>
      <c r="Z256" s="9" cm="1">
        <f t="array" ref="Z256">IFERROR(_xlfn.XLOOKUP('01_Input_Raw_Products'!L256,'13_Certification_Stickers'!A:A,'13_Certification_Stickers'!C:C),"")</f>
        <v>0</v>
      </c>
      <c r="AA256" s="9" cm="1">
        <f t="array" ref="AA256">IFERROR(_xlfn.XLOOKUP('01_Input_Raw_Products'!S256,'14_Shipping_Rules'!A:A,'14_Shipping_Rules'!B:B),"")</f>
        <v>0</v>
      </c>
      <c r="AB256" s="9" cm="1">
        <f t="array" ref="AB256">IFERROR(_xlfn.XLOOKUP('01_Input_Raw_Products'!D256,'16_Astro_Flags'!A:A,'16_Astro_Flags'!B:B),"")</f>
        <v>0</v>
      </c>
      <c r="AC256" s="9">
        <f>IF(C256="","","Catalog, Search")</f>
        <v>0</v>
      </c>
      <c r="AD256" s="9">
        <f>IF(C256="","",IF(OR(F256="",J256="",M256="",S256="",Y256=""),"Manual Review","Ready"))</f>
        <v>0</v>
      </c>
      <c r="AE256" s="9">
        <f>IF(C256="","",TEXTJOIN("; ",TRUE,IF(F256="","Missing url_key",""),IF(J256="","Missing classification",""),IF(M256="","Missing j_colour",""),IF(S256="","Missing hsn_code",""),IF(Y256="","Missing tax_class_id","")))</f>
        <v>0</v>
      </c>
    </row>
    <row r="257" spans="1:31">
      <c r="A257" s="9">
        <f>IF('01_Input_Raw_Products'!B257&lt;&gt;"",20,"")</f>
        <v>0</v>
      </c>
      <c r="B257" s="9" cm="1">
        <f t="array" ref="B257">IF('01_Input_Raw_Products'!M257&lt;&gt;"",'01_Input_Raw_Products'!M257,IFERROR(_xlfn.XLOOKUP('01_Input_Raw_Products'!F257,'10_Master_Gem_Types'!A:A,'10_Master_Gem_Types'!K:K),""))</f>
        <v>0</v>
      </c>
      <c r="C257" s="9">
        <f>'01_Input_Raw_Products'!B257</f>
        <v>0</v>
      </c>
      <c r="D257" s="9">
        <f>IF(C257="","",TEXT(I257,"0.00")&amp;" Ct "&amp;IF('01_Input_Raw_Products'!F257&lt;&gt;"",'01_Input_Raw_Products'!F257,'01_Input_Raw_Products'!D257)&amp;" "&amp;'01_Input_Raw_Products'!I257)</f>
        <v>0</v>
      </c>
      <c r="E257" s="9">
        <f>IF(C257="","",D257&amp;" | GemPundit")</f>
        <v>0</v>
      </c>
      <c r="F257" s="9" cm="1">
        <f t="array" ref="F257">IF('01_Input_Raw_Products'!X257&lt;&gt;"",'01_Input_Raw_Products'!X257,IFERROR(_xlfn.XLOOKUP('01_Input_Raw_Products'!F257,'10_Master_Gem_Types'!A:A,'10_Master_Gem_Types'!O:O),LOWER(SUBSTITUTE(IF('01_Input_Raw_Products'!F257&lt;&gt;"",'01_Input_Raw_Products'!F257,'01_Input_Raw_Products'!D257)," ","-"))))</f>
        <v>0</v>
      </c>
      <c r="G257" s="9">
        <f>'01_Input_Raw_Products'!C257</f>
        <v>0</v>
      </c>
      <c r="H257" s="9" cm="1">
        <f t="array" ref="H257">IF('01_Input_Raw_Products'!H257&lt;&gt;"",'01_Input_Raw_Products'!H257,IFERROR(_xlfn.XLOOKUP('01_Input_Raw_Products'!F257,'10_Master_Gem_Types'!A:A,'10_Master_Gem_Types'!D:D),""))</f>
        <v>0</v>
      </c>
      <c r="I257" s="7">
        <f>IF('01_Input_Raw_Products'!N257&lt;&gt;"",'01_Input_Raw_Products'!N257,IF('01_Input_Raw_Products'!O257&lt;&gt;"",'01_Input_Raw_Products'!O257*0.91,""))</f>
        <v>0</v>
      </c>
      <c r="J257" s="9" cm="1">
        <f t="array" ref="J257">IFERROR(_xlfn.XLOOKUP('01_Input_Raw_Products'!F257,'10_Master_Gem_Types'!A:A,'10_Master_Gem_Types'!N:N),"")</f>
        <v>0</v>
      </c>
      <c r="K257" s="9" cm="1">
        <f t="array" ref="K257">IF('01_Input_Raw_Products'!J257&lt;&gt;"",'01_Input_Raw_Products'!J257,IFERROR(_xlfn.XLOOKUP('01_Input_Raw_Products'!F257,'10_Master_Gem_Types'!A:A,'10_Master_Gem_Types'!E:E),""))</f>
        <v>0</v>
      </c>
      <c r="L257" s="9">
        <f>'01_Input_Raw_Products'!P257</f>
        <v>0</v>
      </c>
      <c r="M257" s="9" cm="1">
        <f t="array" ref="M257">IFERROR(_xlfn.XLOOKUP('01_Input_Raw_Products'!K257,'12_Color_Mapping'!A:A,'12_Color_Mapping'!B:B),IFERROR(_xlfn.XLOOKUP('01_Input_Raw_Products'!F257,'10_Master_Gem_Types'!A:A,'10_Master_Gem_Types'!F:F),""))</f>
        <v>0</v>
      </c>
      <c r="N257" s="9">
        <f>IF(C257="","",IF('01_Input_Raw_Products'!F257&lt;&gt;"",'01_Input_Raw_Products'!F257,'01_Input_Raw_Products'!D257))</f>
        <v>0</v>
      </c>
      <c r="O257" s="9">
        <f>IF(C257="","","Catalog Automation")</f>
        <v>0</v>
      </c>
      <c r="P257" s="9">
        <f>'01_Input_Raw_Products'!U257</f>
        <v>0</v>
      </c>
      <c r="Q257" s="7">
        <f>IF('01_Input_Raw_Products'!O257&lt;&gt;"",'01_Input_Raw_Products'!O257,IF('01_Input_Raw_Products'!N257&lt;&gt;"",'01_Input_Raw_Products'!N257*1.1,""))</f>
        <v>0</v>
      </c>
      <c r="R257" s="9">
        <f>'01_Input_Raw_Products'!S257</f>
        <v>0</v>
      </c>
      <c r="S257" s="9" cm="1">
        <f t="array" ref="S257">IFERROR(_xlfn.XLOOKUP('01_Input_Raw_Products'!F257,'10_Master_Gem_Types'!A:A,'10_Master_Gem_Types'!H:H),"")</f>
        <v>0</v>
      </c>
      <c r="T257" s="8">
        <f>'01_Input_Raw_Products'!Q257</f>
        <v>0</v>
      </c>
      <c r="U257" s="8">
        <f>'01_Input_Raw_Products'!R257</f>
        <v>0</v>
      </c>
      <c r="V257" s="7">
        <f>I257</f>
        <v>0</v>
      </c>
      <c r="W257" s="9" cm="1">
        <f t="array" ref="W257">IF('01_Input_Raw_Products'!G257&lt;&gt;"",'01_Input_Raw_Products'!G257,IFERROR(_xlfn.XLOOKUP('01_Input_Raw_Products'!F257,'10_Master_Gem_Types'!A:A,'10_Master_Gem_Types'!L:L),""))</f>
        <v>0</v>
      </c>
      <c r="X257" s="9" cm="1">
        <f t="array" ref="X257">IFERROR(_xlfn.XLOOKUP('01_Input_Raw_Products'!F257,'10_Master_Gem_Types'!A:A,'10_Master_Gem_Types'!J:J),"")</f>
        <v>0</v>
      </c>
      <c r="Y257" s="9" cm="1">
        <f t="array" ref="Y257">IFERROR(_xlfn.XLOOKUP('01_Input_Raw_Products'!F257,'10_Master_Gem_Types'!A:A,'10_Master_Gem_Types'!I:I),"")</f>
        <v>0</v>
      </c>
      <c r="Z257" s="9" cm="1">
        <f t="array" ref="Z257">IFERROR(_xlfn.XLOOKUP('01_Input_Raw_Products'!L257,'13_Certification_Stickers'!A:A,'13_Certification_Stickers'!C:C),"")</f>
        <v>0</v>
      </c>
      <c r="AA257" s="9" cm="1">
        <f t="array" ref="AA257">IFERROR(_xlfn.XLOOKUP('01_Input_Raw_Products'!S257,'14_Shipping_Rules'!A:A,'14_Shipping_Rules'!B:B),"")</f>
        <v>0</v>
      </c>
      <c r="AB257" s="9" cm="1">
        <f t="array" ref="AB257">IFERROR(_xlfn.XLOOKUP('01_Input_Raw_Products'!D257,'16_Astro_Flags'!A:A,'16_Astro_Flags'!B:B),"")</f>
        <v>0</v>
      </c>
      <c r="AC257" s="9">
        <f>IF(C257="","","Catalog, Search")</f>
        <v>0</v>
      </c>
      <c r="AD257" s="9">
        <f>IF(C257="","",IF(OR(F257="",J257="",M257="",S257="",Y257=""),"Manual Review","Ready"))</f>
        <v>0</v>
      </c>
      <c r="AE257" s="9">
        <f>IF(C257="","",TEXTJOIN("; ",TRUE,IF(F257="","Missing url_key",""),IF(J257="","Missing classification",""),IF(M257="","Missing j_colour",""),IF(S257="","Missing hsn_code",""),IF(Y257="","Missing tax_class_id","")))</f>
        <v>0</v>
      </c>
    </row>
    <row r="258" spans="1:31">
      <c r="A258" s="9">
        <f>IF('01_Input_Raw_Products'!B258&lt;&gt;"",20,"")</f>
        <v>0</v>
      </c>
      <c r="B258" s="9" cm="1">
        <f t="array" ref="B258">IF('01_Input_Raw_Products'!M258&lt;&gt;"",'01_Input_Raw_Products'!M258,IFERROR(_xlfn.XLOOKUP('01_Input_Raw_Products'!F258,'10_Master_Gem_Types'!A:A,'10_Master_Gem_Types'!K:K),""))</f>
        <v>0</v>
      </c>
      <c r="C258" s="9">
        <f>'01_Input_Raw_Products'!B258</f>
        <v>0</v>
      </c>
      <c r="D258" s="9">
        <f>IF(C258="","",TEXT(I258,"0.00")&amp;" Ct "&amp;IF('01_Input_Raw_Products'!F258&lt;&gt;"",'01_Input_Raw_Products'!F258,'01_Input_Raw_Products'!D258)&amp;" "&amp;'01_Input_Raw_Products'!I258)</f>
        <v>0</v>
      </c>
      <c r="E258" s="9">
        <f>IF(C258="","",D258&amp;" | GemPundit")</f>
        <v>0</v>
      </c>
      <c r="F258" s="9" cm="1">
        <f t="array" ref="F258">IF('01_Input_Raw_Products'!X258&lt;&gt;"",'01_Input_Raw_Products'!X258,IFERROR(_xlfn.XLOOKUP('01_Input_Raw_Products'!F258,'10_Master_Gem_Types'!A:A,'10_Master_Gem_Types'!O:O),LOWER(SUBSTITUTE(IF('01_Input_Raw_Products'!F258&lt;&gt;"",'01_Input_Raw_Products'!F258,'01_Input_Raw_Products'!D258)," ","-"))))</f>
        <v>0</v>
      </c>
      <c r="G258" s="9">
        <f>'01_Input_Raw_Products'!C258</f>
        <v>0</v>
      </c>
      <c r="H258" s="9" cm="1">
        <f t="array" ref="H258">IF('01_Input_Raw_Products'!H258&lt;&gt;"",'01_Input_Raw_Products'!H258,IFERROR(_xlfn.XLOOKUP('01_Input_Raw_Products'!F258,'10_Master_Gem_Types'!A:A,'10_Master_Gem_Types'!D:D),""))</f>
        <v>0</v>
      </c>
      <c r="I258" s="7">
        <f>IF('01_Input_Raw_Products'!N258&lt;&gt;"",'01_Input_Raw_Products'!N258,IF('01_Input_Raw_Products'!O258&lt;&gt;"",'01_Input_Raw_Products'!O258*0.91,""))</f>
        <v>0</v>
      </c>
      <c r="J258" s="9" cm="1">
        <f t="array" ref="J258">IFERROR(_xlfn.XLOOKUP('01_Input_Raw_Products'!F258,'10_Master_Gem_Types'!A:A,'10_Master_Gem_Types'!N:N),"")</f>
        <v>0</v>
      </c>
      <c r="K258" s="9" cm="1">
        <f t="array" ref="K258">IF('01_Input_Raw_Products'!J258&lt;&gt;"",'01_Input_Raw_Products'!J258,IFERROR(_xlfn.XLOOKUP('01_Input_Raw_Products'!F258,'10_Master_Gem_Types'!A:A,'10_Master_Gem_Types'!E:E),""))</f>
        <v>0</v>
      </c>
      <c r="L258" s="9">
        <f>'01_Input_Raw_Products'!P258</f>
        <v>0</v>
      </c>
      <c r="M258" s="9" cm="1">
        <f t="array" ref="M258">IFERROR(_xlfn.XLOOKUP('01_Input_Raw_Products'!K258,'12_Color_Mapping'!A:A,'12_Color_Mapping'!B:B),IFERROR(_xlfn.XLOOKUP('01_Input_Raw_Products'!F258,'10_Master_Gem_Types'!A:A,'10_Master_Gem_Types'!F:F),""))</f>
        <v>0</v>
      </c>
      <c r="N258" s="9">
        <f>IF(C258="","",IF('01_Input_Raw_Products'!F258&lt;&gt;"",'01_Input_Raw_Products'!F258,'01_Input_Raw_Products'!D258))</f>
        <v>0</v>
      </c>
      <c r="O258" s="9">
        <f>IF(C258="","","Catalog Automation")</f>
        <v>0</v>
      </c>
      <c r="P258" s="9">
        <f>'01_Input_Raw_Products'!U258</f>
        <v>0</v>
      </c>
      <c r="Q258" s="7">
        <f>IF('01_Input_Raw_Products'!O258&lt;&gt;"",'01_Input_Raw_Products'!O258,IF('01_Input_Raw_Products'!N258&lt;&gt;"",'01_Input_Raw_Products'!N258*1.1,""))</f>
        <v>0</v>
      </c>
      <c r="R258" s="9">
        <f>'01_Input_Raw_Products'!S258</f>
        <v>0</v>
      </c>
      <c r="S258" s="9" cm="1">
        <f t="array" ref="S258">IFERROR(_xlfn.XLOOKUP('01_Input_Raw_Products'!F258,'10_Master_Gem_Types'!A:A,'10_Master_Gem_Types'!H:H),"")</f>
        <v>0</v>
      </c>
      <c r="T258" s="8">
        <f>'01_Input_Raw_Products'!Q258</f>
        <v>0</v>
      </c>
      <c r="U258" s="8">
        <f>'01_Input_Raw_Products'!R258</f>
        <v>0</v>
      </c>
      <c r="V258" s="7">
        <f>I258</f>
        <v>0</v>
      </c>
      <c r="W258" s="9" cm="1">
        <f t="array" ref="W258">IF('01_Input_Raw_Products'!G258&lt;&gt;"",'01_Input_Raw_Products'!G258,IFERROR(_xlfn.XLOOKUP('01_Input_Raw_Products'!F258,'10_Master_Gem_Types'!A:A,'10_Master_Gem_Types'!L:L),""))</f>
        <v>0</v>
      </c>
      <c r="X258" s="9" cm="1">
        <f t="array" ref="X258">IFERROR(_xlfn.XLOOKUP('01_Input_Raw_Products'!F258,'10_Master_Gem_Types'!A:A,'10_Master_Gem_Types'!J:J),"")</f>
        <v>0</v>
      </c>
      <c r="Y258" s="9" cm="1">
        <f t="array" ref="Y258">IFERROR(_xlfn.XLOOKUP('01_Input_Raw_Products'!F258,'10_Master_Gem_Types'!A:A,'10_Master_Gem_Types'!I:I),"")</f>
        <v>0</v>
      </c>
      <c r="Z258" s="9" cm="1">
        <f t="array" ref="Z258">IFERROR(_xlfn.XLOOKUP('01_Input_Raw_Products'!L258,'13_Certification_Stickers'!A:A,'13_Certification_Stickers'!C:C),"")</f>
        <v>0</v>
      </c>
      <c r="AA258" s="9" cm="1">
        <f t="array" ref="AA258">IFERROR(_xlfn.XLOOKUP('01_Input_Raw_Products'!S258,'14_Shipping_Rules'!A:A,'14_Shipping_Rules'!B:B),"")</f>
        <v>0</v>
      </c>
      <c r="AB258" s="9" cm="1">
        <f t="array" ref="AB258">IFERROR(_xlfn.XLOOKUP('01_Input_Raw_Products'!D258,'16_Astro_Flags'!A:A,'16_Astro_Flags'!B:B),"")</f>
        <v>0</v>
      </c>
      <c r="AC258" s="9">
        <f>IF(C258="","","Catalog, Search")</f>
        <v>0</v>
      </c>
      <c r="AD258" s="9">
        <f>IF(C258="","",IF(OR(F258="",J258="",M258="",S258="",Y258=""),"Manual Review","Ready"))</f>
        <v>0</v>
      </c>
      <c r="AE258" s="9">
        <f>IF(C258="","",TEXTJOIN("; ",TRUE,IF(F258="","Missing url_key",""),IF(J258="","Missing classification",""),IF(M258="","Missing j_colour",""),IF(S258="","Missing hsn_code",""),IF(Y258="","Missing tax_class_id","")))</f>
        <v>0</v>
      </c>
    </row>
    <row r="259" spans="1:31">
      <c r="A259" s="9">
        <f>IF('01_Input_Raw_Products'!B259&lt;&gt;"",20,"")</f>
        <v>0</v>
      </c>
      <c r="B259" s="9" cm="1">
        <f t="array" ref="B259">IF('01_Input_Raw_Products'!M259&lt;&gt;"",'01_Input_Raw_Products'!M259,IFERROR(_xlfn.XLOOKUP('01_Input_Raw_Products'!F259,'10_Master_Gem_Types'!A:A,'10_Master_Gem_Types'!K:K),""))</f>
        <v>0</v>
      </c>
      <c r="C259" s="9">
        <f>'01_Input_Raw_Products'!B259</f>
        <v>0</v>
      </c>
      <c r="D259" s="9">
        <f>IF(C259="","",TEXT(I259,"0.00")&amp;" Ct "&amp;IF('01_Input_Raw_Products'!F259&lt;&gt;"",'01_Input_Raw_Products'!F259,'01_Input_Raw_Products'!D259)&amp;" "&amp;'01_Input_Raw_Products'!I259)</f>
        <v>0</v>
      </c>
      <c r="E259" s="9">
        <f>IF(C259="","",D259&amp;" | GemPundit")</f>
        <v>0</v>
      </c>
      <c r="F259" s="9" cm="1">
        <f t="array" ref="F259">IF('01_Input_Raw_Products'!X259&lt;&gt;"",'01_Input_Raw_Products'!X259,IFERROR(_xlfn.XLOOKUP('01_Input_Raw_Products'!F259,'10_Master_Gem_Types'!A:A,'10_Master_Gem_Types'!O:O),LOWER(SUBSTITUTE(IF('01_Input_Raw_Products'!F259&lt;&gt;"",'01_Input_Raw_Products'!F259,'01_Input_Raw_Products'!D259)," ","-"))))</f>
        <v>0</v>
      </c>
      <c r="G259" s="9">
        <f>'01_Input_Raw_Products'!C259</f>
        <v>0</v>
      </c>
      <c r="H259" s="9" cm="1">
        <f t="array" ref="H259">IF('01_Input_Raw_Products'!H259&lt;&gt;"",'01_Input_Raw_Products'!H259,IFERROR(_xlfn.XLOOKUP('01_Input_Raw_Products'!F259,'10_Master_Gem_Types'!A:A,'10_Master_Gem_Types'!D:D),""))</f>
        <v>0</v>
      </c>
      <c r="I259" s="7">
        <f>IF('01_Input_Raw_Products'!N259&lt;&gt;"",'01_Input_Raw_Products'!N259,IF('01_Input_Raw_Products'!O259&lt;&gt;"",'01_Input_Raw_Products'!O259*0.91,""))</f>
        <v>0</v>
      </c>
      <c r="J259" s="9" cm="1">
        <f t="array" ref="J259">IFERROR(_xlfn.XLOOKUP('01_Input_Raw_Products'!F259,'10_Master_Gem_Types'!A:A,'10_Master_Gem_Types'!N:N),"")</f>
        <v>0</v>
      </c>
      <c r="K259" s="9" cm="1">
        <f t="array" ref="K259">IF('01_Input_Raw_Products'!J259&lt;&gt;"",'01_Input_Raw_Products'!J259,IFERROR(_xlfn.XLOOKUP('01_Input_Raw_Products'!F259,'10_Master_Gem_Types'!A:A,'10_Master_Gem_Types'!E:E),""))</f>
        <v>0</v>
      </c>
      <c r="L259" s="9">
        <f>'01_Input_Raw_Products'!P259</f>
        <v>0</v>
      </c>
      <c r="M259" s="9" cm="1">
        <f t="array" ref="M259">IFERROR(_xlfn.XLOOKUP('01_Input_Raw_Products'!K259,'12_Color_Mapping'!A:A,'12_Color_Mapping'!B:B),IFERROR(_xlfn.XLOOKUP('01_Input_Raw_Products'!F259,'10_Master_Gem_Types'!A:A,'10_Master_Gem_Types'!F:F),""))</f>
        <v>0</v>
      </c>
      <c r="N259" s="9">
        <f>IF(C259="","",IF('01_Input_Raw_Products'!F259&lt;&gt;"",'01_Input_Raw_Products'!F259,'01_Input_Raw_Products'!D259))</f>
        <v>0</v>
      </c>
      <c r="O259" s="9">
        <f>IF(C259="","","Catalog Automation")</f>
        <v>0</v>
      </c>
      <c r="P259" s="9">
        <f>'01_Input_Raw_Products'!U259</f>
        <v>0</v>
      </c>
      <c r="Q259" s="7">
        <f>IF('01_Input_Raw_Products'!O259&lt;&gt;"",'01_Input_Raw_Products'!O259,IF('01_Input_Raw_Products'!N259&lt;&gt;"",'01_Input_Raw_Products'!N259*1.1,""))</f>
        <v>0</v>
      </c>
      <c r="R259" s="9">
        <f>'01_Input_Raw_Products'!S259</f>
        <v>0</v>
      </c>
      <c r="S259" s="9" cm="1">
        <f t="array" ref="S259">IFERROR(_xlfn.XLOOKUP('01_Input_Raw_Products'!F259,'10_Master_Gem_Types'!A:A,'10_Master_Gem_Types'!H:H),"")</f>
        <v>0</v>
      </c>
      <c r="T259" s="8">
        <f>'01_Input_Raw_Products'!Q259</f>
        <v>0</v>
      </c>
      <c r="U259" s="8">
        <f>'01_Input_Raw_Products'!R259</f>
        <v>0</v>
      </c>
      <c r="V259" s="7">
        <f>I259</f>
        <v>0</v>
      </c>
      <c r="W259" s="9" cm="1">
        <f t="array" ref="W259">IF('01_Input_Raw_Products'!G259&lt;&gt;"",'01_Input_Raw_Products'!G259,IFERROR(_xlfn.XLOOKUP('01_Input_Raw_Products'!F259,'10_Master_Gem_Types'!A:A,'10_Master_Gem_Types'!L:L),""))</f>
        <v>0</v>
      </c>
      <c r="X259" s="9" cm="1">
        <f t="array" ref="X259">IFERROR(_xlfn.XLOOKUP('01_Input_Raw_Products'!F259,'10_Master_Gem_Types'!A:A,'10_Master_Gem_Types'!J:J),"")</f>
        <v>0</v>
      </c>
      <c r="Y259" s="9" cm="1">
        <f t="array" ref="Y259">IFERROR(_xlfn.XLOOKUP('01_Input_Raw_Products'!F259,'10_Master_Gem_Types'!A:A,'10_Master_Gem_Types'!I:I),"")</f>
        <v>0</v>
      </c>
      <c r="Z259" s="9" cm="1">
        <f t="array" ref="Z259">IFERROR(_xlfn.XLOOKUP('01_Input_Raw_Products'!L259,'13_Certification_Stickers'!A:A,'13_Certification_Stickers'!C:C),"")</f>
        <v>0</v>
      </c>
      <c r="AA259" s="9" cm="1">
        <f t="array" ref="AA259">IFERROR(_xlfn.XLOOKUP('01_Input_Raw_Products'!S259,'14_Shipping_Rules'!A:A,'14_Shipping_Rules'!B:B),"")</f>
        <v>0</v>
      </c>
      <c r="AB259" s="9" cm="1">
        <f t="array" ref="AB259">IFERROR(_xlfn.XLOOKUP('01_Input_Raw_Products'!D259,'16_Astro_Flags'!A:A,'16_Astro_Flags'!B:B),"")</f>
        <v>0</v>
      </c>
      <c r="AC259" s="9">
        <f>IF(C259="","","Catalog, Search")</f>
        <v>0</v>
      </c>
      <c r="AD259" s="9">
        <f>IF(C259="","",IF(OR(F259="",J259="",M259="",S259="",Y259=""),"Manual Review","Ready"))</f>
        <v>0</v>
      </c>
      <c r="AE259" s="9">
        <f>IF(C259="","",TEXTJOIN("; ",TRUE,IF(F259="","Missing url_key",""),IF(J259="","Missing classification",""),IF(M259="","Missing j_colour",""),IF(S259="","Missing hsn_code",""),IF(Y259="","Missing tax_class_id","")))</f>
        <v>0</v>
      </c>
    </row>
    <row r="260" spans="1:31">
      <c r="A260" s="9">
        <f>IF('01_Input_Raw_Products'!B260&lt;&gt;"",20,"")</f>
        <v>0</v>
      </c>
      <c r="B260" s="9" cm="1">
        <f t="array" ref="B260">IF('01_Input_Raw_Products'!M260&lt;&gt;"",'01_Input_Raw_Products'!M260,IFERROR(_xlfn.XLOOKUP('01_Input_Raw_Products'!F260,'10_Master_Gem_Types'!A:A,'10_Master_Gem_Types'!K:K),""))</f>
        <v>0</v>
      </c>
      <c r="C260" s="9">
        <f>'01_Input_Raw_Products'!B260</f>
        <v>0</v>
      </c>
      <c r="D260" s="9">
        <f>IF(C260="","",TEXT(I260,"0.00")&amp;" Ct "&amp;IF('01_Input_Raw_Products'!F260&lt;&gt;"",'01_Input_Raw_Products'!F260,'01_Input_Raw_Products'!D260)&amp;" "&amp;'01_Input_Raw_Products'!I260)</f>
        <v>0</v>
      </c>
      <c r="E260" s="9">
        <f>IF(C260="","",D260&amp;" | GemPundit")</f>
        <v>0</v>
      </c>
      <c r="F260" s="9" cm="1">
        <f t="array" ref="F260">IF('01_Input_Raw_Products'!X260&lt;&gt;"",'01_Input_Raw_Products'!X260,IFERROR(_xlfn.XLOOKUP('01_Input_Raw_Products'!F260,'10_Master_Gem_Types'!A:A,'10_Master_Gem_Types'!O:O),LOWER(SUBSTITUTE(IF('01_Input_Raw_Products'!F260&lt;&gt;"",'01_Input_Raw_Products'!F260,'01_Input_Raw_Products'!D260)," ","-"))))</f>
        <v>0</v>
      </c>
      <c r="G260" s="9">
        <f>'01_Input_Raw_Products'!C260</f>
        <v>0</v>
      </c>
      <c r="H260" s="9" cm="1">
        <f t="array" ref="H260">IF('01_Input_Raw_Products'!H260&lt;&gt;"",'01_Input_Raw_Products'!H260,IFERROR(_xlfn.XLOOKUP('01_Input_Raw_Products'!F260,'10_Master_Gem_Types'!A:A,'10_Master_Gem_Types'!D:D),""))</f>
        <v>0</v>
      </c>
      <c r="I260" s="7">
        <f>IF('01_Input_Raw_Products'!N260&lt;&gt;"",'01_Input_Raw_Products'!N260,IF('01_Input_Raw_Products'!O260&lt;&gt;"",'01_Input_Raw_Products'!O260*0.91,""))</f>
        <v>0</v>
      </c>
      <c r="J260" s="9" cm="1">
        <f t="array" ref="J260">IFERROR(_xlfn.XLOOKUP('01_Input_Raw_Products'!F260,'10_Master_Gem_Types'!A:A,'10_Master_Gem_Types'!N:N),"")</f>
        <v>0</v>
      </c>
      <c r="K260" s="9" cm="1">
        <f t="array" ref="K260">IF('01_Input_Raw_Products'!J260&lt;&gt;"",'01_Input_Raw_Products'!J260,IFERROR(_xlfn.XLOOKUP('01_Input_Raw_Products'!F260,'10_Master_Gem_Types'!A:A,'10_Master_Gem_Types'!E:E),""))</f>
        <v>0</v>
      </c>
      <c r="L260" s="9">
        <f>'01_Input_Raw_Products'!P260</f>
        <v>0</v>
      </c>
      <c r="M260" s="9" cm="1">
        <f t="array" ref="M260">IFERROR(_xlfn.XLOOKUP('01_Input_Raw_Products'!K260,'12_Color_Mapping'!A:A,'12_Color_Mapping'!B:B),IFERROR(_xlfn.XLOOKUP('01_Input_Raw_Products'!F260,'10_Master_Gem_Types'!A:A,'10_Master_Gem_Types'!F:F),""))</f>
        <v>0</v>
      </c>
      <c r="N260" s="9">
        <f>IF(C260="","",IF('01_Input_Raw_Products'!F260&lt;&gt;"",'01_Input_Raw_Products'!F260,'01_Input_Raw_Products'!D260))</f>
        <v>0</v>
      </c>
      <c r="O260" s="9">
        <f>IF(C260="","","Catalog Automation")</f>
        <v>0</v>
      </c>
      <c r="P260" s="9">
        <f>'01_Input_Raw_Products'!U260</f>
        <v>0</v>
      </c>
      <c r="Q260" s="7">
        <f>IF('01_Input_Raw_Products'!O260&lt;&gt;"",'01_Input_Raw_Products'!O260,IF('01_Input_Raw_Products'!N260&lt;&gt;"",'01_Input_Raw_Products'!N260*1.1,""))</f>
        <v>0</v>
      </c>
      <c r="R260" s="9">
        <f>'01_Input_Raw_Products'!S260</f>
        <v>0</v>
      </c>
      <c r="S260" s="9" cm="1">
        <f t="array" ref="S260">IFERROR(_xlfn.XLOOKUP('01_Input_Raw_Products'!F260,'10_Master_Gem_Types'!A:A,'10_Master_Gem_Types'!H:H),"")</f>
        <v>0</v>
      </c>
      <c r="T260" s="8">
        <f>'01_Input_Raw_Products'!Q260</f>
        <v>0</v>
      </c>
      <c r="U260" s="8">
        <f>'01_Input_Raw_Products'!R260</f>
        <v>0</v>
      </c>
      <c r="V260" s="7">
        <f>I260</f>
        <v>0</v>
      </c>
      <c r="W260" s="9" cm="1">
        <f t="array" ref="W260">IF('01_Input_Raw_Products'!G260&lt;&gt;"",'01_Input_Raw_Products'!G260,IFERROR(_xlfn.XLOOKUP('01_Input_Raw_Products'!F260,'10_Master_Gem_Types'!A:A,'10_Master_Gem_Types'!L:L),""))</f>
        <v>0</v>
      </c>
      <c r="X260" s="9" cm="1">
        <f t="array" ref="X260">IFERROR(_xlfn.XLOOKUP('01_Input_Raw_Products'!F260,'10_Master_Gem_Types'!A:A,'10_Master_Gem_Types'!J:J),"")</f>
        <v>0</v>
      </c>
      <c r="Y260" s="9" cm="1">
        <f t="array" ref="Y260">IFERROR(_xlfn.XLOOKUP('01_Input_Raw_Products'!F260,'10_Master_Gem_Types'!A:A,'10_Master_Gem_Types'!I:I),"")</f>
        <v>0</v>
      </c>
      <c r="Z260" s="9" cm="1">
        <f t="array" ref="Z260">IFERROR(_xlfn.XLOOKUP('01_Input_Raw_Products'!L260,'13_Certification_Stickers'!A:A,'13_Certification_Stickers'!C:C),"")</f>
        <v>0</v>
      </c>
      <c r="AA260" s="9" cm="1">
        <f t="array" ref="AA260">IFERROR(_xlfn.XLOOKUP('01_Input_Raw_Products'!S260,'14_Shipping_Rules'!A:A,'14_Shipping_Rules'!B:B),"")</f>
        <v>0</v>
      </c>
      <c r="AB260" s="9" cm="1">
        <f t="array" ref="AB260">IFERROR(_xlfn.XLOOKUP('01_Input_Raw_Products'!D260,'16_Astro_Flags'!A:A,'16_Astro_Flags'!B:B),"")</f>
        <v>0</v>
      </c>
      <c r="AC260" s="9">
        <f>IF(C260="","","Catalog, Search")</f>
        <v>0</v>
      </c>
      <c r="AD260" s="9">
        <f>IF(C260="","",IF(OR(F260="",J260="",M260="",S260="",Y260=""),"Manual Review","Ready"))</f>
        <v>0</v>
      </c>
      <c r="AE260" s="9">
        <f>IF(C260="","",TEXTJOIN("; ",TRUE,IF(F260="","Missing url_key",""),IF(J260="","Missing classification",""),IF(M260="","Missing j_colour",""),IF(S260="","Missing hsn_code",""),IF(Y260="","Missing tax_class_id","")))</f>
        <v>0</v>
      </c>
    </row>
    <row r="261" spans="1:31">
      <c r="A261" s="9">
        <f>IF('01_Input_Raw_Products'!B261&lt;&gt;"",20,"")</f>
        <v>0</v>
      </c>
      <c r="B261" s="9" cm="1">
        <f t="array" ref="B261">IF('01_Input_Raw_Products'!M261&lt;&gt;"",'01_Input_Raw_Products'!M261,IFERROR(_xlfn.XLOOKUP('01_Input_Raw_Products'!F261,'10_Master_Gem_Types'!A:A,'10_Master_Gem_Types'!K:K),""))</f>
        <v>0</v>
      </c>
      <c r="C261" s="9">
        <f>'01_Input_Raw_Products'!B261</f>
        <v>0</v>
      </c>
      <c r="D261" s="9">
        <f>IF(C261="","",TEXT(I261,"0.00")&amp;" Ct "&amp;IF('01_Input_Raw_Products'!F261&lt;&gt;"",'01_Input_Raw_Products'!F261,'01_Input_Raw_Products'!D261)&amp;" "&amp;'01_Input_Raw_Products'!I261)</f>
        <v>0</v>
      </c>
      <c r="E261" s="9">
        <f>IF(C261="","",D261&amp;" | GemPundit")</f>
        <v>0</v>
      </c>
      <c r="F261" s="9" cm="1">
        <f t="array" ref="F261">IF('01_Input_Raw_Products'!X261&lt;&gt;"",'01_Input_Raw_Products'!X261,IFERROR(_xlfn.XLOOKUP('01_Input_Raw_Products'!F261,'10_Master_Gem_Types'!A:A,'10_Master_Gem_Types'!O:O),LOWER(SUBSTITUTE(IF('01_Input_Raw_Products'!F261&lt;&gt;"",'01_Input_Raw_Products'!F261,'01_Input_Raw_Products'!D261)," ","-"))))</f>
        <v>0</v>
      </c>
      <c r="G261" s="9">
        <f>'01_Input_Raw_Products'!C261</f>
        <v>0</v>
      </c>
      <c r="H261" s="9" cm="1">
        <f t="array" ref="H261">IF('01_Input_Raw_Products'!H261&lt;&gt;"",'01_Input_Raw_Products'!H261,IFERROR(_xlfn.XLOOKUP('01_Input_Raw_Products'!F261,'10_Master_Gem_Types'!A:A,'10_Master_Gem_Types'!D:D),""))</f>
        <v>0</v>
      </c>
      <c r="I261" s="7">
        <f>IF('01_Input_Raw_Products'!N261&lt;&gt;"",'01_Input_Raw_Products'!N261,IF('01_Input_Raw_Products'!O261&lt;&gt;"",'01_Input_Raw_Products'!O261*0.91,""))</f>
        <v>0</v>
      </c>
      <c r="J261" s="9" cm="1">
        <f t="array" ref="J261">IFERROR(_xlfn.XLOOKUP('01_Input_Raw_Products'!F261,'10_Master_Gem_Types'!A:A,'10_Master_Gem_Types'!N:N),"")</f>
        <v>0</v>
      </c>
      <c r="K261" s="9" cm="1">
        <f t="array" ref="K261">IF('01_Input_Raw_Products'!J261&lt;&gt;"",'01_Input_Raw_Products'!J261,IFERROR(_xlfn.XLOOKUP('01_Input_Raw_Products'!F261,'10_Master_Gem_Types'!A:A,'10_Master_Gem_Types'!E:E),""))</f>
        <v>0</v>
      </c>
      <c r="L261" s="9">
        <f>'01_Input_Raw_Products'!P261</f>
        <v>0</v>
      </c>
      <c r="M261" s="9" cm="1">
        <f t="array" ref="M261">IFERROR(_xlfn.XLOOKUP('01_Input_Raw_Products'!K261,'12_Color_Mapping'!A:A,'12_Color_Mapping'!B:B),IFERROR(_xlfn.XLOOKUP('01_Input_Raw_Products'!F261,'10_Master_Gem_Types'!A:A,'10_Master_Gem_Types'!F:F),""))</f>
        <v>0</v>
      </c>
      <c r="N261" s="9">
        <f>IF(C261="","",IF('01_Input_Raw_Products'!F261&lt;&gt;"",'01_Input_Raw_Products'!F261,'01_Input_Raw_Products'!D261))</f>
        <v>0</v>
      </c>
      <c r="O261" s="9">
        <f>IF(C261="","","Catalog Automation")</f>
        <v>0</v>
      </c>
      <c r="P261" s="9">
        <f>'01_Input_Raw_Products'!U261</f>
        <v>0</v>
      </c>
      <c r="Q261" s="7">
        <f>IF('01_Input_Raw_Products'!O261&lt;&gt;"",'01_Input_Raw_Products'!O261,IF('01_Input_Raw_Products'!N261&lt;&gt;"",'01_Input_Raw_Products'!N261*1.1,""))</f>
        <v>0</v>
      </c>
      <c r="R261" s="9">
        <f>'01_Input_Raw_Products'!S261</f>
        <v>0</v>
      </c>
      <c r="S261" s="9" cm="1">
        <f t="array" ref="S261">IFERROR(_xlfn.XLOOKUP('01_Input_Raw_Products'!F261,'10_Master_Gem_Types'!A:A,'10_Master_Gem_Types'!H:H),"")</f>
        <v>0</v>
      </c>
      <c r="T261" s="8">
        <f>'01_Input_Raw_Products'!Q261</f>
        <v>0</v>
      </c>
      <c r="U261" s="8">
        <f>'01_Input_Raw_Products'!R261</f>
        <v>0</v>
      </c>
      <c r="V261" s="7">
        <f>I261</f>
        <v>0</v>
      </c>
      <c r="W261" s="9" cm="1">
        <f t="array" ref="W261">IF('01_Input_Raw_Products'!G261&lt;&gt;"",'01_Input_Raw_Products'!G261,IFERROR(_xlfn.XLOOKUP('01_Input_Raw_Products'!F261,'10_Master_Gem_Types'!A:A,'10_Master_Gem_Types'!L:L),""))</f>
        <v>0</v>
      </c>
      <c r="X261" s="9" cm="1">
        <f t="array" ref="X261">IFERROR(_xlfn.XLOOKUP('01_Input_Raw_Products'!F261,'10_Master_Gem_Types'!A:A,'10_Master_Gem_Types'!J:J),"")</f>
        <v>0</v>
      </c>
      <c r="Y261" s="9" cm="1">
        <f t="array" ref="Y261">IFERROR(_xlfn.XLOOKUP('01_Input_Raw_Products'!F261,'10_Master_Gem_Types'!A:A,'10_Master_Gem_Types'!I:I),"")</f>
        <v>0</v>
      </c>
      <c r="Z261" s="9" cm="1">
        <f t="array" ref="Z261">IFERROR(_xlfn.XLOOKUP('01_Input_Raw_Products'!L261,'13_Certification_Stickers'!A:A,'13_Certification_Stickers'!C:C),"")</f>
        <v>0</v>
      </c>
      <c r="AA261" s="9" cm="1">
        <f t="array" ref="AA261">IFERROR(_xlfn.XLOOKUP('01_Input_Raw_Products'!S261,'14_Shipping_Rules'!A:A,'14_Shipping_Rules'!B:B),"")</f>
        <v>0</v>
      </c>
      <c r="AB261" s="9" cm="1">
        <f t="array" ref="AB261">IFERROR(_xlfn.XLOOKUP('01_Input_Raw_Products'!D261,'16_Astro_Flags'!A:A,'16_Astro_Flags'!B:B),"")</f>
        <v>0</v>
      </c>
      <c r="AC261" s="9">
        <f>IF(C261="","","Catalog, Search")</f>
        <v>0</v>
      </c>
      <c r="AD261" s="9">
        <f>IF(C261="","",IF(OR(F261="",J261="",M261="",S261="",Y261=""),"Manual Review","Ready"))</f>
        <v>0</v>
      </c>
      <c r="AE261" s="9">
        <f>IF(C261="","",TEXTJOIN("; ",TRUE,IF(F261="","Missing url_key",""),IF(J261="","Missing classification",""),IF(M261="","Missing j_colour",""),IF(S261="","Missing hsn_code",""),IF(Y261="","Missing tax_class_id","")))</f>
        <v>0</v>
      </c>
    </row>
    <row r="262" spans="1:31">
      <c r="A262" s="9">
        <f>IF('01_Input_Raw_Products'!B262&lt;&gt;"",20,"")</f>
        <v>0</v>
      </c>
      <c r="B262" s="9" cm="1">
        <f t="array" ref="B262">IF('01_Input_Raw_Products'!M262&lt;&gt;"",'01_Input_Raw_Products'!M262,IFERROR(_xlfn.XLOOKUP('01_Input_Raw_Products'!F262,'10_Master_Gem_Types'!A:A,'10_Master_Gem_Types'!K:K),""))</f>
        <v>0</v>
      </c>
      <c r="C262" s="9">
        <f>'01_Input_Raw_Products'!B262</f>
        <v>0</v>
      </c>
      <c r="D262" s="9">
        <f>IF(C262="","",TEXT(I262,"0.00")&amp;" Ct "&amp;IF('01_Input_Raw_Products'!F262&lt;&gt;"",'01_Input_Raw_Products'!F262,'01_Input_Raw_Products'!D262)&amp;" "&amp;'01_Input_Raw_Products'!I262)</f>
        <v>0</v>
      </c>
      <c r="E262" s="9">
        <f>IF(C262="","",D262&amp;" | GemPundit")</f>
        <v>0</v>
      </c>
      <c r="F262" s="9" cm="1">
        <f t="array" ref="F262">IF('01_Input_Raw_Products'!X262&lt;&gt;"",'01_Input_Raw_Products'!X262,IFERROR(_xlfn.XLOOKUP('01_Input_Raw_Products'!F262,'10_Master_Gem_Types'!A:A,'10_Master_Gem_Types'!O:O),LOWER(SUBSTITUTE(IF('01_Input_Raw_Products'!F262&lt;&gt;"",'01_Input_Raw_Products'!F262,'01_Input_Raw_Products'!D262)," ","-"))))</f>
        <v>0</v>
      </c>
      <c r="G262" s="9">
        <f>'01_Input_Raw_Products'!C262</f>
        <v>0</v>
      </c>
      <c r="H262" s="9" cm="1">
        <f t="array" ref="H262">IF('01_Input_Raw_Products'!H262&lt;&gt;"",'01_Input_Raw_Products'!H262,IFERROR(_xlfn.XLOOKUP('01_Input_Raw_Products'!F262,'10_Master_Gem_Types'!A:A,'10_Master_Gem_Types'!D:D),""))</f>
        <v>0</v>
      </c>
      <c r="I262" s="7">
        <f>IF('01_Input_Raw_Products'!N262&lt;&gt;"",'01_Input_Raw_Products'!N262,IF('01_Input_Raw_Products'!O262&lt;&gt;"",'01_Input_Raw_Products'!O262*0.91,""))</f>
        <v>0</v>
      </c>
      <c r="J262" s="9" cm="1">
        <f t="array" ref="J262">IFERROR(_xlfn.XLOOKUP('01_Input_Raw_Products'!F262,'10_Master_Gem_Types'!A:A,'10_Master_Gem_Types'!N:N),"")</f>
        <v>0</v>
      </c>
      <c r="K262" s="9" cm="1">
        <f t="array" ref="K262">IF('01_Input_Raw_Products'!J262&lt;&gt;"",'01_Input_Raw_Products'!J262,IFERROR(_xlfn.XLOOKUP('01_Input_Raw_Products'!F262,'10_Master_Gem_Types'!A:A,'10_Master_Gem_Types'!E:E),""))</f>
        <v>0</v>
      </c>
      <c r="L262" s="9">
        <f>'01_Input_Raw_Products'!P262</f>
        <v>0</v>
      </c>
      <c r="M262" s="9" cm="1">
        <f t="array" ref="M262">IFERROR(_xlfn.XLOOKUP('01_Input_Raw_Products'!K262,'12_Color_Mapping'!A:A,'12_Color_Mapping'!B:B),IFERROR(_xlfn.XLOOKUP('01_Input_Raw_Products'!F262,'10_Master_Gem_Types'!A:A,'10_Master_Gem_Types'!F:F),""))</f>
        <v>0</v>
      </c>
      <c r="N262" s="9">
        <f>IF(C262="","",IF('01_Input_Raw_Products'!F262&lt;&gt;"",'01_Input_Raw_Products'!F262,'01_Input_Raw_Products'!D262))</f>
        <v>0</v>
      </c>
      <c r="O262" s="9">
        <f>IF(C262="","","Catalog Automation")</f>
        <v>0</v>
      </c>
      <c r="P262" s="9">
        <f>'01_Input_Raw_Products'!U262</f>
        <v>0</v>
      </c>
      <c r="Q262" s="7">
        <f>IF('01_Input_Raw_Products'!O262&lt;&gt;"",'01_Input_Raw_Products'!O262,IF('01_Input_Raw_Products'!N262&lt;&gt;"",'01_Input_Raw_Products'!N262*1.1,""))</f>
        <v>0</v>
      </c>
      <c r="R262" s="9">
        <f>'01_Input_Raw_Products'!S262</f>
        <v>0</v>
      </c>
      <c r="S262" s="9" cm="1">
        <f t="array" ref="S262">IFERROR(_xlfn.XLOOKUP('01_Input_Raw_Products'!F262,'10_Master_Gem_Types'!A:A,'10_Master_Gem_Types'!H:H),"")</f>
        <v>0</v>
      </c>
      <c r="T262" s="8">
        <f>'01_Input_Raw_Products'!Q262</f>
        <v>0</v>
      </c>
      <c r="U262" s="8">
        <f>'01_Input_Raw_Products'!R262</f>
        <v>0</v>
      </c>
      <c r="V262" s="7">
        <f>I262</f>
        <v>0</v>
      </c>
      <c r="W262" s="9" cm="1">
        <f t="array" ref="W262">IF('01_Input_Raw_Products'!G262&lt;&gt;"",'01_Input_Raw_Products'!G262,IFERROR(_xlfn.XLOOKUP('01_Input_Raw_Products'!F262,'10_Master_Gem_Types'!A:A,'10_Master_Gem_Types'!L:L),""))</f>
        <v>0</v>
      </c>
      <c r="X262" s="9" cm="1">
        <f t="array" ref="X262">IFERROR(_xlfn.XLOOKUP('01_Input_Raw_Products'!F262,'10_Master_Gem_Types'!A:A,'10_Master_Gem_Types'!J:J),"")</f>
        <v>0</v>
      </c>
      <c r="Y262" s="9" cm="1">
        <f t="array" ref="Y262">IFERROR(_xlfn.XLOOKUP('01_Input_Raw_Products'!F262,'10_Master_Gem_Types'!A:A,'10_Master_Gem_Types'!I:I),"")</f>
        <v>0</v>
      </c>
      <c r="Z262" s="9" cm="1">
        <f t="array" ref="Z262">IFERROR(_xlfn.XLOOKUP('01_Input_Raw_Products'!L262,'13_Certification_Stickers'!A:A,'13_Certification_Stickers'!C:C),"")</f>
        <v>0</v>
      </c>
      <c r="AA262" s="9" cm="1">
        <f t="array" ref="AA262">IFERROR(_xlfn.XLOOKUP('01_Input_Raw_Products'!S262,'14_Shipping_Rules'!A:A,'14_Shipping_Rules'!B:B),"")</f>
        <v>0</v>
      </c>
      <c r="AB262" s="9" cm="1">
        <f t="array" ref="AB262">IFERROR(_xlfn.XLOOKUP('01_Input_Raw_Products'!D262,'16_Astro_Flags'!A:A,'16_Astro_Flags'!B:B),"")</f>
        <v>0</v>
      </c>
      <c r="AC262" s="9">
        <f>IF(C262="","","Catalog, Search")</f>
        <v>0</v>
      </c>
      <c r="AD262" s="9">
        <f>IF(C262="","",IF(OR(F262="",J262="",M262="",S262="",Y262=""),"Manual Review","Ready"))</f>
        <v>0</v>
      </c>
      <c r="AE262" s="9">
        <f>IF(C262="","",TEXTJOIN("; ",TRUE,IF(F262="","Missing url_key",""),IF(J262="","Missing classification",""),IF(M262="","Missing j_colour",""),IF(S262="","Missing hsn_code",""),IF(Y262="","Missing tax_class_id","")))</f>
        <v>0</v>
      </c>
    </row>
    <row r="263" spans="1:31">
      <c r="A263" s="9">
        <f>IF('01_Input_Raw_Products'!B263&lt;&gt;"",20,"")</f>
        <v>0</v>
      </c>
      <c r="B263" s="9" cm="1">
        <f t="array" ref="B263">IF('01_Input_Raw_Products'!M263&lt;&gt;"",'01_Input_Raw_Products'!M263,IFERROR(_xlfn.XLOOKUP('01_Input_Raw_Products'!F263,'10_Master_Gem_Types'!A:A,'10_Master_Gem_Types'!K:K),""))</f>
        <v>0</v>
      </c>
      <c r="C263" s="9">
        <f>'01_Input_Raw_Products'!B263</f>
        <v>0</v>
      </c>
      <c r="D263" s="9">
        <f>IF(C263="","",TEXT(I263,"0.00")&amp;" Ct "&amp;IF('01_Input_Raw_Products'!F263&lt;&gt;"",'01_Input_Raw_Products'!F263,'01_Input_Raw_Products'!D263)&amp;" "&amp;'01_Input_Raw_Products'!I263)</f>
        <v>0</v>
      </c>
      <c r="E263" s="9">
        <f>IF(C263="","",D263&amp;" | GemPundit")</f>
        <v>0</v>
      </c>
      <c r="F263" s="9" cm="1">
        <f t="array" ref="F263">IF('01_Input_Raw_Products'!X263&lt;&gt;"",'01_Input_Raw_Products'!X263,IFERROR(_xlfn.XLOOKUP('01_Input_Raw_Products'!F263,'10_Master_Gem_Types'!A:A,'10_Master_Gem_Types'!O:O),LOWER(SUBSTITUTE(IF('01_Input_Raw_Products'!F263&lt;&gt;"",'01_Input_Raw_Products'!F263,'01_Input_Raw_Products'!D263)," ","-"))))</f>
        <v>0</v>
      </c>
      <c r="G263" s="9">
        <f>'01_Input_Raw_Products'!C263</f>
        <v>0</v>
      </c>
      <c r="H263" s="9" cm="1">
        <f t="array" ref="H263">IF('01_Input_Raw_Products'!H263&lt;&gt;"",'01_Input_Raw_Products'!H263,IFERROR(_xlfn.XLOOKUP('01_Input_Raw_Products'!F263,'10_Master_Gem_Types'!A:A,'10_Master_Gem_Types'!D:D),""))</f>
        <v>0</v>
      </c>
      <c r="I263" s="7">
        <f>IF('01_Input_Raw_Products'!N263&lt;&gt;"",'01_Input_Raw_Products'!N263,IF('01_Input_Raw_Products'!O263&lt;&gt;"",'01_Input_Raw_Products'!O263*0.91,""))</f>
        <v>0</v>
      </c>
      <c r="J263" s="9" cm="1">
        <f t="array" ref="J263">IFERROR(_xlfn.XLOOKUP('01_Input_Raw_Products'!F263,'10_Master_Gem_Types'!A:A,'10_Master_Gem_Types'!N:N),"")</f>
        <v>0</v>
      </c>
      <c r="K263" s="9" cm="1">
        <f t="array" ref="K263">IF('01_Input_Raw_Products'!J263&lt;&gt;"",'01_Input_Raw_Products'!J263,IFERROR(_xlfn.XLOOKUP('01_Input_Raw_Products'!F263,'10_Master_Gem_Types'!A:A,'10_Master_Gem_Types'!E:E),""))</f>
        <v>0</v>
      </c>
      <c r="L263" s="9">
        <f>'01_Input_Raw_Products'!P263</f>
        <v>0</v>
      </c>
      <c r="M263" s="9" cm="1">
        <f t="array" ref="M263">IFERROR(_xlfn.XLOOKUP('01_Input_Raw_Products'!K263,'12_Color_Mapping'!A:A,'12_Color_Mapping'!B:B),IFERROR(_xlfn.XLOOKUP('01_Input_Raw_Products'!F263,'10_Master_Gem_Types'!A:A,'10_Master_Gem_Types'!F:F),""))</f>
        <v>0</v>
      </c>
      <c r="N263" s="9">
        <f>IF(C263="","",IF('01_Input_Raw_Products'!F263&lt;&gt;"",'01_Input_Raw_Products'!F263,'01_Input_Raw_Products'!D263))</f>
        <v>0</v>
      </c>
      <c r="O263" s="9">
        <f>IF(C263="","","Catalog Automation")</f>
        <v>0</v>
      </c>
      <c r="P263" s="9">
        <f>'01_Input_Raw_Products'!U263</f>
        <v>0</v>
      </c>
      <c r="Q263" s="7">
        <f>IF('01_Input_Raw_Products'!O263&lt;&gt;"",'01_Input_Raw_Products'!O263,IF('01_Input_Raw_Products'!N263&lt;&gt;"",'01_Input_Raw_Products'!N263*1.1,""))</f>
        <v>0</v>
      </c>
      <c r="R263" s="9">
        <f>'01_Input_Raw_Products'!S263</f>
        <v>0</v>
      </c>
      <c r="S263" s="9" cm="1">
        <f t="array" ref="S263">IFERROR(_xlfn.XLOOKUP('01_Input_Raw_Products'!F263,'10_Master_Gem_Types'!A:A,'10_Master_Gem_Types'!H:H),"")</f>
        <v>0</v>
      </c>
      <c r="T263" s="8">
        <f>'01_Input_Raw_Products'!Q263</f>
        <v>0</v>
      </c>
      <c r="U263" s="8">
        <f>'01_Input_Raw_Products'!R263</f>
        <v>0</v>
      </c>
      <c r="V263" s="7">
        <f>I263</f>
        <v>0</v>
      </c>
      <c r="W263" s="9" cm="1">
        <f t="array" ref="W263">IF('01_Input_Raw_Products'!G263&lt;&gt;"",'01_Input_Raw_Products'!G263,IFERROR(_xlfn.XLOOKUP('01_Input_Raw_Products'!F263,'10_Master_Gem_Types'!A:A,'10_Master_Gem_Types'!L:L),""))</f>
        <v>0</v>
      </c>
      <c r="X263" s="9" cm="1">
        <f t="array" ref="X263">IFERROR(_xlfn.XLOOKUP('01_Input_Raw_Products'!F263,'10_Master_Gem_Types'!A:A,'10_Master_Gem_Types'!J:J),"")</f>
        <v>0</v>
      </c>
      <c r="Y263" s="9" cm="1">
        <f t="array" ref="Y263">IFERROR(_xlfn.XLOOKUP('01_Input_Raw_Products'!F263,'10_Master_Gem_Types'!A:A,'10_Master_Gem_Types'!I:I),"")</f>
        <v>0</v>
      </c>
      <c r="Z263" s="9" cm="1">
        <f t="array" ref="Z263">IFERROR(_xlfn.XLOOKUP('01_Input_Raw_Products'!L263,'13_Certification_Stickers'!A:A,'13_Certification_Stickers'!C:C),"")</f>
        <v>0</v>
      </c>
      <c r="AA263" s="9" cm="1">
        <f t="array" ref="AA263">IFERROR(_xlfn.XLOOKUP('01_Input_Raw_Products'!S263,'14_Shipping_Rules'!A:A,'14_Shipping_Rules'!B:B),"")</f>
        <v>0</v>
      </c>
      <c r="AB263" s="9" cm="1">
        <f t="array" ref="AB263">IFERROR(_xlfn.XLOOKUP('01_Input_Raw_Products'!D263,'16_Astro_Flags'!A:A,'16_Astro_Flags'!B:B),"")</f>
        <v>0</v>
      </c>
      <c r="AC263" s="9">
        <f>IF(C263="","","Catalog, Search")</f>
        <v>0</v>
      </c>
      <c r="AD263" s="9">
        <f>IF(C263="","",IF(OR(F263="",J263="",M263="",S263="",Y263=""),"Manual Review","Ready"))</f>
        <v>0</v>
      </c>
      <c r="AE263" s="9">
        <f>IF(C263="","",TEXTJOIN("; ",TRUE,IF(F263="","Missing url_key",""),IF(J263="","Missing classification",""),IF(M263="","Missing j_colour",""),IF(S263="","Missing hsn_code",""),IF(Y263="","Missing tax_class_id","")))</f>
        <v>0</v>
      </c>
    </row>
    <row r="264" spans="1:31">
      <c r="A264" s="9">
        <f>IF('01_Input_Raw_Products'!B264&lt;&gt;"",20,"")</f>
        <v>0</v>
      </c>
      <c r="B264" s="9" cm="1">
        <f t="array" ref="B264">IF('01_Input_Raw_Products'!M264&lt;&gt;"",'01_Input_Raw_Products'!M264,IFERROR(_xlfn.XLOOKUP('01_Input_Raw_Products'!F264,'10_Master_Gem_Types'!A:A,'10_Master_Gem_Types'!K:K),""))</f>
        <v>0</v>
      </c>
      <c r="C264" s="9">
        <f>'01_Input_Raw_Products'!B264</f>
        <v>0</v>
      </c>
      <c r="D264" s="9">
        <f>IF(C264="","",TEXT(I264,"0.00")&amp;" Ct "&amp;IF('01_Input_Raw_Products'!F264&lt;&gt;"",'01_Input_Raw_Products'!F264,'01_Input_Raw_Products'!D264)&amp;" "&amp;'01_Input_Raw_Products'!I264)</f>
        <v>0</v>
      </c>
      <c r="E264" s="9">
        <f>IF(C264="","",D264&amp;" | GemPundit")</f>
        <v>0</v>
      </c>
      <c r="F264" s="9" cm="1">
        <f t="array" ref="F264">IF('01_Input_Raw_Products'!X264&lt;&gt;"",'01_Input_Raw_Products'!X264,IFERROR(_xlfn.XLOOKUP('01_Input_Raw_Products'!F264,'10_Master_Gem_Types'!A:A,'10_Master_Gem_Types'!O:O),LOWER(SUBSTITUTE(IF('01_Input_Raw_Products'!F264&lt;&gt;"",'01_Input_Raw_Products'!F264,'01_Input_Raw_Products'!D264)," ","-"))))</f>
        <v>0</v>
      </c>
      <c r="G264" s="9">
        <f>'01_Input_Raw_Products'!C264</f>
        <v>0</v>
      </c>
      <c r="H264" s="9" cm="1">
        <f t="array" ref="H264">IF('01_Input_Raw_Products'!H264&lt;&gt;"",'01_Input_Raw_Products'!H264,IFERROR(_xlfn.XLOOKUP('01_Input_Raw_Products'!F264,'10_Master_Gem_Types'!A:A,'10_Master_Gem_Types'!D:D),""))</f>
        <v>0</v>
      </c>
      <c r="I264" s="7">
        <f>IF('01_Input_Raw_Products'!N264&lt;&gt;"",'01_Input_Raw_Products'!N264,IF('01_Input_Raw_Products'!O264&lt;&gt;"",'01_Input_Raw_Products'!O264*0.91,""))</f>
        <v>0</v>
      </c>
      <c r="J264" s="9" cm="1">
        <f t="array" ref="J264">IFERROR(_xlfn.XLOOKUP('01_Input_Raw_Products'!F264,'10_Master_Gem_Types'!A:A,'10_Master_Gem_Types'!N:N),"")</f>
        <v>0</v>
      </c>
      <c r="K264" s="9" cm="1">
        <f t="array" ref="K264">IF('01_Input_Raw_Products'!J264&lt;&gt;"",'01_Input_Raw_Products'!J264,IFERROR(_xlfn.XLOOKUP('01_Input_Raw_Products'!F264,'10_Master_Gem_Types'!A:A,'10_Master_Gem_Types'!E:E),""))</f>
        <v>0</v>
      </c>
      <c r="L264" s="9">
        <f>'01_Input_Raw_Products'!P264</f>
        <v>0</v>
      </c>
      <c r="M264" s="9" cm="1">
        <f t="array" ref="M264">IFERROR(_xlfn.XLOOKUP('01_Input_Raw_Products'!K264,'12_Color_Mapping'!A:A,'12_Color_Mapping'!B:B),IFERROR(_xlfn.XLOOKUP('01_Input_Raw_Products'!F264,'10_Master_Gem_Types'!A:A,'10_Master_Gem_Types'!F:F),""))</f>
        <v>0</v>
      </c>
      <c r="N264" s="9">
        <f>IF(C264="","",IF('01_Input_Raw_Products'!F264&lt;&gt;"",'01_Input_Raw_Products'!F264,'01_Input_Raw_Products'!D264))</f>
        <v>0</v>
      </c>
      <c r="O264" s="9">
        <f>IF(C264="","","Catalog Automation")</f>
        <v>0</v>
      </c>
      <c r="P264" s="9">
        <f>'01_Input_Raw_Products'!U264</f>
        <v>0</v>
      </c>
      <c r="Q264" s="7">
        <f>IF('01_Input_Raw_Products'!O264&lt;&gt;"",'01_Input_Raw_Products'!O264,IF('01_Input_Raw_Products'!N264&lt;&gt;"",'01_Input_Raw_Products'!N264*1.1,""))</f>
        <v>0</v>
      </c>
      <c r="R264" s="9">
        <f>'01_Input_Raw_Products'!S264</f>
        <v>0</v>
      </c>
      <c r="S264" s="9" cm="1">
        <f t="array" ref="S264">IFERROR(_xlfn.XLOOKUP('01_Input_Raw_Products'!F264,'10_Master_Gem_Types'!A:A,'10_Master_Gem_Types'!H:H),"")</f>
        <v>0</v>
      </c>
      <c r="T264" s="8">
        <f>'01_Input_Raw_Products'!Q264</f>
        <v>0</v>
      </c>
      <c r="U264" s="8">
        <f>'01_Input_Raw_Products'!R264</f>
        <v>0</v>
      </c>
      <c r="V264" s="7">
        <f>I264</f>
        <v>0</v>
      </c>
      <c r="W264" s="9" cm="1">
        <f t="array" ref="W264">IF('01_Input_Raw_Products'!G264&lt;&gt;"",'01_Input_Raw_Products'!G264,IFERROR(_xlfn.XLOOKUP('01_Input_Raw_Products'!F264,'10_Master_Gem_Types'!A:A,'10_Master_Gem_Types'!L:L),""))</f>
        <v>0</v>
      </c>
      <c r="X264" s="9" cm="1">
        <f t="array" ref="X264">IFERROR(_xlfn.XLOOKUP('01_Input_Raw_Products'!F264,'10_Master_Gem_Types'!A:A,'10_Master_Gem_Types'!J:J),"")</f>
        <v>0</v>
      </c>
      <c r="Y264" s="9" cm="1">
        <f t="array" ref="Y264">IFERROR(_xlfn.XLOOKUP('01_Input_Raw_Products'!F264,'10_Master_Gem_Types'!A:A,'10_Master_Gem_Types'!I:I),"")</f>
        <v>0</v>
      </c>
      <c r="Z264" s="9" cm="1">
        <f t="array" ref="Z264">IFERROR(_xlfn.XLOOKUP('01_Input_Raw_Products'!L264,'13_Certification_Stickers'!A:A,'13_Certification_Stickers'!C:C),"")</f>
        <v>0</v>
      </c>
      <c r="AA264" s="9" cm="1">
        <f t="array" ref="AA264">IFERROR(_xlfn.XLOOKUP('01_Input_Raw_Products'!S264,'14_Shipping_Rules'!A:A,'14_Shipping_Rules'!B:B),"")</f>
        <v>0</v>
      </c>
      <c r="AB264" s="9" cm="1">
        <f t="array" ref="AB264">IFERROR(_xlfn.XLOOKUP('01_Input_Raw_Products'!D264,'16_Astro_Flags'!A:A,'16_Astro_Flags'!B:B),"")</f>
        <v>0</v>
      </c>
      <c r="AC264" s="9">
        <f>IF(C264="","","Catalog, Search")</f>
        <v>0</v>
      </c>
      <c r="AD264" s="9">
        <f>IF(C264="","",IF(OR(F264="",J264="",M264="",S264="",Y264=""),"Manual Review","Ready"))</f>
        <v>0</v>
      </c>
      <c r="AE264" s="9">
        <f>IF(C264="","",TEXTJOIN("; ",TRUE,IF(F264="","Missing url_key",""),IF(J264="","Missing classification",""),IF(M264="","Missing j_colour",""),IF(S264="","Missing hsn_code",""),IF(Y264="","Missing tax_class_id","")))</f>
        <v>0</v>
      </c>
    </row>
    <row r="265" spans="1:31">
      <c r="A265" s="9">
        <f>IF('01_Input_Raw_Products'!B265&lt;&gt;"",20,"")</f>
        <v>0</v>
      </c>
      <c r="B265" s="9" cm="1">
        <f t="array" ref="B265">IF('01_Input_Raw_Products'!M265&lt;&gt;"",'01_Input_Raw_Products'!M265,IFERROR(_xlfn.XLOOKUP('01_Input_Raw_Products'!F265,'10_Master_Gem_Types'!A:A,'10_Master_Gem_Types'!K:K),""))</f>
        <v>0</v>
      </c>
      <c r="C265" s="9">
        <f>'01_Input_Raw_Products'!B265</f>
        <v>0</v>
      </c>
      <c r="D265" s="9">
        <f>IF(C265="","",TEXT(I265,"0.00")&amp;" Ct "&amp;IF('01_Input_Raw_Products'!F265&lt;&gt;"",'01_Input_Raw_Products'!F265,'01_Input_Raw_Products'!D265)&amp;" "&amp;'01_Input_Raw_Products'!I265)</f>
        <v>0</v>
      </c>
      <c r="E265" s="9">
        <f>IF(C265="","",D265&amp;" | GemPundit")</f>
        <v>0</v>
      </c>
      <c r="F265" s="9" cm="1">
        <f t="array" ref="F265">IF('01_Input_Raw_Products'!X265&lt;&gt;"",'01_Input_Raw_Products'!X265,IFERROR(_xlfn.XLOOKUP('01_Input_Raw_Products'!F265,'10_Master_Gem_Types'!A:A,'10_Master_Gem_Types'!O:O),LOWER(SUBSTITUTE(IF('01_Input_Raw_Products'!F265&lt;&gt;"",'01_Input_Raw_Products'!F265,'01_Input_Raw_Products'!D265)," ","-"))))</f>
        <v>0</v>
      </c>
      <c r="G265" s="9">
        <f>'01_Input_Raw_Products'!C265</f>
        <v>0</v>
      </c>
      <c r="H265" s="9" cm="1">
        <f t="array" ref="H265">IF('01_Input_Raw_Products'!H265&lt;&gt;"",'01_Input_Raw_Products'!H265,IFERROR(_xlfn.XLOOKUP('01_Input_Raw_Products'!F265,'10_Master_Gem_Types'!A:A,'10_Master_Gem_Types'!D:D),""))</f>
        <v>0</v>
      </c>
      <c r="I265" s="7">
        <f>IF('01_Input_Raw_Products'!N265&lt;&gt;"",'01_Input_Raw_Products'!N265,IF('01_Input_Raw_Products'!O265&lt;&gt;"",'01_Input_Raw_Products'!O265*0.91,""))</f>
        <v>0</v>
      </c>
      <c r="J265" s="9" cm="1">
        <f t="array" ref="J265">IFERROR(_xlfn.XLOOKUP('01_Input_Raw_Products'!F265,'10_Master_Gem_Types'!A:A,'10_Master_Gem_Types'!N:N),"")</f>
        <v>0</v>
      </c>
      <c r="K265" s="9" cm="1">
        <f t="array" ref="K265">IF('01_Input_Raw_Products'!J265&lt;&gt;"",'01_Input_Raw_Products'!J265,IFERROR(_xlfn.XLOOKUP('01_Input_Raw_Products'!F265,'10_Master_Gem_Types'!A:A,'10_Master_Gem_Types'!E:E),""))</f>
        <v>0</v>
      </c>
      <c r="L265" s="9">
        <f>'01_Input_Raw_Products'!P265</f>
        <v>0</v>
      </c>
      <c r="M265" s="9" cm="1">
        <f t="array" ref="M265">IFERROR(_xlfn.XLOOKUP('01_Input_Raw_Products'!K265,'12_Color_Mapping'!A:A,'12_Color_Mapping'!B:B),IFERROR(_xlfn.XLOOKUP('01_Input_Raw_Products'!F265,'10_Master_Gem_Types'!A:A,'10_Master_Gem_Types'!F:F),""))</f>
        <v>0</v>
      </c>
      <c r="N265" s="9">
        <f>IF(C265="","",IF('01_Input_Raw_Products'!F265&lt;&gt;"",'01_Input_Raw_Products'!F265,'01_Input_Raw_Products'!D265))</f>
        <v>0</v>
      </c>
      <c r="O265" s="9">
        <f>IF(C265="","","Catalog Automation")</f>
        <v>0</v>
      </c>
      <c r="P265" s="9">
        <f>'01_Input_Raw_Products'!U265</f>
        <v>0</v>
      </c>
      <c r="Q265" s="7">
        <f>IF('01_Input_Raw_Products'!O265&lt;&gt;"",'01_Input_Raw_Products'!O265,IF('01_Input_Raw_Products'!N265&lt;&gt;"",'01_Input_Raw_Products'!N265*1.1,""))</f>
        <v>0</v>
      </c>
      <c r="R265" s="9">
        <f>'01_Input_Raw_Products'!S265</f>
        <v>0</v>
      </c>
      <c r="S265" s="9" cm="1">
        <f t="array" ref="S265">IFERROR(_xlfn.XLOOKUP('01_Input_Raw_Products'!F265,'10_Master_Gem_Types'!A:A,'10_Master_Gem_Types'!H:H),"")</f>
        <v>0</v>
      </c>
      <c r="T265" s="8">
        <f>'01_Input_Raw_Products'!Q265</f>
        <v>0</v>
      </c>
      <c r="U265" s="8">
        <f>'01_Input_Raw_Products'!R265</f>
        <v>0</v>
      </c>
      <c r="V265" s="7">
        <f>I265</f>
        <v>0</v>
      </c>
      <c r="W265" s="9" cm="1">
        <f t="array" ref="W265">IF('01_Input_Raw_Products'!G265&lt;&gt;"",'01_Input_Raw_Products'!G265,IFERROR(_xlfn.XLOOKUP('01_Input_Raw_Products'!F265,'10_Master_Gem_Types'!A:A,'10_Master_Gem_Types'!L:L),""))</f>
        <v>0</v>
      </c>
      <c r="X265" s="9" cm="1">
        <f t="array" ref="X265">IFERROR(_xlfn.XLOOKUP('01_Input_Raw_Products'!F265,'10_Master_Gem_Types'!A:A,'10_Master_Gem_Types'!J:J),"")</f>
        <v>0</v>
      </c>
      <c r="Y265" s="9" cm="1">
        <f t="array" ref="Y265">IFERROR(_xlfn.XLOOKUP('01_Input_Raw_Products'!F265,'10_Master_Gem_Types'!A:A,'10_Master_Gem_Types'!I:I),"")</f>
        <v>0</v>
      </c>
      <c r="Z265" s="9" cm="1">
        <f t="array" ref="Z265">IFERROR(_xlfn.XLOOKUP('01_Input_Raw_Products'!L265,'13_Certification_Stickers'!A:A,'13_Certification_Stickers'!C:C),"")</f>
        <v>0</v>
      </c>
      <c r="AA265" s="9" cm="1">
        <f t="array" ref="AA265">IFERROR(_xlfn.XLOOKUP('01_Input_Raw_Products'!S265,'14_Shipping_Rules'!A:A,'14_Shipping_Rules'!B:B),"")</f>
        <v>0</v>
      </c>
      <c r="AB265" s="9" cm="1">
        <f t="array" ref="AB265">IFERROR(_xlfn.XLOOKUP('01_Input_Raw_Products'!D265,'16_Astro_Flags'!A:A,'16_Astro_Flags'!B:B),"")</f>
        <v>0</v>
      </c>
      <c r="AC265" s="9">
        <f>IF(C265="","","Catalog, Search")</f>
        <v>0</v>
      </c>
      <c r="AD265" s="9">
        <f>IF(C265="","",IF(OR(F265="",J265="",M265="",S265="",Y265=""),"Manual Review","Ready"))</f>
        <v>0</v>
      </c>
      <c r="AE265" s="9">
        <f>IF(C265="","",TEXTJOIN("; ",TRUE,IF(F265="","Missing url_key",""),IF(J265="","Missing classification",""),IF(M265="","Missing j_colour",""),IF(S265="","Missing hsn_code",""),IF(Y265="","Missing tax_class_id","")))</f>
        <v>0</v>
      </c>
    </row>
    <row r="266" spans="1:31">
      <c r="A266" s="9">
        <f>IF('01_Input_Raw_Products'!B266&lt;&gt;"",20,"")</f>
        <v>0</v>
      </c>
      <c r="B266" s="9" cm="1">
        <f t="array" ref="B266">IF('01_Input_Raw_Products'!M266&lt;&gt;"",'01_Input_Raw_Products'!M266,IFERROR(_xlfn.XLOOKUP('01_Input_Raw_Products'!F266,'10_Master_Gem_Types'!A:A,'10_Master_Gem_Types'!K:K),""))</f>
        <v>0</v>
      </c>
      <c r="C266" s="9">
        <f>'01_Input_Raw_Products'!B266</f>
        <v>0</v>
      </c>
      <c r="D266" s="9">
        <f>IF(C266="","",TEXT(I266,"0.00")&amp;" Ct "&amp;IF('01_Input_Raw_Products'!F266&lt;&gt;"",'01_Input_Raw_Products'!F266,'01_Input_Raw_Products'!D266)&amp;" "&amp;'01_Input_Raw_Products'!I266)</f>
        <v>0</v>
      </c>
      <c r="E266" s="9">
        <f>IF(C266="","",D266&amp;" | GemPundit")</f>
        <v>0</v>
      </c>
      <c r="F266" s="9" cm="1">
        <f t="array" ref="F266">IF('01_Input_Raw_Products'!X266&lt;&gt;"",'01_Input_Raw_Products'!X266,IFERROR(_xlfn.XLOOKUP('01_Input_Raw_Products'!F266,'10_Master_Gem_Types'!A:A,'10_Master_Gem_Types'!O:O),LOWER(SUBSTITUTE(IF('01_Input_Raw_Products'!F266&lt;&gt;"",'01_Input_Raw_Products'!F266,'01_Input_Raw_Products'!D266)," ","-"))))</f>
        <v>0</v>
      </c>
      <c r="G266" s="9">
        <f>'01_Input_Raw_Products'!C266</f>
        <v>0</v>
      </c>
      <c r="H266" s="9" cm="1">
        <f t="array" ref="H266">IF('01_Input_Raw_Products'!H266&lt;&gt;"",'01_Input_Raw_Products'!H266,IFERROR(_xlfn.XLOOKUP('01_Input_Raw_Products'!F266,'10_Master_Gem_Types'!A:A,'10_Master_Gem_Types'!D:D),""))</f>
        <v>0</v>
      </c>
      <c r="I266" s="7">
        <f>IF('01_Input_Raw_Products'!N266&lt;&gt;"",'01_Input_Raw_Products'!N266,IF('01_Input_Raw_Products'!O266&lt;&gt;"",'01_Input_Raw_Products'!O266*0.91,""))</f>
        <v>0</v>
      </c>
      <c r="J266" s="9" cm="1">
        <f t="array" ref="J266">IFERROR(_xlfn.XLOOKUP('01_Input_Raw_Products'!F266,'10_Master_Gem_Types'!A:A,'10_Master_Gem_Types'!N:N),"")</f>
        <v>0</v>
      </c>
      <c r="K266" s="9" cm="1">
        <f t="array" ref="K266">IF('01_Input_Raw_Products'!J266&lt;&gt;"",'01_Input_Raw_Products'!J266,IFERROR(_xlfn.XLOOKUP('01_Input_Raw_Products'!F266,'10_Master_Gem_Types'!A:A,'10_Master_Gem_Types'!E:E),""))</f>
        <v>0</v>
      </c>
      <c r="L266" s="9">
        <f>'01_Input_Raw_Products'!P266</f>
        <v>0</v>
      </c>
      <c r="M266" s="9" cm="1">
        <f t="array" ref="M266">IFERROR(_xlfn.XLOOKUP('01_Input_Raw_Products'!K266,'12_Color_Mapping'!A:A,'12_Color_Mapping'!B:B),IFERROR(_xlfn.XLOOKUP('01_Input_Raw_Products'!F266,'10_Master_Gem_Types'!A:A,'10_Master_Gem_Types'!F:F),""))</f>
        <v>0</v>
      </c>
      <c r="N266" s="9">
        <f>IF(C266="","",IF('01_Input_Raw_Products'!F266&lt;&gt;"",'01_Input_Raw_Products'!F266,'01_Input_Raw_Products'!D266))</f>
        <v>0</v>
      </c>
      <c r="O266" s="9">
        <f>IF(C266="","","Catalog Automation")</f>
        <v>0</v>
      </c>
      <c r="P266" s="9">
        <f>'01_Input_Raw_Products'!U266</f>
        <v>0</v>
      </c>
      <c r="Q266" s="7">
        <f>IF('01_Input_Raw_Products'!O266&lt;&gt;"",'01_Input_Raw_Products'!O266,IF('01_Input_Raw_Products'!N266&lt;&gt;"",'01_Input_Raw_Products'!N266*1.1,""))</f>
        <v>0</v>
      </c>
      <c r="R266" s="9">
        <f>'01_Input_Raw_Products'!S266</f>
        <v>0</v>
      </c>
      <c r="S266" s="9" cm="1">
        <f t="array" ref="S266">IFERROR(_xlfn.XLOOKUP('01_Input_Raw_Products'!F266,'10_Master_Gem_Types'!A:A,'10_Master_Gem_Types'!H:H),"")</f>
        <v>0</v>
      </c>
      <c r="T266" s="8">
        <f>'01_Input_Raw_Products'!Q266</f>
        <v>0</v>
      </c>
      <c r="U266" s="8">
        <f>'01_Input_Raw_Products'!R266</f>
        <v>0</v>
      </c>
      <c r="V266" s="7">
        <f>I266</f>
        <v>0</v>
      </c>
      <c r="W266" s="9" cm="1">
        <f t="array" ref="W266">IF('01_Input_Raw_Products'!G266&lt;&gt;"",'01_Input_Raw_Products'!G266,IFERROR(_xlfn.XLOOKUP('01_Input_Raw_Products'!F266,'10_Master_Gem_Types'!A:A,'10_Master_Gem_Types'!L:L),""))</f>
        <v>0</v>
      </c>
      <c r="X266" s="9" cm="1">
        <f t="array" ref="X266">IFERROR(_xlfn.XLOOKUP('01_Input_Raw_Products'!F266,'10_Master_Gem_Types'!A:A,'10_Master_Gem_Types'!J:J),"")</f>
        <v>0</v>
      </c>
      <c r="Y266" s="9" cm="1">
        <f t="array" ref="Y266">IFERROR(_xlfn.XLOOKUP('01_Input_Raw_Products'!F266,'10_Master_Gem_Types'!A:A,'10_Master_Gem_Types'!I:I),"")</f>
        <v>0</v>
      </c>
      <c r="Z266" s="9" cm="1">
        <f t="array" ref="Z266">IFERROR(_xlfn.XLOOKUP('01_Input_Raw_Products'!L266,'13_Certification_Stickers'!A:A,'13_Certification_Stickers'!C:C),"")</f>
        <v>0</v>
      </c>
      <c r="AA266" s="9" cm="1">
        <f t="array" ref="AA266">IFERROR(_xlfn.XLOOKUP('01_Input_Raw_Products'!S266,'14_Shipping_Rules'!A:A,'14_Shipping_Rules'!B:B),"")</f>
        <v>0</v>
      </c>
      <c r="AB266" s="9" cm="1">
        <f t="array" ref="AB266">IFERROR(_xlfn.XLOOKUP('01_Input_Raw_Products'!D266,'16_Astro_Flags'!A:A,'16_Astro_Flags'!B:B),"")</f>
        <v>0</v>
      </c>
      <c r="AC266" s="9">
        <f>IF(C266="","","Catalog, Search")</f>
        <v>0</v>
      </c>
      <c r="AD266" s="9">
        <f>IF(C266="","",IF(OR(F266="",J266="",M266="",S266="",Y266=""),"Manual Review","Ready"))</f>
        <v>0</v>
      </c>
      <c r="AE266" s="9">
        <f>IF(C266="","",TEXTJOIN("; ",TRUE,IF(F266="","Missing url_key",""),IF(J266="","Missing classification",""),IF(M266="","Missing j_colour",""),IF(S266="","Missing hsn_code",""),IF(Y266="","Missing tax_class_id","")))</f>
        <v>0</v>
      </c>
    </row>
    <row r="267" spans="1:31">
      <c r="A267" s="9">
        <f>IF('01_Input_Raw_Products'!B267&lt;&gt;"",20,"")</f>
        <v>0</v>
      </c>
      <c r="B267" s="9" cm="1">
        <f t="array" ref="B267">IF('01_Input_Raw_Products'!M267&lt;&gt;"",'01_Input_Raw_Products'!M267,IFERROR(_xlfn.XLOOKUP('01_Input_Raw_Products'!F267,'10_Master_Gem_Types'!A:A,'10_Master_Gem_Types'!K:K),""))</f>
        <v>0</v>
      </c>
      <c r="C267" s="9">
        <f>'01_Input_Raw_Products'!B267</f>
        <v>0</v>
      </c>
      <c r="D267" s="9">
        <f>IF(C267="","",TEXT(I267,"0.00")&amp;" Ct "&amp;IF('01_Input_Raw_Products'!F267&lt;&gt;"",'01_Input_Raw_Products'!F267,'01_Input_Raw_Products'!D267)&amp;" "&amp;'01_Input_Raw_Products'!I267)</f>
        <v>0</v>
      </c>
      <c r="E267" s="9">
        <f>IF(C267="","",D267&amp;" | GemPundit")</f>
        <v>0</v>
      </c>
      <c r="F267" s="9" cm="1">
        <f t="array" ref="F267">IF('01_Input_Raw_Products'!X267&lt;&gt;"",'01_Input_Raw_Products'!X267,IFERROR(_xlfn.XLOOKUP('01_Input_Raw_Products'!F267,'10_Master_Gem_Types'!A:A,'10_Master_Gem_Types'!O:O),LOWER(SUBSTITUTE(IF('01_Input_Raw_Products'!F267&lt;&gt;"",'01_Input_Raw_Products'!F267,'01_Input_Raw_Products'!D267)," ","-"))))</f>
        <v>0</v>
      </c>
      <c r="G267" s="9">
        <f>'01_Input_Raw_Products'!C267</f>
        <v>0</v>
      </c>
      <c r="H267" s="9" cm="1">
        <f t="array" ref="H267">IF('01_Input_Raw_Products'!H267&lt;&gt;"",'01_Input_Raw_Products'!H267,IFERROR(_xlfn.XLOOKUP('01_Input_Raw_Products'!F267,'10_Master_Gem_Types'!A:A,'10_Master_Gem_Types'!D:D),""))</f>
        <v>0</v>
      </c>
      <c r="I267" s="7">
        <f>IF('01_Input_Raw_Products'!N267&lt;&gt;"",'01_Input_Raw_Products'!N267,IF('01_Input_Raw_Products'!O267&lt;&gt;"",'01_Input_Raw_Products'!O267*0.91,""))</f>
        <v>0</v>
      </c>
      <c r="J267" s="9" cm="1">
        <f t="array" ref="J267">IFERROR(_xlfn.XLOOKUP('01_Input_Raw_Products'!F267,'10_Master_Gem_Types'!A:A,'10_Master_Gem_Types'!N:N),"")</f>
        <v>0</v>
      </c>
      <c r="K267" s="9" cm="1">
        <f t="array" ref="K267">IF('01_Input_Raw_Products'!J267&lt;&gt;"",'01_Input_Raw_Products'!J267,IFERROR(_xlfn.XLOOKUP('01_Input_Raw_Products'!F267,'10_Master_Gem_Types'!A:A,'10_Master_Gem_Types'!E:E),""))</f>
        <v>0</v>
      </c>
      <c r="L267" s="9">
        <f>'01_Input_Raw_Products'!P267</f>
        <v>0</v>
      </c>
      <c r="M267" s="9" cm="1">
        <f t="array" ref="M267">IFERROR(_xlfn.XLOOKUP('01_Input_Raw_Products'!K267,'12_Color_Mapping'!A:A,'12_Color_Mapping'!B:B),IFERROR(_xlfn.XLOOKUP('01_Input_Raw_Products'!F267,'10_Master_Gem_Types'!A:A,'10_Master_Gem_Types'!F:F),""))</f>
        <v>0</v>
      </c>
      <c r="N267" s="9">
        <f>IF(C267="","",IF('01_Input_Raw_Products'!F267&lt;&gt;"",'01_Input_Raw_Products'!F267,'01_Input_Raw_Products'!D267))</f>
        <v>0</v>
      </c>
      <c r="O267" s="9">
        <f>IF(C267="","","Catalog Automation")</f>
        <v>0</v>
      </c>
      <c r="P267" s="9">
        <f>'01_Input_Raw_Products'!U267</f>
        <v>0</v>
      </c>
      <c r="Q267" s="7">
        <f>IF('01_Input_Raw_Products'!O267&lt;&gt;"",'01_Input_Raw_Products'!O267,IF('01_Input_Raw_Products'!N267&lt;&gt;"",'01_Input_Raw_Products'!N267*1.1,""))</f>
        <v>0</v>
      </c>
      <c r="R267" s="9">
        <f>'01_Input_Raw_Products'!S267</f>
        <v>0</v>
      </c>
      <c r="S267" s="9" cm="1">
        <f t="array" ref="S267">IFERROR(_xlfn.XLOOKUP('01_Input_Raw_Products'!F267,'10_Master_Gem_Types'!A:A,'10_Master_Gem_Types'!H:H),"")</f>
        <v>0</v>
      </c>
      <c r="T267" s="8">
        <f>'01_Input_Raw_Products'!Q267</f>
        <v>0</v>
      </c>
      <c r="U267" s="8">
        <f>'01_Input_Raw_Products'!R267</f>
        <v>0</v>
      </c>
      <c r="V267" s="7">
        <f>I267</f>
        <v>0</v>
      </c>
      <c r="W267" s="9" cm="1">
        <f t="array" ref="W267">IF('01_Input_Raw_Products'!G267&lt;&gt;"",'01_Input_Raw_Products'!G267,IFERROR(_xlfn.XLOOKUP('01_Input_Raw_Products'!F267,'10_Master_Gem_Types'!A:A,'10_Master_Gem_Types'!L:L),""))</f>
        <v>0</v>
      </c>
      <c r="X267" s="9" cm="1">
        <f t="array" ref="X267">IFERROR(_xlfn.XLOOKUP('01_Input_Raw_Products'!F267,'10_Master_Gem_Types'!A:A,'10_Master_Gem_Types'!J:J),"")</f>
        <v>0</v>
      </c>
      <c r="Y267" s="9" cm="1">
        <f t="array" ref="Y267">IFERROR(_xlfn.XLOOKUP('01_Input_Raw_Products'!F267,'10_Master_Gem_Types'!A:A,'10_Master_Gem_Types'!I:I),"")</f>
        <v>0</v>
      </c>
      <c r="Z267" s="9" cm="1">
        <f t="array" ref="Z267">IFERROR(_xlfn.XLOOKUP('01_Input_Raw_Products'!L267,'13_Certification_Stickers'!A:A,'13_Certification_Stickers'!C:C),"")</f>
        <v>0</v>
      </c>
      <c r="AA267" s="9" cm="1">
        <f t="array" ref="AA267">IFERROR(_xlfn.XLOOKUP('01_Input_Raw_Products'!S267,'14_Shipping_Rules'!A:A,'14_Shipping_Rules'!B:B),"")</f>
        <v>0</v>
      </c>
      <c r="AB267" s="9" cm="1">
        <f t="array" ref="AB267">IFERROR(_xlfn.XLOOKUP('01_Input_Raw_Products'!D267,'16_Astro_Flags'!A:A,'16_Astro_Flags'!B:B),"")</f>
        <v>0</v>
      </c>
      <c r="AC267" s="9">
        <f>IF(C267="","","Catalog, Search")</f>
        <v>0</v>
      </c>
      <c r="AD267" s="9">
        <f>IF(C267="","",IF(OR(F267="",J267="",M267="",S267="",Y267=""),"Manual Review","Ready"))</f>
        <v>0</v>
      </c>
      <c r="AE267" s="9">
        <f>IF(C267="","",TEXTJOIN("; ",TRUE,IF(F267="","Missing url_key",""),IF(J267="","Missing classification",""),IF(M267="","Missing j_colour",""),IF(S267="","Missing hsn_code",""),IF(Y267="","Missing tax_class_id","")))</f>
        <v>0</v>
      </c>
    </row>
    <row r="268" spans="1:31">
      <c r="A268" s="9">
        <f>IF('01_Input_Raw_Products'!B268&lt;&gt;"",20,"")</f>
        <v>0</v>
      </c>
      <c r="B268" s="9" cm="1">
        <f t="array" ref="B268">IF('01_Input_Raw_Products'!M268&lt;&gt;"",'01_Input_Raw_Products'!M268,IFERROR(_xlfn.XLOOKUP('01_Input_Raw_Products'!F268,'10_Master_Gem_Types'!A:A,'10_Master_Gem_Types'!K:K),""))</f>
        <v>0</v>
      </c>
      <c r="C268" s="9">
        <f>'01_Input_Raw_Products'!B268</f>
        <v>0</v>
      </c>
      <c r="D268" s="9">
        <f>IF(C268="","",TEXT(I268,"0.00")&amp;" Ct "&amp;IF('01_Input_Raw_Products'!F268&lt;&gt;"",'01_Input_Raw_Products'!F268,'01_Input_Raw_Products'!D268)&amp;" "&amp;'01_Input_Raw_Products'!I268)</f>
        <v>0</v>
      </c>
      <c r="E268" s="9">
        <f>IF(C268="","",D268&amp;" | GemPundit")</f>
        <v>0</v>
      </c>
      <c r="F268" s="9" cm="1">
        <f t="array" ref="F268">IF('01_Input_Raw_Products'!X268&lt;&gt;"",'01_Input_Raw_Products'!X268,IFERROR(_xlfn.XLOOKUP('01_Input_Raw_Products'!F268,'10_Master_Gem_Types'!A:A,'10_Master_Gem_Types'!O:O),LOWER(SUBSTITUTE(IF('01_Input_Raw_Products'!F268&lt;&gt;"",'01_Input_Raw_Products'!F268,'01_Input_Raw_Products'!D268)," ","-"))))</f>
        <v>0</v>
      </c>
      <c r="G268" s="9">
        <f>'01_Input_Raw_Products'!C268</f>
        <v>0</v>
      </c>
      <c r="H268" s="9" cm="1">
        <f t="array" ref="H268">IF('01_Input_Raw_Products'!H268&lt;&gt;"",'01_Input_Raw_Products'!H268,IFERROR(_xlfn.XLOOKUP('01_Input_Raw_Products'!F268,'10_Master_Gem_Types'!A:A,'10_Master_Gem_Types'!D:D),""))</f>
        <v>0</v>
      </c>
      <c r="I268" s="7">
        <f>IF('01_Input_Raw_Products'!N268&lt;&gt;"",'01_Input_Raw_Products'!N268,IF('01_Input_Raw_Products'!O268&lt;&gt;"",'01_Input_Raw_Products'!O268*0.91,""))</f>
        <v>0</v>
      </c>
      <c r="J268" s="9" cm="1">
        <f t="array" ref="J268">IFERROR(_xlfn.XLOOKUP('01_Input_Raw_Products'!F268,'10_Master_Gem_Types'!A:A,'10_Master_Gem_Types'!N:N),"")</f>
        <v>0</v>
      </c>
      <c r="K268" s="9" cm="1">
        <f t="array" ref="K268">IF('01_Input_Raw_Products'!J268&lt;&gt;"",'01_Input_Raw_Products'!J268,IFERROR(_xlfn.XLOOKUP('01_Input_Raw_Products'!F268,'10_Master_Gem_Types'!A:A,'10_Master_Gem_Types'!E:E),""))</f>
        <v>0</v>
      </c>
      <c r="L268" s="9">
        <f>'01_Input_Raw_Products'!P268</f>
        <v>0</v>
      </c>
      <c r="M268" s="9" cm="1">
        <f t="array" ref="M268">IFERROR(_xlfn.XLOOKUP('01_Input_Raw_Products'!K268,'12_Color_Mapping'!A:A,'12_Color_Mapping'!B:B),IFERROR(_xlfn.XLOOKUP('01_Input_Raw_Products'!F268,'10_Master_Gem_Types'!A:A,'10_Master_Gem_Types'!F:F),""))</f>
        <v>0</v>
      </c>
      <c r="N268" s="9">
        <f>IF(C268="","",IF('01_Input_Raw_Products'!F268&lt;&gt;"",'01_Input_Raw_Products'!F268,'01_Input_Raw_Products'!D268))</f>
        <v>0</v>
      </c>
      <c r="O268" s="9">
        <f>IF(C268="","","Catalog Automation")</f>
        <v>0</v>
      </c>
      <c r="P268" s="9">
        <f>'01_Input_Raw_Products'!U268</f>
        <v>0</v>
      </c>
      <c r="Q268" s="7">
        <f>IF('01_Input_Raw_Products'!O268&lt;&gt;"",'01_Input_Raw_Products'!O268,IF('01_Input_Raw_Products'!N268&lt;&gt;"",'01_Input_Raw_Products'!N268*1.1,""))</f>
        <v>0</v>
      </c>
      <c r="R268" s="9">
        <f>'01_Input_Raw_Products'!S268</f>
        <v>0</v>
      </c>
      <c r="S268" s="9" cm="1">
        <f t="array" ref="S268">IFERROR(_xlfn.XLOOKUP('01_Input_Raw_Products'!F268,'10_Master_Gem_Types'!A:A,'10_Master_Gem_Types'!H:H),"")</f>
        <v>0</v>
      </c>
      <c r="T268" s="8">
        <f>'01_Input_Raw_Products'!Q268</f>
        <v>0</v>
      </c>
      <c r="U268" s="8">
        <f>'01_Input_Raw_Products'!R268</f>
        <v>0</v>
      </c>
      <c r="V268" s="7">
        <f>I268</f>
        <v>0</v>
      </c>
      <c r="W268" s="9" cm="1">
        <f t="array" ref="W268">IF('01_Input_Raw_Products'!G268&lt;&gt;"",'01_Input_Raw_Products'!G268,IFERROR(_xlfn.XLOOKUP('01_Input_Raw_Products'!F268,'10_Master_Gem_Types'!A:A,'10_Master_Gem_Types'!L:L),""))</f>
        <v>0</v>
      </c>
      <c r="X268" s="9" cm="1">
        <f t="array" ref="X268">IFERROR(_xlfn.XLOOKUP('01_Input_Raw_Products'!F268,'10_Master_Gem_Types'!A:A,'10_Master_Gem_Types'!J:J),"")</f>
        <v>0</v>
      </c>
      <c r="Y268" s="9" cm="1">
        <f t="array" ref="Y268">IFERROR(_xlfn.XLOOKUP('01_Input_Raw_Products'!F268,'10_Master_Gem_Types'!A:A,'10_Master_Gem_Types'!I:I),"")</f>
        <v>0</v>
      </c>
      <c r="Z268" s="9" cm="1">
        <f t="array" ref="Z268">IFERROR(_xlfn.XLOOKUP('01_Input_Raw_Products'!L268,'13_Certification_Stickers'!A:A,'13_Certification_Stickers'!C:C),"")</f>
        <v>0</v>
      </c>
      <c r="AA268" s="9" cm="1">
        <f t="array" ref="AA268">IFERROR(_xlfn.XLOOKUP('01_Input_Raw_Products'!S268,'14_Shipping_Rules'!A:A,'14_Shipping_Rules'!B:B),"")</f>
        <v>0</v>
      </c>
      <c r="AB268" s="9" cm="1">
        <f t="array" ref="AB268">IFERROR(_xlfn.XLOOKUP('01_Input_Raw_Products'!D268,'16_Astro_Flags'!A:A,'16_Astro_Flags'!B:B),"")</f>
        <v>0</v>
      </c>
      <c r="AC268" s="9">
        <f>IF(C268="","","Catalog, Search")</f>
        <v>0</v>
      </c>
      <c r="AD268" s="9">
        <f>IF(C268="","",IF(OR(F268="",J268="",M268="",S268="",Y268=""),"Manual Review","Ready"))</f>
        <v>0</v>
      </c>
      <c r="AE268" s="9">
        <f>IF(C268="","",TEXTJOIN("; ",TRUE,IF(F268="","Missing url_key",""),IF(J268="","Missing classification",""),IF(M268="","Missing j_colour",""),IF(S268="","Missing hsn_code",""),IF(Y268="","Missing tax_class_id","")))</f>
        <v>0</v>
      </c>
    </row>
    <row r="269" spans="1:31">
      <c r="A269" s="9">
        <f>IF('01_Input_Raw_Products'!B269&lt;&gt;"",20,"")</f>
        <v>0</v>
      </c>
      <c r="B269" s="9" cm="1">
        <f t="array" ref="B269">IF('01_Input_Raw_Products'!M269&lt;&gt;"",'01_Input_Raw_Products'!M269,IFERROR(_xlfn.XLOOKUP('01_Input_Raw_Products'!F269,'10_Master_Gem_Types'!A:A,'10_Master_Gem_Types'!K:K),""))</f>
        <v>0</v>
      </c>
      <c r="C269" s="9">
        <f>'01_Input_Raw_Products'!B269</f>
        <v>0</v>
      </c>
      <c r="D269" s="9">
        <f>IF(C269="","",TEXT(I269,"0.00")&amp;" Ct "&amp;IF('01_Input_Raw_Products'!F269&lt;&gt;"",'01_Input_Raw_Products'!F269,'01_Input_Raw_Products'!D269)&amp;" "&amp;'01_Input_Raw_Products'!I269)</f>
        <v>0</v>
      </c>
      <c r="E269" s="9">
        <f>IF(C269="","",D269&amp;" | GemPundit")</f>
        <v>0</v>
      </c>
      <c r="F269" s="9" cm="1">
        <f t="array" ref="F269">IF('01_Input_Raw_Products'!X269&lt;&gt;"",'01_Input_Raw_Products'!X269,IFERROR(_xlfn.XLOOKUP('01_Input_Raw_Products'!F269,'10_Master_Gem_Types'!A:A,'10_Master_Gem_Types'!O:O),LOWER(SUBSTITUTE(IF('01_Input_Raw_Products'!F269&lt;&gt;"",'01_Input_Raw_Products'!F269,'01_Input_Raw_Products'!D269)," ","-"))))</f>
        <v>0</v>
      </c>
      <c r="G269" s="9">
        <f>'01_Input_Raw_Products'!C269</f>
        <v>0</v>
      </c>
      <c r="H269" s="9" cm="1">
        <f t="array" ref="H269">IF('01_Input_Raw_Products'!H269&lt;&gt;"",'01_Input_Raw_Products'!H269,IFERROR(_xlfn.XLOOKUP('01_Input_Raw_Products'!F269,'10_Master_Gem_Types'!A:A,'10_Master_Gem_Types'!D:D),""))</f>
        <v>0</v>
      </c>
      <c r="I269" s="7">
        <f>IF('01_Input_Raw_Products'!N269&lt;&gt;"",'01_Input_Raw_Products'!N269,IF('01_Input_Raw_Products'!O269&lt;&gt;"",'01_Input_Raw_Products'!O269*0.91,""))</f>
        <v>0</v>
      </c>
      <c r="J269" s="9" cm="1">
        <f t="array" ref="J269">IFERROR(_xlfn.XLOOKUP('01_Input_Raw_Products'!F269,'10_Master_Gem_Types'!A:A,'10_Master_Gem_Types'!N:N),"")</f>
        <v>0</v>
      </c>
      <c r="K269" s="9" cm="1">
        <f t="array" ref="K269">IF('01_Input_Raw_Products'!J269&lt;&gt;"",'01_Input_Raw_Products'!J269,IFERROR(_xlfn.XLOOKUP('01_Input_Raw_Products'!F269,'10_Master_Gem_Types'!A:A,'10_Master_Gem_Types'!E:E),""))</f>
        <v>0</v>
      </c>
      <c r="L269" s="9">
        <f>'01_Input_Raw_Products'!P269</f>
        <v>0</v>
      </c>
      <c r="M269" s="9" cm="1">
        <f t="array" ref="M269">IFERROR(_xlfn.XLOOKUP('01_Input_Raw_Products'!K269,'12_Color_Mapping'!A:A,'12_Color_Mapping'!B:B),IFERROR(_xlfn.XLOOKUP('01_Input_Raw_Products'!F269,'10_Master_Gem_Types'!A:A,'10_Master_Gem_Types'!F:F),""))</f>
        <v>0</v>
      </c>
      <c r="N269" s="9">
        <f>IF(C269="","",IF('01_Input_Raw_Products'!F269&lt;&gt;"",'01_Input_Raw_Products'!F269,'01_Input_Raw_Products'!D269))</f>
        <v>0</v>
      </c>
      <c r="O269" s="9">
        <f>IF(C269="","","Catalog Automation")</f>
        <v>0</v>
      </c>
      <c r="P269" s="9">
        <f>'01_Input_Raw_Products'!U269</f>
        <v>0</v>
      </c>
      <c r="Q269" s="7">
        <f>IF('01_Input_Raw_Products'!O269&lt;&gt;"",'01_Input_Raw_Products'!O269,IF('01_Input_Raw_Products'!N269&lt;&gt;"",'01_Input_Raw_Products'!N269*1.1,""))</f>
        <v>0</v>
      </c>
      <c r="R269" s="9">
        <f>'01_Input_Raw_Products'!S269</f>
        <v>0</v>
      </c>
      <c r="S269" s="9" cm="1">
        <f t="array" ref="S269">IFERROR(_xlfn.XLOOKUP('01_Input_Raw_Products'!F269,'10_Master_Gem_Types'!A:A,'10_Master_Gem_Types'!H:H),"")</f>
        <v>0</v>
      </c>
      <c r="T269" s="8">
        <f>'01_Input_Raw_Products'!Q269</f>
        <v>0</v>
      </c>
      <c r="U269" s="8">
        <f>'01_Input_Raw_Products'!R269</f>
        <v>0</v>
      </c>
      <c r="V269" s="7">
        <f>I269</f>
        <v>0</v>
      </c>
      <c r="W269" s="9" cm="1">
        <f t="array" ref="W269">IF('01_Input_Raw_Products'!G269&lt;&gt;"",'01_Input_Raw_Products'!G269,IFERROR(_xlfn.XLOOKUP('01_Input_Raw_Products'!F269,'10_Master_Gem_Types'!A:A,'10_Master_Gem_Types'!L:L),""))</f>
        <v>0</v>
      </c>
      <c r="X269" s="9" cm="1">
        <f t="array" ref="X269">IFERROR(_xlfn.XLOOKUP('01_Input_Raw_Products'!F269,'10_Master_Gem_Types'!A:A,'10_Master_Gem_Types'!J:J),"")</f>
        <v>0</v>
      </c>
      <c r="Y269" s="9" cm="1">
        <f t="array" ref="Y269">IFERROR(_xlfn.XLOOKUP('01_Input_Raw_Products'!F269,'10_Master_Gem_Types'!A:A,'10_Master_Gem_Types'!I:I),"")</f>
        <v>0</v>
      </c>
      <c r="Z269" s="9" cm="1">
        <f t="array" ref="Z269">IFERROR(_xlfn.XLOOKUP('01_Input_Raw_Products'!L269,'13_Certification_Stickers'!A:A,'13_Certification_Stickers'!C:C),"")</f>
        <v>0</v>
      </c>
      <c r="AA269" s="9" cm="1">
        <f t="array" ref="AA269">IFERROR(_xlfn.XLOOKUP('01_Input_Raw_Products'!S269,'14_Shipping_Rules'!A:A,'14_Shipping_Rules'!B:B),"")</f>
        <v>0</v>
      </c>
      <c r="AB269" s="9" cm="1">
        <f t="array" ref="AB269">IFERROR(_xlfn.XLOOKUP('01_Input_Raw_Products'!D269,'16_Astro_Flags'!A:A,'16_Astro_Flags'!B:B),"")</f>
        <v>0</v>
      </c>
      <c r="AC269" s="9">
        <f>IF(C269="","","Catalog, Search")</f>
        <v>0</v>
      </c>
      <c r="AD269" s="9">
        <f>IF(C269="","",IF(OR(F269="",J269="",M269="",S269="",Y269=""),"Manual Review","Ready"))</f>
        <v>0</v>
      </c>
      <c r="AE269" s="9">
        <f>IF(C269="","",TEXTJOIN("; ",TRUE,IF(F269="","Missing url_key",""),IF(J269="","Missing classification",""),IF(M269="","Missing j_colour",""),IF(S269="","Missing hsn_code",""),IF(Y269="","Missing tax_class_id","")))</f>
        <v>0</v>
      </c>
    </row>
    <row r="270" spans="1:31">
      <c r="A270" s="9">
        <f>IF('01_Input_Raw_Products'!B270&lt;&gt;"",20,"")</f>
        <v>0</v>
      </c>
      <c r="B270" s="9" cm="1">
        <f t="array" ref="B270">IF('01_Input_Raw_Products'!M270&lt;&gt;"",'01_Input_Raw_Products'!M270,IFERROR(_xlfn.XLOOKUP('01_Input_Raw_Products'!F270,'10_Master_Gem_Types'!A:A,'10_Master_Gem_Types'!K:K),""))</f>
        <v>0</v>
      </c>
      <c r="C270" s="9">
        <f>'01_Input_Raw_Products'!B270</f>
        <v>0</v>
      </c>
      <c r="D270" s="9">
        <f>IF(C270="","",TEXT(I270,"0.00")&amp;" Ct "&amp;IF('01_Input_Raw_Products'!F270&lt;&gt;"",'01_Input_Raw_Products'!F270,'01_Input_Raw_Products'!D270)&amp;" "&amp;'01_Input_Raw_Products'!I270)</f>
        <v>0</v>
      </c>
      <c r="E270" s="9">
        <f>IF(C270="","",D270&amp;" | GemPundit")</f>
        <v>0</v>
      </c>
      <c r="F270" s="9" cm="1">
        <f t="array" ref="F270">IF('01_Input_Raw_Products'!X270&lt;&gt;"",'01_Input_Raw_Products'!X270,IFERROR(_xlfn.XLOOKUP('01_Input_Raw_Products'!F270,'10_Master_Gem_Types'!A:A,'10_Master_Gem_Types'!O:O),LOWER(SUBSTITUTE(IF('01_Input_Raw_Products'!F270&lt;&gt;"",'01_Input_Raw_Products'!F270,'01_Input_Raw_Products'!D270)," ","-"))))</f>
        <v>0</v>
      </c>
      <c r="G270" s="9">
        <f>'01_Input_Raw_Products'!C270</f>
        <v>0</v>
      </c>
      <c r="H270" s="9" cm="1">
        <f t="array" ref="H270">IF('01_Input_Raw_Products'!H270&lt;&gt;"",'01_Input_Raw_Products'!H270,IFERROR(_xlfn.XLOOKUP('01_Input_Raw_Products'!F270,'10_Master_Gem_Types'!A:A,'10_Master_Gem_Types'!D:D),""))</f>
        <v>0</v>
      </c>
      <c r="I270" s="7">
        <f>IF('01_Input_Raw_Products'!N270&lt;&gt;"",'01_Input_Raw_Products'!N270,IF('01_Input_Raw_Products'!O270&lt;&gt;"",'01_Input_Raw_Products'!O270*0.91,""))</f>
        <v>0</v>
      </c>
      <c r="J270" s="9" cm="1">
        <f t="array" ref="J270">IFERROR(_xlfn.XLOOKUP('01_Input_Raw_Products'!F270,'10_Master_Gem_Types'!A:A,'10_Master_Gem_Types'!N:N),"")</f>
        <v>0</v>
      </c>
      <c r="K270" s="9" cm="1">
        <f t="array" ref="K270">IF('01_Input_Raw_Products'!J270&lt;&gt;"",'01_Input_Raw_Products'!J270,IFERROR(_xlfn.XLOOKUP('01_Input_Raw_Products'!F270,'10_Master_Gem_Types'!A:A,'10_Master_Gem_Types'!E:E),""))</f>
        <v>0</v>
      </c>
      <c r="L270" s="9">
        <f>'01_Input_Raw_Products'!P270</f>
        <v>0</v>
      </c>
      <c r="M270" s="9" cm="1">
        <f t="array" ref="M270">IFERROR(_xlfn.XLOOKUP('01_Input_Raw_Products'!K270,'12_Color_Mapping'!A:A,'12_Color_Mapping'!B:B),IFERROR(_xlfn.XLOOKUP('01_Input_Raw_Products'!F270,'10_Master_Gem_Types'!A:A,'10_Master_Gem_Types'!F:F),""))</f>
        <v>0</v>
      </c>
      <c r="N270" s="9">
        <f>IF(C270="","",IF('01_Input_Raw_Products'!F270&lt;&gt;"",'01_Input_Raw_Products'!F270,'01_Input_Raw_Products'!D270))</f>
        <v>0</v>
      </c>
      <c r="O270" s="9">
        <f>IF(C270="","","Catalog Automation")</f>
        <v>0</v>
      </c>
      <c r="P270" s="9">
        <f>'01_Input_Raw_Products'!U270</f>
        <v>0</v>
      </c>
      <c r="Q270" s="7">
        <f>IF('01_Input_Raw_Products'!O270&lt;&gt;"",'01_Input_Raw_Products'!O270,IF('01_Input_Raw_Products'!N270&lt;&gt;"",'01_Input_Raw_Products'!N270*1.1,""))</f>
        <v>0</v>
      </c>
      <c r="R270" s="9">
        <f>'01_Input_Raw_Products'!S270</f>
        <v>0</v>
      </c>
      <c r="S270" s="9" cm="1">
        <f t="array" ref="S270">IFERROR(_xlfn.XLOOKUP('01_Input_Raw_Products'!F270,'10_Master_Gem_Types'!A:A,'10_Master_Gem_Types'!H:H),"")</f>
        <v>0</v>
      </c>
      <c r="T270" s="8">
        <f>'01_Input_Raw_Products'!Q270</f>
        <v>0</v>
      </c>
      <c r="U270" s="8">
        <f>'01_Input_Raw_Products'!R270</f>
        <v>0</v>
      </c>
      <c r="V270" s="7">
        <f>I270</f>
        <v>0</v>
      </c>
      <c r="W270" s="9" cm="1">
        <f t="array" ref="W270">IF('01_Input_Raw_Products'!G270&lt;&gt;"",'01_Input_Raw_Products'!G270,IFERROR(_xlfn.XLOOKUP('01_Input_Raw_Products'!F270,'10_Master_Gem_Types'!A:A,'10_Master_Gem_Types'!L:L),""))</f>
        <v>0</v>
      </c>
      <c r="X270" s="9" cm="1">
        <f t="array" ref="X270">IFERROR(_xlfn.XLOOKUP('01_Input_Raw_Products'!F270,'10_Master_Gem_Types'!A:A,'10_Master_Gem_Types'!J:J),"")</f>
        <v>0</v>
      </c>
      <c r="Y270" s="9" cm="1">
        <f t="array" ref="Y270">IFERROR(_xlfn.XLOOKUP('01_Input_Raw_Products'!F270,'10_Master_Gem_Types'!A:A,'10_Master_Gem_Types'!I:I),"")</f>
        <v>0</v>
      </c>
      <c r="Z270" s="9" cm="1">
        <f t="array" ref="Z270">IFERROR(_xlfn.XLOOKUP('01_Input_Raw_Products'!L270,'13_Certification_Stickers'!A:A,'13_Certification_Stickers'!C:C),"")</f>
        <v>0</v>
      </c>
      <c r="AA270" s="9" cm="1">
        <f t="array" ref="AA270">IFERROR(_xlfn.XLOOKUP('01_Input_Raw_Products'!S270,'14_Shipping_Rules'!A:A,'14_Shipping_Rules'!B:B),"")</f>
        <v>0</v>
      </c>
      <c r="AB270" s="9" cm="1">
        <f t="array" ref="AB270">IFERROR(_xlfn.XLOOKUP('01_Input_Raw_Products'!D270,'16_Astro_Flags'!A:A,'16_Astro_Flags'!B:B),"")</f>
        <v>0</v>
      </c>
      <c r="AC270" s="9">
        <f>IF(C270="","","Catalog, Search")</f>
        <v>0</v>
      </c>
      <c r="AD270" s="9">
        <f>IF(C270="","",IF(OR(F270="",J270="",M270="",S270="",Y270=""),"Manual Review","Ready"))</f>
        <v>0</v>
      </c>
      <c r="AE270" s="9">
        <f>IF(C270="","",TEXTJOIN("; ",TRUE,IF(F270="","Missing url_key",""),IF(J270="","Missing classification",""),IF(M270="","Missing j_colour",""),IF(S270="","Missing hsn_code",""),IF(Y270="","Missing tax_class_id","")))</f>
        <v>0</v>
      </c>
    </row>
    <row r="271" spans="1:31">
      <c r="A271" s="9">
        <f>IF('01_Input_Raw_Products'!B271&lt;&gt;"",20,"")</f>
        <v>0</v>
      </c>
      <c r="B271" s="9" cm="1">
        <f t="array" ref="B271">IF('01_Input_Raw_Products'!M271&lt;&gt;"",'01_Input_Raw_Products'!M271,IFERROR(_xlfn.XLOOKUP('01_Input_Raw_Products'!F271,'10_Master_Gem_Types'!A:A,'10_Master_Gem_Types'!K:K),""))</f>
        <v>0</v>
      </c>
      <c r="C271" s="9">
        <f>'01_Input_Raw_Products'!B271</f>
        <v>0</v>
      </c>
      <c r="D271" s="9">
        <f>IF(C271="","",TEXT(I271,"0.00")&amp;" Ct "&amp;IF('01_Input_Raw_Products'!F271&lt;&gt;"",'01_Input_Raw_Products'!F271,'01_Input_Raw_Products'!D271)&amp;" "&amp;'01_Input_Raw_Products'!I271)</f>
        <v>0</v>
      </c>
      <c r="E271" s="9">
        <f>IF(C271="","",D271&amp;" | GemPundit")</f>
        <v>0</v>
      </c>
      <c r="F271" s="9" cm="1">
        <f t="array" ref="F271">IF('01_Input_Raw_Products'!X271&lt;&gt;"",'01_Input_Raw_Products'!X271,IFERROR(_xlfn.XLOOKUP('01_Input_Raw_Products'!F271,'10_Master_Gem_Types'!A:A,'10_Master_Gem_Types'!O:O),LOWER(SUBSTITUTE(IF('01_Input_Raw_Products'!F271&lt;&gt;"",'01_Input_Raw_Products'!F271,'01_Input_Raw_Products'!D271)," ","-"))))</f>
        <v>0</v>
      </c>
      <c r="G271" s="9">
        <f>'01_Input_Raw_Products'!C271</f>
        <v>0</v>
      </c>
      <c r="H271" s="9" cm="1">
        <f t="array" ref="H271">IF('01_Input_Raw_Products'!H271&lt;&gt;"",'01_Input_Raw_Products'!H271,IFERROR(_xlfn.XLOOKUP('01_Input_Raw_Products'!F271,'10_Master_Gem_Types'!A:A,'10_Master_Gem_Types'!D:D),""))</f>
        <v>0</v>
      </c>
      <c r="I271" s="7">
        <f>IF('01_Input_Raw_Products'!N271&lt;&gt;"",'01_Input_Raw_Products'!N271,IF('01_Input_Raw_Products'!O271&lt;&gt;"",'01_Input_Raw_Products'!O271*0.91,""))</f>
        <v>0</v>
      </c>
      <c r="J271" s="9" cm="1">
        <f t="array" ref="J271">IFERROR(_xlfn.XLOOKUP('01_Input_Raw_Products'!F271,'10_Master_Gem_Types'!A:A,'10_Master_Gem_Types'!N:N),"")</f>
        <v>0</v>
      </c>
      <c r="K271" s="9" cm="1">
        <f t="array" ref="K271">IF('01_Input_Raw_Products'!J271&lt;&gt;"",'01_Input_Raw_Products'!J271,IFERROR(_xlfn.XLOOKUP('01_Input_Raw_Products'!F271,'10_Master_Gem_Types'!A:A,'10_Master_Gem_Types'!E:E),""))</f>
        <v>0</v>
      </c>
      <c r="L271" s="9">
        <f>'01_Input_Raw_Products'!P271</f>
        <v>0</v>
      </c>
      <c r="M271" s="9" cm="1">
        <f t="array" ref="M271">IFERROR(_xlfn.XLOOKUP('01_Input_Raw_Products'!K271,'12_Color_Mapping'!A:A,'12_Color_Mapping'!B:B),IFERROR(_xlfn.XLOOKUP('01_Input_Raw_Products'!F271,'10_Master_Gem_Types'!A:A,'10_Master_Gem_Types'!F:F),""))</f>
        <v>0</v>
      </c>
      <c r="N271" s="9">
        <f>IF(C271="","",IF('01_Input_Raw_Products'!F271&lt;&gt;"",'01_Input_Raw_Products'!F271,'01_Input_Raw_Products'!D271))</f>
        <v>0</v>
      </c>
      <c r="O271" s="9">
        <f>IF(C271="","","Catalog Automation")</f>
        <v>0</v>
      </c>
      <c r="P271" s="9">
        <f>'01_Input_Raw_Products'!U271</f>
        <v>0</v>
      </c>
      <c r="Q271" s="7">
        <f>IF('01_Input_Raw_Products'!O271&lt;&gt;"",'01_Input_Raw_Products'!O271,IF('01_Input_Raw_Products'!N271&lt;&gt;"",'01_Input_Raw_Products'!N271*1.1,""))</f>
        <v>0</v>
      </c>
      <c r="R271" s="9">
        <f>'01_Input_Raw_Products'!S271</f>
        <v>0</v>
      </c>
      <c r="S271" s="9" cm="1">
        <f t="array" ref="S271">IFERROR(_xlfn.XLOOKUP('01_Input_Raw_Products'!F271,'10_Master_Gem_Types'!A:A,'10_Master_Gem_Types'!H:H),"")</f>
        <v>0</v>
      </c>
      <c r="T271" s="8">
        <f>'01_Input_Raw_Products'!Q271</f>
        <v>0</v>
      </c>
      <c r="U271" s="8">
        <f>'01_Input_Raw_Products'!R271</f>
        <v>0</v>
      </c>
      <c r="V271" s="7">
        <f>I271</f>
        <v>0</v>
      </c>
      <c r="W271" s="9" cm="1">
        <f t="array" ref="W271">IF('01_Input_Raw_Products'!G271&lt;&gt;"",'01_Input_Raw_Products'!G271,IFERROR(_xlfn.XLOOKUP('01_Input_Raw_Products'!F271,'10_Master_Gem_Types'!A:A,'10_Master_Gem_Types'!L:L),""))</f>
        <v>0</v>
      </c>
      <c r="X271" s="9" cm="1">
        <f t="array" ref="X271">IFERROR(_xlfn.XLOOKUP('01_Input_Raw_Products'!F271,'10_Master_Gem_Types'!A:A,'10_Master_Gem_Types'!J:J),"")</f>
        <v>0</v>
      </c>
      <c r="Y271" s="9" cm="1">
        <f t="array" ref="Y271">IFERROR(_xlfn.XLOOKUP('01_Input_Raw_Products'!F271,'10_Master_Gem_Types'!A:A,'10_Master_Gem_Types'!I:I),"")</f>
        <v>0</v>
      </c>
      <c r="Z271" s="9" cm="1">
        <f t="array" ref="Z271">IFERROR(_xlfn.XLOOKUP('01_Input_Raw_Products'!L271,'13_Certification_Stickers'!A:A,'13_Certification_Stickers'!C:C),"")</f>
        <v>0</v>
      </c>
      <c r="AA271" s="9" cm="1">
        <f t="array" ref="AA271">IFERROR(_xlfn.XLOOKUP('01_Input_Raw_Products'!S271,'14_Shipping_Rules'!A:A,'14_Shipping_Rules'!B:B),"")</f>
        <v>0</v>
      </c>
      <c r="AB271" s="9" cm="1">
        <f t="array" ref="AB271">IFERROR(_xlfn.XLOOKUP('01_Input_Raw_Products'!D271,'16_Astro_Flags'!A:A,'16_Astro_Flags'!B:B),"")</f>
        <v>0</v>
      </c>
      <c r="AC271" s="9">
        <f>IF(C271="","","Catalog, Search")</f>
        <v>0</v>
      </c>
      <c r="AD271" s="9">
        <f>IF(C271="","",IF(OR(F271="",J271="",M271="",S271="",Y271=""),"Manual Review","Ready"))</f>
        <v>0</v>
      </c>
      <c r="AE271" s="9">
        <f>IF(C271="","",TEXTJOIN("; ",TRUE,IF(F271="","Missing url_key",""),IF(J271="","Missing classification",""),IF(M271="","Missing j_colour",""),IF(S271="","Missing hsn_code",""),IF(Y271="","Missing tax_class_id","")))</f>
        <v>0</v>
      </c>
    </row>
    <row r="272" spans="1:31">
      <c r="A272" s="9">
        <f>IF('01_Input_Raw_Products'!B272&lt;&gt;"",20,"")</f>
        <v>0</v>
      </c>
      <c r="B272" s="9" cm="1">
        <f t="array" ref="B272">IF('01_Input_Raw_Products'!M272&lt;&gt;"",'01_Input_Raw_Products'!M272,IFERROR(_xlfn.XLOOKUP('01_Input_Raw_Products'!F272,'10_Master_Gem_Types'!A:A,'10_Master_Gem_Types'!K:K),""))</f>
        <v>0</v>
      </c>
      <c r="C272" s="9">
        <f>'01_Input_Raw_Products'!B272</f>
        <v>0</v>
      </c>
      <c r="D272" s="9">
        <f>IF(C272="","",TEXT(I272,"0.00")&amp;" Ct "&amp;IF('01_Input_Raw_Products'!F272&lt;&gt;"",'01_Input_Raw_Products'!F272,'01_Input_Raw_Products'!D272)&amp;" "&amp;'01_Input_Raw_Products'!I272)</f>
        <v>0</v>
      </c>
      <c r="E272" s="9">
        <f>IF(C272="","",D272&amp;" | GemPundit")</f>
        <v>0</v>
      </c>
      <c r="F272" s="9" cm="1">
        <f t="array" ref="F272">IF('01_Input_Raw_Products'!X272&lt;&gt;"",'01_Input_Raw_Products'!X272,IFERROR(_xlfn.XLOOKUP('01_Input_Raw_Products'!F272,'10_Master_Gem_Types'!A:A,'10_Master_Gem_Types'!O:O),LOWER(SUBSTITUTE(IF('01_Input_Raw_Products'!F272&lt;&gt;"",'01_Input_Raw_Products'!F272,'01_Input_Raw_Products'!D272)," ","-"))))</f>
        <v>0</v>
      </c>
      <c r="G272" s="9">
        <f>'01_Input_Raw_Products'!C272</f>
        <v>0</v>
      </c>
      <c r="H272" s="9" cm="1">
        <f t="array" ref="H272">IF('01_Input_Raw_Products'!H272&lt;&gt;"",'01_Input_Raw_Products'!H272,IFERROR(_xlfn.XLOOKUP('01_Input_Raw_Products'!F272,'10_Master_Gem_Types'!A:A,'10_Master_Gem_Types'!D:D),""))</f>
        <v>0</v>
      </c>
      <c r="I272" s="7">
        <f>IF('01_Input_Raw_Products'!N272&lt;&gt;"",'01_Input_Raw_Products'!N272,IF('01_Input_Raw_Products'!O272&lt;&gt;"",'01_Input_Raw_Products'!O272*0.91,""))</f>
        <v>0</v>
      </c>
      <c r="J272" s="9" cm="1">
        <f t="array" ref="J272">IFERROR(_xlfn.XLOOKUP('01_Input_Raw_Products'!F272,'10_Master_Gem_Types'!A:A,'10_Master_Gem_Types'!N:N),"")</f>
        <v>0</v>
      </c>
      <c r="K272" s="9" cm="1">
        <f t="array" ref="K272">IF('01_Input_Raw_Products'!J272&lt;&gt;"",'01_Input_Raw_Products'!J272,IFERROR(_xlfn.XLOOKUP('01_Input_Raw_Products'!F272,'10_Master_Gem_Types'!A:A,'10_Master_Gem_Types'!E:E),""))</f>
        <v>0</v>
      </c>
      <c r="L272" s="9">
        <f>'01_Input_Raw_Products'!P272</f>
        <v>0</v>
      </c>
      <c r="M272" s="9" cm="1">
        <f t="array" ref="M272">IFERROR(_xlfn.XLOOKUP('01_Input_Raw_Products'!K272,'12_Color_Mapping'!A:A,'12_Color_Mapping'!B:B),IFERROR(_xlfn.XLOOKUP('01_Input_Raw_Products'!F272,'10_Master_Gem_Types'!A:A,'10_Master_Gem_Types'!F:F),""))</f>
        <v>0</v>
      </c>
      <c r="N272" s="9">
        <f>IF(C272="","",IF('01_Input_Raw_Products'!F272&lt;&gt;"",'01_Input_Raw_Products'!F272,'01_Input_Raw_Products'!D272))</f>
        <v>0</v>
      </c>
      <c r="O272" s="9">
        <f>IF(C272="","","Catalog Automation")</f>
        <v>0</v>
      </c>
      <c r="P272" s="9">
        <f>'01_Input_Raw_Products'!U272</f>
        <v>0</v>
      </c>
      <c r="Q272" s="7">
        <f>IF('01_Input_Raw_Products'!O272&lt;&gt;"",'01_Input_Raw_Products'!O272,IF('01_Input_Raw_Products'!N272&lt;&gt;"",'01_Input_Raw_Products'!N272*1.1,""))</f>
        <v>0</v>
      </c>
      <c r="R272" s="9">
        <f>'01_Input_Raw_Products'!S272</f>
        <v>0</v>
      </c>
      <c r="S272" s="9" cm="1">
        <f t="array" ref="S272">IFERROR(_xlfn.XLOOKUP('01_Input_Raw_Products'!F272,'10_Master_Gem_Types'!A:A,'10_Master_Gem_Types'!H:H),"")</f>
        <v>0</v>
      </c>
      <c r="T272" s="8">
        <f>'01_Input_Raw_Products'!Q272</f>
        <v>0</v>
      </c>
      <c r="U272" s="8">
        <f>'01_Input_Raw_Products'!R272</f>
        <v>0</v>
      </c>
      <c r="V272" s="7">
        <f>I272</f>
        <v>0</v>
      </c>
      <c r="W272" s="9" cm="1">
        <f t="array" ref="W272">IF('01_Input_Raw_Products'!G272&lt;&gt;"",'01_Input_Raw_Products'!G272,IFERROR(_xlfn.XLOOKUP('01_Input_Raw_Products'!F272,'10_Master_Gem_Types'!A:A,'10_Master_Gem_Types'!L:L),""))</f>
        <v>0</v>
      </c>
      <c r="X272" s="9" cm="1">
        <f t="array" ref="X272">IFERROR(_xlfn.XLOOKUP('01_Input_Raw_Products'!F272,'10_Master_Gem_Types'!A:A,'10_Master_Gem_Types'!J:J),"")</f>
        <v>0</v>
      </c>
      <c r="Y272" s="9" cm="1">
        <f t="array" ref="Y272">IFERROR(_xlfn.XLOOKUP('01_Input_Raw_Products'!F272,'10_Master_Gem_Types'!A:A,'10_Master_Gem_Types'!I:I),"")</f>
        <v>0</v>
      </c>
      <c r="Z272" s="9" cm="1">
        <f t="array" ref="Z272">IFERROR(_xlfn.XLOOKUP('01_Input_Raw_Products'!L272,'13_Certification_Stickers'!A:A,'13_Certification_Stickers'!C:C),"")</f>
        <v>0</v>
      </c>
      <c r="AA272" s="9" cm="1">
        <f t="array" ref="AA272">IFERROR(_xlfn.XLOOKUP('01_Input_Raw_Products'!S272,'14_Shipping_Rules'!A:A,'14_Shipping_Rules'!B:B),"")</f>
        <v>0</v>
      </c>
      <c r="AB272" s="9" cm="1">
        <f t="array" ref="AB272">IFERROR(_xlfn.XLOOKUP('01_Input_Raw_Products'!D272,'16_Astro_Flags'!A:A,'16_Astro_Flags'!B:B),"")</f>
        <v>0</v>
      </c>
      <c r="AC272" s="9">
        <f>IF(C272="","","Catalog, Search")</f>
        <v>0</v>
      </c>
      <c r="AD272" s="9">
        <f>IF(C272="","",IF(OR(F272="",J272="",M272="",S272="",Y272=""),"Manual Review","Ready"))</f>
        <v>0</v>
      </c>
      <c r="AE272" s="9">
        <f>IF(C272="","",TEXTJOIN("; ",TRUE,IF(F272="","Missing url_key",""),IF(J272="","Missing classification",""),IF(M272="","Missing j_colour",""),IF(S272="","Missing hsn_code",""),IF(Y272="","Missing tax_class_id","")))</f>
        <v>0</v>
      </c>
    </row>
    <row r="273" spans="1:31">
      <c r="A273" s="9">
        <f>IF('01_Input_Raw_Products'!B273&lt;&gt;"",20,"")</f>
        <v>0</v>
      </c>
      <c r="B273" s="9" cm="1">
        <f t="array" ref="B273">IF('01_Input_Raw_Products'!M273&lt;&gt;"",'01_Input_Raw_Products'!M273,IFERROR(_xlfn.XLOOKUP('01_Input_Raw_Products'!F273,'10_Master_Gem_Types'!A:A,'10_Master_Gem_Types'!K:K),""))</f>
        <v>0</v>
      </c>
      <c r="C273" s="9">
        <f>'01_Input_Raw_Products'!B273</f>
        <v>0</v>
      </c>
      <c r="D273" s="9">
        <f>IF(C273="","",TEXT(I273,"0.00")&amp;" Ct "&amp;IF('01_Input_Raw_Products'!F273&lt;&gt;"",'01_Input_Raw_Products'!F273,'01_Input_Raw_Products'!D273)&amp;" "&amp;'01_Input_Raw_Products'!I273)</f>
        <v>0</v>
      </c>
      <c r="E273" s="9">
        <f>IF(C273="","",D273&amp;" | GemPundit")</f>
        <v>0</v>
      </c>
      <c r="F273" s="9" cm="1">
        <f t="array" ref="F273">IF('01_Input_Raw_Products'!X273&lt;&gt;"",'01_Input_Raw_Products'!X273,IFERROR(_xlfn.XLOOKUP('01_Input_Raw_Products'!F273,'10_Master_Gem_Types'!A:A,'10_Master_Gem_Types'!O:O),LOWER(SUBSTITUTE(IF('01_Input_Raw_Products'!F273&lt;&gt;"",'01_Input_Raw_Products'!F273,'01_Input_Raw_Products'!D273)," ","-"))))</f>
        <v>0</v>
      </c>
      <c r="G273" s="9">
        <f>'01_Input_Raw_Products'!C273</f>
        <v>0</v>
      </c>
      <c r="H273" s="9" cm="1">
        <f t="array" ref="H273">IF('01_Input_Raw_Products'!H273&lt;&gt;"",'01_Input_Raw_Products'!H273,IFERROR(_xlfn.XLOOKUP('01_Input_Raw_Products'!F273,'10_Master_Gem_Types'!A:A,'10_Master_Gem_Types'!D:D),""))</f>
        <v>0</v>
      </c>
      <c r="I273" s="7">
        <f>IF('01_Input_Raw_Products'!N273&lt;&gt;"",'01_Input_Raw_Products'!N273,IF('01_Input_Raw_Products'!O273&lt;&gt;"",'01_Input_Raw_Products'!O273*0.91,""))</f>
        <v>0</v>
      </c>
      <c r="J273" s="9" cm="1">
        <f t="array" ref="J273">IFERROR(_xlfn.XLOOKUP('01_Input_Raw_Products'!F273,'10_Master_Gem_Types'!A:A,'10_Master_Gem_Types'!N:N),"")</f>
        <v>0</v>
      </c>
      <c r="K273" s="9" cm="1">
        <f t="array" ref="K273">IF('01_Input_Raw_Products'!J273&lt;&gt;"",'01_Input_Raw_Products'!J273,IFERROR(_xlfn.XLOOKUP('01_Input_Raw_Products'!F273,'10_Master_Gem_Types'!A:A,'10_Master_Gem_Types'!E:E),""))</f>
        <v>0</v>
      </c>
      <c r="L273" s="9">
        <f>'01_Input_Raw_Products'!P273</f>
        <v>0</v>
      </c>
      <c r="M273" s="9" cm="1">
        <f t="array" ref="M273">IFERROR(_xlfn.XLOOKUP('01_Input_Raw_Products'!K273,'12_Color_Mapping'!A:A,'12_Color_Mapping'!B:B),IFERROR(_xlfn.XLOOKUP('01_Input_Raw_Products'!F273,'10_Master_Gem_Types'!A:A,'10_Master_Gem_Types'!F:F),""))</f>
        <v>0</v>
      </c>
      <c r="N273" s="9">
        <f>IF(C273="","",IF('01_Input_Raw_Products'!F273&lt;&gt;"",'01_Input_Raw_Products'!F273,'01_Input_Raw_Products'!D273))</f>
        <v>0</v>
      </c>
      <c r="O273" s="9">
        <f>IF(C273="","","Catalog Automation")</f>
        <v>0</v>
      </c>
      <c r="P273" s="9">
        <f>'01_Input_Raw_Products'!U273</f>
        <v>0</v>
      </c>
      <c r="Q273" s="7">
        <f>IF('01_Input_Raw_Products'!O273&lt;&gt;"",'01_Input_Raw_Products'!O273,IF('01_Input_Raw_Products'!N273&lt;&gt;"",'01_Input_Raw_Products'!N273*1.1,""))</f>
        <v>0</v>
      </c>
      <c r="R273" s="9">
        <f>'01_Input_Raw_Products'!S273</f>
        <v>0</v>
      </c>
      <c r="S273" s="9" cm="1">
        <f t="array" ref="S273">IFERROR(_xlfn.XLOOKUP('01_Input_Raw_Products'!F273,'10_Master_Gem_Types'!A:A,'10_Master_Gem_Types'!H:H),"")</f>
        <v>0</v>
      </c>
      <c r="T273" s="8">
        <f>'01_Input_Raw_Products'!Q273</f>
        <v>0</v>
      </c>
      <c r="U273" s="8">
        <f>'01_Input_Raw_Products'!R273</f>
        <v>0</v>
      </c>
      <c r="V273" s="7">
        <f>I273</f>
        <v>0</v>
      </c>
      <c r="W273" s="9" cm="1">
        <f t="array" ref="W273">IF('01_Input_Raw_Products'!G273&lt;&gt;"",'01_Input_Raw_Products'!G273,IFERROR(_xlfn.XLOOKUP('01_Input_Raw_Products'!F273,'10_Master_Gem_Types'!A:A,'10_Master_Gem_Types'!L:L),""))</f>
        <v>0</v>
      </c>
      <c r="X273" s="9" cm="1">
        <f t="array" ref="X273">IFERROR(_xlfn.XLOOKUP('01_Input_Raw_Products'!F273,'10_Master_Gem_Types'!A:A,'10_Master_Gem_Types'!J:J),"")</f>
        <v>0</v>
      </c>
      <c r="Y273" s="9" cm="1">
        <f t="array" ref="Y273">IFERROR(_xlfn.XLOOKUP('01_Input_Raw_Products'!F273,'10_Master_Gem_Types'!A:A,'10_Master_Gem_Types'!I:I),"")</f>
        <v>0</v>
      </c>
      <c r="Z273" s="9" cm="1">
        <f t="array" ref="Z273">IFERROR(_xlfn.XLOOKUP('01_Input_Raw_Products'!L273,'13_Certification_Stickers'!A:A,'13_Certification_Stickers'!C:C),"")</f>
        <v>0</v>
      </c>
      <c r="AA273" s="9" cm="1">
        <f t="array" ref="AA273">IFERROR(_xlfn.XLOOKUP('01_Input_Raw_Products'!S273,'14_Shipping_Rules'!A:A,'14_Shipping_Rules'!B:B),"")</f>
        <v>0</v>
      </c>
      <c r="AB273" s="9" cm="1">
        <f t="array" ref="AB273">IFERROR(_xlfn.XLOOKUP('01_Input_Raw_Products'!D273,'16_Astro_Flags'!A:A,'16_Astro_Flags'!B:B),"")</f>
        <v>0</v>
      </c>
      <c r="AC273" s="9">
        <f>IF(C273="","","Catalog, Search")</f>
        <v>0</v>
      </c>
      <c r="AD273" s="9">
        <f>IF(C273="","",IF(OR(F273="",J273="",M273="",S273="",Y273=""),"Manual Review","Ready"))</f>
        <v>0</v>
      </c>
      <c r="AE273" s="9">
        <f>IF(C273="","",TEXTJOIN("; ",TRUE,IF(F273="","Missing url_key",""),IF(J273="","Missing classification",""),IF(M273="","Missing j_colour",""),IF(S273="","Missing hsn_code",""),IF(Y273="","Missing tax_class_id","")))</f>
        <v>0</v>
      </c>
    </row>
    <row r="274" spans="1:31">
      <c r="A274" s="9">
        <f>IF('01_Input_Raw_Products'!B274&lt;&gt;"",20,"")</f>
        <v>0</v>
      </c>
      <c r="B274" s="9" cm="1">
        <f t="array" ref="B274">IF('01_Input_Raw_Products'!M274&lt;&gt;"",'01_Input_Raw_Products'!M274,IFERROR(_xlfn.XLOOKUP('01_Input_Raw_Products'!F274,'10_Master_Gem_Types'!A:A,'10_Master_Gem_Types'!K:K),""))</f>
        <v>0</v>
      </c>
      <c r="C274" s="9">
        <f>'01_Input_Raw_Products'!B274</f>
        <v>0</v>
      </c>
      <c r="D274" s="9">
        <f>IF(C274="","",TEXT(I274,"0.00")&amp;" Ct "&amp;IF('01_Input_Raw_Products'!F274&lt;&gt;"",'01_Input_Raw_Products'!F274,'01_Input_Raw_Products'!D274)&amp;" "&amp;'01_Input_Raw_Products'!I274)</f>
        <v>0</v>
      </c>
      <c r="E274" s="9">
        <f>IF(C274="","",D274&amp;" | GemPundit")</f>
        <v>0</v>
      </c>
      <c r="F274" s="9" cm="1">
        <f t="array" ref="F274">IF('01_Input_Raw_Products'!X274&lt;&gt;"",'01_Input_Raw_Products'!X274,IFERROR(_xlfn.XLOOKUP('01_Input_Raw_Products'!F274,'10_Master_Gem_Types'!A:A,'10_Master_Gem_Types'!O:O),LOWER(SUBSTITUTE(IF('01_Input_Raw_Products'!F274&lt;&gt;"",'01_Input_Raw_Products'!F274,'01_Input_Raw_Products'!D274)," ","-"))))</f>
        <v>0</v>
      </c>
      <c r="G274" s="9">
        <f>'01_Input_Raw_Products'!C274</f>
        <v>0</v>
      </c>
      <c r="H274" s="9" cm="1">
        <f t="array" ref="H274">IF('01_Input_Raw_Products'!H274&lt;&gt;"",'01_Input_Raw_Products'!H274,IFERROR(_xlfn.XLOOKUP('01_Input_Raw_Products'!F274,'10_Master_Gem_Types'!A:A,'10_Master_Gem_Types'!D:D),""))</f>
        <v>0</v>
      </c>
      <c r="I274" s="7">
        <f>IF('01_Input_Raw_Products'!N274&lt;&gt;"",'01_Input_Raw_Products'!N274,IF('01_Input_Raw_Products'!O274&lt;&gt;"",'01_Input_Raw_Products'!O274*0.91,""))</f>
        <v>0</v>
      </c>
      <c r="J274" s="9" cm="1">
        <f t="array" ref="J274">IFERROR(_xlfn.XLOOKUP('01_Input_Raw_Products'!F274,'10_Master_Gem_Types'!A:A,'10_Master_Gem_Types'!N:N),"")</f>
        <v>0</v>
      </c>
      <c r="K274" s="9" cm="1">
        <f t="array" ref="K274">IF('01_Input_Raw_Products'!J274&lt;&gt;"",'01_Input_Raw_Products'!J274,IFERROR(_xlfn.XLOOKUP('01_Input_Raw_Products'!F274,'10_Master_Gem_Types'!A:A,'10_Master_Gem_Types'!E:E),""))</f>
        <v>0</v>
      </c>
      <c r="L274" s="9">
        <f>'01_Input_Raw_Products'!P274</f>
        <v>0</v>
      </c>
      <c r="M274" s="9" cm="1">
        <f t="array" ref="M274">IFERROR(_xlfn.XLOOKUP('01_Input_Raw_Products'!K274,'12_Color_Mapping'!A:A,'12_Color_Mapping'!B:B),IFERROR(_xlfn.XLOOKUP('01_Input_Raw_Products'!F274,'10_Master_Gem_Types'!A:A,'10_Master_Gem_Types'!F:F),""))</f>
        <v>0</v>
      </c>
      <c r="N274" s="9">
        <f>IF(C274="","",IF('01_Input_Raw_Products'!F274&lt;&gt;"",'01_Input_Raw_Products'!F274,'01_Input_Raw_Products'!D274))</f>
        <v>0</v>
      </c>
      <c r="O274" s="9">
        <f>IF(C274="","","Catalog Automation")</f>
        <v>0</v>
      </c>
      <c r="P274" s="9">
        <f>'01_Input_Raw_Products'!U274</f>
        <v>0</v>
      </c>
      <c r="Q274" s="7">
        <f>IF('01_Input_Raw_Products'!O274&lt;&gt;"",'01_Input_Raw_Products'!O274,IF('01_Input_Raw_Products'!N274&lt;&gt;"",'01_Input_Raw_Products'!N274*1.1,""))</f>
        <v>0</v>
      </c>
      <c r="R274" s="9">
        <f>'01_Input_Raw_Products'!S274</f>
        <v>0</v>
      </c>
      <c r="S274" s="9" cm="1">
        <f t="array" ref="S274">IFERROR(_xlfn.XLOOKUP('01_Input_Raw_Products'!F274,'10_Master_Gem_Types'!A:A,'10_Master_Gem_Types'!H:H),"")</f>
        <v>0</v>
      </c>
      <c r="T274" s="8">
        <f>'01_Input_Raw_Products'!Q274</f>
        <v>0</v>
      </c>
      <c r="U274" s="8">
        <f>'01_Input_Raw_Products'!R274</f>
        <v>0</v>
      </c>
      <c r="V274" s="7">
        <f>I274</f>
        <v>0</v>
      </c>
      <c r="W274" s="9" cm="1">
        <f t="array" ref="W274">IF('01_Input_Raw_Products'!G274&lt;&gt;"",'01_Input_Raw_Products'!G274,IFERROR(_xlfn.XLOOKUP('01_Input_Raw_Products'!F274,'10_Master_Gem_Types'!A:A,'10_Master_Gem_Types'!L:L),""))</f>
        <v>0</v>
      </c>
      <c r="X274" s="9" cm="1">
        <f t="array" ref="X274">IFERROR(_xlfn.XLOOKUP('01_Input_Raw_Products'!F274,'10_Master_Gem_Types'!A:A,'10_Master_Gem_Types'!J:J),"")</f>
        <v>0</v>
      </c>
      <c r="Y274" s="9" cm="1">
        <f t="array" ref="Y274">IFERROR(_xlfn.XLOOKUP('01_Input_Raw_Products'!F274,'10_Master_Gem_Types'!A:A,'10_Master_Gem_Types'!I:I),"")</f>
        <v>0</v>
      </c>
      <c r="Z274" s="9" cm="1">
        <f t="array" ref="Z274">IFERROR(_xlfn.XLOOKUP('01_Input_Raw_Products'!L274,'13_Certification_Stickers'!A:A,'13_Certification_Stickers'!C:C),"")</f>
        <v>0</v>
      </c>
      <c r="AA274" s="9" cm="1">
        <f t="array" ref="AA274">IFERROR(_xlfn.XLOOKUP('01_Input_Raw_Products'!S274,'14_Shipping_Rules'!A:A,'14_Shipping_Rules'!B:B),"")</f>
        <v>0</v>
      </c>
      <c r="AB274" s="9" cm="1">
        <f t="array" ref="AB274">IFERROR(_xlfn.XLOOKUP('01_Input_Raw_Products'!D274,'16_Astro_Flags'!A:A,'16_Astro_Flags'!B:B),"")</f>
        <v>0</v>
      </c>
      <c r="AC274" s="9">
        <f>IF(C274="","","Catalog, Search")</f>
        <v>0</v>
      </c>
      <c r="AD274" s="9">
        <f>IF(C274="","",IF(OR(F274="",J274="",M274="",S274="",Y274=""),"Manual Review","Ready"))</f>
        <v>0</v>
      </c>
      <c r="AE274" s="9">
        <f>IF(C274="","",TEXTJOIN("; ",TRUE,IF(F274="","Missing url_key",""),IF(J274="","Missing classification",""),IF(M274="","Missing j_colour",""),IF(S274="","Missing hsn_code",""),IF(Y274="","Missing tax_class_id","")))</f>
        <v>0</v>
      </c>
    </row>
    <row r="275" spans="1:31">
      <c r="A275" s="9">
        <f>IF('01_Input_Raw_Products'!B275&lt;&gt;"",20,"")</f>
        <v>0</v>
      </c>
      <c r="B275" s="9" cm="1">
        <f t="array" ref="B275">IF('01_Input_Raw_Products'!M275&lt;&gt;"",'01_Input_Raw_Products'!M275,IFERROR(_xlfn.XLOOKUP('01_Input_Raw_Products'!F275,'10_Master_Gem_Types'!A:A,'10_Master_Gem_Types'!K:K),""))</f>
        <v>0</v>
      </c>
      <c r="C275" s="9">
        <f>'01_Input_Raw_Products'!B275</f>
        <v>0</v>
      </c>
      <c r="D275" s="9">
        <f>IF(C275="","",TEXT(I275,"0.00")&amp;" Ct "&amp;IF('01_Input_Raw_Products'!F275&lt;&gt;"",'01_Input_Raw_Products'!F275,'01_Input_Raw_Products'!D275)&amp;" "&amp;'01_Input_Raw_Products'!I275)</f>
        <v>0</v>
      </c>
      <c r="E275" s="9">
        <f>IF(C275="","",D275&amp;" | GemPundit")</f>
        <v>0</v>
      </c>
      <c r="F275" s="9" cm="1">
        <f t="array" ref="F275">IF('01_Input_Raw_Products'!X275&lt;&gt;"",'01_Input_Raw_Products'!X275,IFERROR(_xlfn.XLOOKUP('01_Input_Raw_Products'!F275,'10_Master_Gem_Types'!A:A,'10_Master_Gem_Types'!O:O),LOWER(SUBSTITUTE(IF('01_Input_Raw_Products'!F275&lt;&gt;"",'01_Input_Raw_Products'!F275,'01_Input_Raw_Products'!D275)," ","-"))))</f>
        <v>0</v>
      </c>
      <c r="G275" s="9">
        <f>'01_Input_Raw_Products'!C275</f>
        <v>0</v>
      </c>
      <c r="H275" s="9" cm="1">
        <f t="array" ref="H275">IF('01_Input_Raw_Products'!H275&lt;&gt;"",'01_Input_Raw_Products'!H275,IFERROR(_xlfn.XLOOKUP('01_Input_Raw_Products'!F275,'10_Master_Gem_Types'!A:A,'10_Master_Gem_Types'!D:D),""))</f>
        <v>0</v>
      </c>
      <c r="I275" s="7">
        <f>IF('01_Input_Raw_Products'!N275&lt;&gt;"",'01_Input_Raw_Products'!N275,IF('01_Input_Raw_Products'!O275&lt;&gt;"",'01_Input_Raw_Products'!O275*0.91,""))</f>
        <v>0</v>
      </c>
      <c r="J275" s="9" cm="1">
        <f t="array" ref="J275">IFERROR(_xlfn.XLOOKUP('01_Input_Raw_Products'!F275,'10_Master_Gem_Types'!A:A,'10_Master_Gem_Types'!N:N),"")</f>
        <v>0</v>
      </c>
      <c r="K275" s="9" cm="1">
        <f t="array" ref="K275">IF('01_Input_Raw_Products'!J275&lt;&gt;"",'01_Input_Raw_Products'!J275,IFERROR(_xlfn.XLOOKUP('01_Input_Raw_Products'!F275,'10_Master_Gem_Types'!A:A,'10_Master_Gem_Types'!E:E),""))</f>
        <v>0</v>
      </c>
      <c r="L275" s="9">
        <f>'01_Input_Raw_Products'!P275</f>
        <v>0</v>
      </c>
      <c r="M275" s="9" cm="1">
        <f t="array" ref="M275">IFERROR(_xlfn.XLOOKUP('01_Input_Raw_Products'!K275,'12_Color_Mapping'!A:A,'12_Color_Mapping'!B:B),IFERROR(_xlfn.XLOOKUP('01_Input_Raw_Products'!F275,'10_Master_Gem_Types'!A:A,'10_Master_Gem_Types'!F:F),""))</f>
        <v>0</v>
      </c>
      <c r="N275" s="9">
        <f>IF(C275="","",IF('01_Input_Raw_Products'!F275&lt;&gt;"",'01_Input_Raw_Products'!F275,'01_Input_Raw_Products'!D275))</f>
        <v>0</v>
      </c>
      <c r="O275" s="9">
        <f>IF(C275="","","Catalog Automation")</f>
        <v>0</v>
      </c>
      <c r="P275" s="9">
        <f>'01_Input_Raw_Products'!U275</f>
        <v>0</v>
      </c>
      <c r="Q275" s="7">
        <f>IF('01_Input_Raw_Products'!O275&lt;&gt;"",'01_Input_Raw_Products'!O275,IF('01_Input_Raw_Products'!N275&lt;&gt;"",'01_Input_Raw_Products'!N275*1.1,""))</f>
        <v>0</v>
      </c>
      <c r="R275" s="9">
        <f>'01_Input_Raw_Products'!S275</f>
        <v>0</v>
      </c>
      <c r="S275" s="9" cm="1">
        <f t="array" ref="S275">IFERROR(_xlfn.XLOOKUP('01_Input_Raw_Products'!F275,'10_Master_Gem_Types'!A:A,'10_Master_Gem_Types'!H:H),"")</f>
        <v>0</v>
      </c>
      <c r="T275" s="8">
        <f>'01_Input_Raw_Products'!Q275</f>
        <v>0</v>
      </c>
      <c r="U275" s="8">
        <f>'01_Input_Raw_Products'!R275</f>
        <v>0</v>
      </c>
      <c r="V275" s="7">
        <f>I275</f>
        <v>0</v>
      </c>
      <c r="W275" s="9" cm="1">
        <f t="array" ref="W275">IF('01_Input_Raw_Products'!G275&lt;&gt;"",'01_Input_Raw_Products'!G275,IFERROR(_xlfn.XLOOKUP('01_Input_Raw_Products'!F275,'10_Master_Gem_Types'!A:A,'10_Master_Gem_Types'!L:L),""))</f>
        <v>0</v>
      </c>
      <c r="X275" s="9" cm="1">
        <f t="array" ref="X275">IFERROR(_xlfn.XLOOKUP('01_Input_Raw_Products'!F275,'10_Master_Gem_Types'!A:A,'10_Master_Gem_Types'!J:J),"")</f>
        <v>0</v>
      </c>
      <c r="Y275" s="9" cm="1">
        <f t="array" ref="Y275">IFERROR(_xlfn.XLOOKUP('01_Input_Raw_Products'!F275,'10_Master_Gem_Types'!A:A,'10_Master_Gem_Types'!I:I),"")</f>
        <v>0</v>
      </c>
      <c r="Z275" s="9" cm="1">
        <f t="array" ref="Z275">IFERROR(_xlfn.XLOOKUP('01_Input_Raw_Products'!L275,'13_Certification_Stickers'!A:A,'13_Certification_Stickers'!C:C),"")</f>
        <v>0</v>
      </c>
      <c r="AA275" s="9" cm="1">
        <f t="array" ref="AA275">IFERROR(_xlfn.XLOOKUP('01_Input_Raw_Products'!S275,'14_Shipping_Rules'!A:A,'14_Shipping_Rules'!B:B),"")</f>
        <v>0</v>
      </c>
      <c r="AB275" s="9" cm="1">
        <f t="array" ref="AB275">IFERROR(_xlfn.XLOOKUP('01_Input_Raw_Products'!D275,'16_Astro_Flags'!A:A,'16_Astro_Flags'!B:B),"")</f>
        <v>0</v>
      </c>
      <c r="AC275" s="9">
        <f>IF(C275="","","Catalog, Search")</f>
        <v>0</v>
      </c>
      <c r="AD275" s="9">
        <f>IF(C275="","",IF(OR(F275="",J275="",M275="",S275="",Y275=""),"Manual Review","Ready"))</f>
        <v>0</v>
      </c>
      <c r="AE275" s="9">
        <f>IF(C275="","",TEXTJOIN("; ",TRUE,IF(F275="","Missing url_key",""),IF(J275="","Missing classification",""),IF(M275="","Missing j_colour",""),IF(S275="","Missing hsn_code",""),IF(Y275="","Missing tax_class_id","")))</f>
        <v>0</v>
      </c>
    </row>
    <row r="276" spans="1:31">
      <c r="A276" s="9">
        <f>IF('01_Input_Raw_Products'!B276&lt;&gt;"",20,"")</f>
        <v>0</v>
      </c>
      <c r="B276" s="9" cm="1">
        <f t="array" ref="B276">IF('01_Input_Raw_Products'!M276&lt;&gt;"",'01_Input_Raw_Products'!M276,IFERROR(_xlfn.XLOOKUP('01_Input_Raw_Products'!F276,'10_Master_Gem_Types'!A:A,'10_Master_Gem_Types'!K:K),""))</f>
        <v>0</v>
      </c>
      <c r="C276" s="9">
        <f>'01_Input_Raw_Products'!B276</f>
        <v>0</v>
      </c>
      <c r="D276" s="9">
        <f>IF(C276="","",TEXT(I276,"0.00")&amp;" Ct "&amp;IF('01_Input_Raw_Products'!F276&lt;&gt;"",'01_Input_Raw_Products'!F276,'01_Input_Raw_Products'!D276)&amp;" "&amp;'01_Input_Raw_Products'!I276)</f>
        <v>0</v>
      </c>
      <c r="E276" s="9">
        <f>IF(C276="","",D276&amp;" | GemPundit")</f>
        <v>0</v>
      </c>
      <c r="F276" s="9" cm="1">
        <f t="array" ref="F276">IF('01_Input_Raw_Products'!X276&lt;&gt;"",'01_Input_Raw_Products'!X276,IFERROR(_xlfn.XLOOKUP('01_Input_Raw_Products'!F276,'10_Master_Gem_Types'!A:A,'10_Master_Gem_Types'!O:O),LOWER(SUBSTITUTE(IF('01_Input_Raw_Products'!F276&lt;&gt;"",'01_Input_Raw_Products'!F276,'01_Input_Raw_Products'!D276)," ","-"))))</f>
        <v>0</v>
      </c>
      <c r="G276" s="9">
        <f>'01_Input_Raw_Products'!C276</f>
        <v>0</v>
      </c>
      <c r="H276" s="9" cm="1">
        <f t="array" ref="H276">IF('01_Input_Raw_Products'!H276&lt;&gt;"",'01_Input_Raw_Products'!H276,IFERROR(_xlfn.XLOOKUP('01_Input_Raw_Products'!F276,'10_Master_Gem_Types'!A:A,'10_Master_Gem_Types'!D:D),""))</f>
        <v>0</v>
      </c>
      <c r="I276" s="7">
        <f>IF('01_Input_Raw_Products'!N276&lt;&gt;"",'01_Input_Raw_Products'!N276,IF('01_Input_Raw_Products'!O276&lt;&gt;"",'01_Input_Raw_Products'!O276*0.91,""))</f>
        <v>0</v>
      </c>
      <c r="J276" s="9" cm="1">
        <f t="array" ref="J276">IFERROR(_xlfn.XLOOKUP('01_Input_Raw_Products'!F276,'10_Master_Gem_Types'!A:A,'10_Master_Gem_Types'!N:N),"")</f>
        <v>0</v>
      </c>
      <c r="K276" s="9" cm="1">
        <f t="array" ref="K276">IF('01_Input_Raw_Products'!J276&lt;&gt;"",'01_Input_Raw_Products'!J276,IFERROR(_xlfn.XLOOKUP('01_Input_Raw_Products'!F276,'10_Master_Gem_Types'!A:A,'10_Master_Gem_Types'!E:E),""))</f>
        <v>0</v>
      </c>
      <c r="L276" s="9">
        <f>'01_Input_Raw_Products'!P276</f>
        <v>0</v>
      </c>
      <c r="M276" s="9" cm="1">
        <f t="array" ref="M276">IFERROR(_xlfn.XLOOKUP('01_Input_Raw_Products'!K276,'12_Color_Mapping'!A:A,'12_Color_Mapping'!B:B),IFERROR(_xlfn.XLOOKUP('01_Input_Raw_Products'!F276,'10_Master_Gem_Types'!A:A,'10_Master_Gem_Types'!F:F),""))</f>
        <v>0</v>
      </c>
      <c r="N276" s="9">
        <f>IF(C276="","",IF('01_Input_Raw_Products'!F276&lt;&gt;"",'01_Input_Raw_Products'!F276,'01_Input_Raw_Products'!D276))</f>
        <v>0</v>
      </c>
      <c r="O276" s="9">
        <f>IF(C276="","","Catalog Automation")</f>
        <v>0</v>
      </c>
      <c r="P276" s="9">
        <f>'01_Input_Raw_Products'!U276</f>
        <v>0</v>
      </c>
      <c r="Q276" s="7">
        <f>IF('01_Input_Raw_Products'!O276&lt;&gt;"",'01_Input_Raw_Products'!O276,IF('01_Input_Raw_Products'!N276&lt;&gt;"",'01_Input_Raw_Products'!N276*1.1,""))</f>
        <v>0</v>
      </c>
      <c r="R276" s="9">
        <f>'01_Input_Raw_Products'!S276</f>
        <v>0</v>
      </c>
      <c r="S276" s="9" cm="1">
        <f t="array" ref="S276">IFERROR(_xlfn.XLOOKUP('01_Input_Raw_Products'!F276,'10_Master_Gem_Types'!A:A,'10_Master_Gem_Types'!H:H),"")</f>
        <v>0</v>
      </c>
      <c r="T276" s="8">
        <f>'01_Input_Raw_Products'!Q276</f>
        <v>0</v>
      </c>
      <c r="U276" s="8">
        <f>'01_Input_Raw_Products'!R276</f>
        <v>0</v>
      </c>
      <c r="V276" s="7">
        <f>I276</f>
        <v>0</v>
      </c>
      <c r="W276" s="9" cm="1">
        <f t="array" ref="W276">IF('01_Input_Raw_Products'!G276&lt;&gt;"",'01_Input_Raw_Products'!G276,IFERROR(_xlfn.XLOOKUP('01_Input_Raw_Products'!F276,'10_Master_Gem_Types'!A:A,'10_Master_Gem_Types'!L:L),""))</f>
        <v>0</v>
      </c>
      <c r="X276" s="9" cm="1">
        <f t="array" ref="X276">IFERROR(_xlfn.XLOOKUP('01_Input_Raw_Products'!F276,'10_Master_Gem_Types'!A:A,'10_Master_Gem_Types'!J:J),"")</f>
        <v>0</v>
      </c>
      <c r="Y276" s="9" cm="1">
        <f t="array" ref="Y276">IFERROR(_xlfn.XLOOKUP('01_Input_Raw_Products'!F276,'10_Master_Gem_Types'!A:A,'10_Master_Gem_Types'!I:I),"")</f>
        <v>0</v>
      </c>
      <c r="Z276" s="9" cm="1">
        <f t="array" ref="Z276">IFERROR(_xlfn.XLOOKUP('01_Input_Raw_Products'!L276,'13_Certification_Stickers'!A:A,'13_Certification_Stickers'!C:C),"")</f>
        <v>0</v>
      </c>
      <c r="AA276" s="9" cm="1">
        <f t="array" ref="AA276">IFERROR(_xlfn.XLOOKUP('01_Input_Raw_Products'!S276,'14_Shipping_Rules'!A:A,'14_Shipping_Rules'!B:B),"")</f>
        <v>0</v>
      </c>
      <c r="AB276" s="9" cm="1">
        <f t="array" ref="AB276">IFERROR(_xlfn.XLOOKUP('01_Input_Raw_Products'!D276,'16_Astro_Flags'!A:A,'16_Astro_Flags'!B:B),"")</f>
        <v>0</v>
      </c>
      <c r="AC276" s="9">
        <f>IF(C276="","","Catalog, Search")</f>
        <v>0</v>
      </c>
      <c r="AD276" s="9">
        <f>IF(C276="","",IF(OR(F276="",J276="",M276="",S276="",Y276=""),"Manual Review","Ready"))</f>
        <v>0</v>
      </c>
      <c r="AE276" s="9">
        <f>IF(C276="","",TEXTJOIN("; ",TRUE,IF(F276="","Missing url_key",""),IF(J276="","Missing classification",""),IF(M276="","Missing j_colour",""),IF(S276="","Missing hsn_code",""),IF(Y276="","Missing tax_class_id","")))</f>
        <v>0</v>
      </c>
    </row>
    <row r="277" spans="1:31">
      <c r="A277" s="9">
        <f>IF('01_Input_Raw_Products'!B277&lt;&gt;"",20,"")</f>
        <v>0</v>
      </c>
      <c r="B277" s="9" cm="1">
        <f t="array" ref="B277">IF('01_Input_Raw_Products'!M277&lt;&gt;"",'01_Input_Raw_Products'!M277,IFERROR(_xlfn.XLOOKUP('01_Input_Raw_Products'!F277,'10_Master_Gem_Types'!A:A,'10_Master_Gem_Types'!K:K),""))</f>
        <v>0</v>
      </c>
      <c r="C277" s="9">
        <f>'01_Input_Raw_Products'!B277</f>
        <v>0</v>
      </c>
      <c r="D277" s="9">
        <f>IF(C277="","",TEXT(I277,"0.00")&amp;" Ct "&amp;IF('01_Input_Raw_Products'!F277&lt;&gt;"",'01_Input_Raw_Products'!F277,'01_Input_Raw_Products'!D277)&amp;" "&amp;'01_Input_Raw_Products'!I277)</f>
        <v>0</v>
      </c>
      <c r="E277" s="9">
        <f>IF(C277="","",D277&amp;" | GemPundit")</f>
        <v>0</v>
      </c>
      <c r="F277" s="9" cm="1">
        <f t="array" ref="F277">IF('01_Input_Raw_Products'!X277&lt;&gt;"",'01_Input_Raw_Products'!X277,IFERROR(_xlfn.XLOOKUP('01_Input_Raw_Products'!F277,'10_Master_Gem_Types'!A:A,'10_Master_Gem_Types'!O:O),LOWER(SUBSTITUTE(IF('01_Input_Raw_Products'!F277&lt;&gt;"",'01_Input_Raw_Products'!F277,'01_Input_Raw_Products'!D277)," ","-"))))</f>
        <v>0</v>
      </c>
      <c r="G277" s="9">
        <f>'01_Input_Raw_Products'!C277</f>
        <v>0</v>
      </c>
      <c r="H277" s="9" cm="1">
        <f t="array" ref="H277">IF('01_Input_Raw_Products'!H277&lt;&gt;"",'01_Input_Raw_Products'!H277,IFERROR(_xlfn.XLOOKUP('01_Input_Raw_Products'!F277,'10_Master_Gem_Types'!A:A,'10_Master_Gem_Types'!D:D),""))</f>
        <v>0</v>
      </c>
      <c r="I277" s="7">
        <f>IF('01_Input_Raw_Products'!N277&lt;&gt;"",'01_Input_Raw_Products'!N277,IF('01_Input_Raw_Products'!O277&lt;&gt;"",'01_Input_Raw_Products'!O277*0.91,""))</f>
        <v>0</v>
      </c>
      <c r="J277" s="9" cm="1">
        <f t="array" ref="J277">IFERROR(_xlfn.XLOOKUP('01_Input_Raw_Products'!F277,'10_Master_Gem_Types'!A:A,'10_Master_Gem_Types'!N:N),"")</f>
        <v>0</v>
      </c>
      <c r="K277" s="9" cm="1">
        <f t="array" ref="K277">IF('01_Input_Raw_Products'!J277&lt;&gt;"",'01_Input_Raw_Products'!J277,IFERROR(_xlfn.XLOOKUP('01_Input_Raw_Products'!F277,'10_Master_Gem_Types'!A:A,'10_Master_Gem_Types'!E:E),""))</f>
        <v>0</v>
      </c>
      <c r="L277" s="9">
        <f>'01_Input_Raw_Products'!P277</f>
        <v>0</v>
      </c>
      <c r="M277" s="9" cm="1">
        <f t="array" ref="M277">IFERROR(_xlfn.XLOOKUP('01_Input_Raw_Products'!K277,'12_Color_Mapping'!A:A,'12_Color_Mapping'!B:B),IFERROR(_xlfn.XLOOKUP('01_Input_Raw_Products'!F277,'10_Master_Gem_Types'!A:A,'10_Master_Gem_Types'!F:F),""))</f>
        <v>0</v>
      </c>
      <c r="N277" s="9">
        <f>IF(C277="","",IF('01_Input_Raw_Products'!F277&lt;&gt;"",'01_Input_Raw_Products'!F277,'01_Input_Raw_Products'!D277))</f>
        <v>0</v>
      </c>
      <c r="O277" s="9">
        <f>IF(C277="","","Catalog Automation")</f>
        <v>0</v>
      </c>
      <c r="P277" s="9">
        <f>'01_Input_Raw_Products'!U277</f>
        <v>0</v>
      </c>
      <c r="Q277" s="7">
        <f>IF('01_Input_Raw_Products'!O277&lt;&gt;"",'01_Input_Raw_Products'!O277,IF('01_Input_Raw_Products'!N277&lt;&gt;"",'01_Input_Raw_Products'!N277*1.1,""))</f>
        <v>0</v>
      </c>
      <c r="R277" s="9">
        <f>'01_Input_Raw_Products'!S277</f>
        <v>0</v>
      </c>
      <c r="S277" s="9" cm="1">
        <f t="array" ref="S277">IFERROR(_xlfn.XLOOKUP('01_Input_Raw_Products'!F277,'10_Master_Gem_Types'!A:A,'10_Master_Gem_Types'!H:H),"")</f>
        <v>0</v>
      </c>
      <c r="T277" s="8">
        <f>'01_Input_Raw_Products'!Q277</f>
        <v>0</v>
      </c>
      <c r="U277" s="8">
        <f>'01_Input_Raw_Products'!R277</f>
        <v>0</v>
      </c>
      <c r="V277" s="7">
        <f>I277</f>
        <v>0</v>
      </c>
      <c r="W277" s="9" cm="1">
        <f t="array" ref="W277">IF('01_Input_Raw_Products'!G277&lt;&gt;"",'01_Input_Raw_Products'!G277,IFERROR(_xlfn.XLOOKUP('01_Input_Raw_Products'!F277,'10_Master_Gem_Types'!A:A,'10_Master_Gem_Types'!L:L),""))</f>
        <v>0</v>
      </c>
      <c r="X277" s="9" cm="1">
        <f t="array" ref="X277">IFERROR(_xlfn.XLOOKUP('01_Input_Raw_Products'!F277,'10_Master_Gem_Types'!A:A,'10_Master_Gem_Types'!J:J),"")</f>
        <v>0</v>
      </c>
      <c r="Y277" s="9" cm="1">
        <f t="array" ref="Y277">IFERROR(_xlfn.XLOOKUP('01_Input_Raw_Products'!F277,'10_Master_Gem_Types'!A:A,'10_Master_Gem_Types'!I:I),"")</f>
        <v>0</v>
      </c>
      <c r="Z277" s="9" cm="1">
        <f t="array" ref="Z277">IFERROR(_xlfn.XLOOKUP('01_Input_Raw_Products'!L277,'13_Certification_Stickers'!A:A,'13_Certification_Stickers'!C:C),"")</f>
        <v>0</v>
      </c>
      <c r="AA277" s="9" cm="1">
        <f t="array" ref="AA277">IFERROR(_xlfn.XLOOKUP('01_Input_Raw_Products'!S277,'14_Shipping_Rules'!A:A,'14_Shipping_Rules'!B:B),"")</f>
        <v>0</v>
      </c>
      <c r="AB277" s="9" cm="1">
        <f t="array" ref="AB277">IFERROR(_xlfn.XLOOKUP('01_Input_Raw_Products'!D277,'16_Astro_Flags'!A:A,'16_Astro_Flags'!B:B),"")</f>
        <v>0</v>
      </c>
      <c r="AC277" s="9">
        <f>IF(C277="","","Catalog, Search")</f>
        <v>0</v>
      </c>
      <c r="AD277" s="9">
        <f>IF(C277="","",IF(OR(F277="",J277="",M277="",S277="",Y277=""),"Manual Review","Ready"))</f>
        <v>0</v>
      </c>
      <c r="AE277" s="9">
        <f>IF(C277="","",TEXTJOIN("; ",TRUE,IF(F277="","Missing url_key",""),IF(J277="","Missing classification",""),IF(M277="","Missing j_colour",""),IF(S277="","Missing hsn_code",""),IF(Y277="","Missing tax_class_id","")))</f>
        <v>0</v>
      </c>
    </row>
    <row r="278" spans="1:31">
      <c r="A278" s="9">
        <f>IF('01_Input_Raw_Products'!B278&lt;&gt;"",20,"")</f>
        <v>0</v>
      </c>
      <c r="B278" s="9" cm="1">
        <f t="array" ref="B278">IF('01_Input_Raw_Products'!M278&lt;&gt;"",'01_Input_Raw_Products'!M278,IFERROR(_xlfn.XLOOKUP('01_Input_Raw_Products'!F278,'10_Master_Gem_Types'!A:A,'10_Master_Gem_Types'!K:K),""))</f>
        <v>0</v>
      </c>
      <c r="C278" s="9">
        <f>'01_Input_Raw_Products'!B278</f>
        <v>0</v>
      </c>
      <c r="D278" s="9">
        <f>IF(C278="","",TEXT(I278,"0.00")&amp;" Ct "&amp;IF('01_Input_Raw_Products'!F278&lt;&gt;"",'01_Input_Raw_Products'!F278,'01_Input_Raw_Products'!D278)&amp;" "&amp;'01_Input_Raw_Products'!I278)</f>
        <v>0</v>
      </c>
      <c r="E278" s="9">
        <f>IF(C278="","",D278&amp;" | GemPundit")</f>
        <v>0</v>
      </c>
      <c r="F278" s="9" cm="1">
        <f t="array" ref="F278">IF('01_Input_Raw_Products'!X278&lt;&gt;"",'01_Input_Raw_Products'!X278,IFERROR(_xlfn.XLOOKUP('01_Input_Raw_Products'!F278,'10_Master_Gem_Types'!A:A,'10_Master_Gem_Types'!O:O),LOWER(SUBSTITUTE(IF('01_Input_Raw_Products'!F278&lt;&gt;"",'01_Input_Raw_Products'!F278,'01_Input_Raw_Products'!D278)," ","-"))))</f>
        <v>0</v>
      </c>
      <c r="G278" s="9">
        <f>'01_Input_Raw_Products'!C278</f>
        <v>0</v>
      </c>
      <c r="H278" s="9" cm="1">
        <f t="array" ref="H278">IF('01_Input_Raw_Products'!H278&lt;&gt;"",'01_Input_Raw_Products'!H278,IFERROR(_xlfn.XLOOKUP('01_Input_Raw_Products'!F278,'10_Master_Gem_Types'!A:A,'10_Master_Gem_Types'!D:D),""))</f>
        <v>0</v>
      </c>
      <c r="I278" s="7">
        <f>IF('01_Input_Raw_Products'!N278&lt;&gt;"",'01_Input_Raw_Products'!N278,IF('01_Input_Raw_Products'!O278&lt;&gt;"",'01_Input_Raw_Products'!O278*0.91,""))</f>
        <v>0</v>
      </c>
      <c r="J278" s="9" cm="1">
        <f t="array" ref="J278">IFERROR(_xlfn.XLOOKUP('01_Input_Raw_Products'!F278,'10_Master_Gem_Types'!A:A,'10_Master_Gem_Types'!N:N),"")</f>
        <v>0</v>
      </c>
      <c r="K278" s="9" cm="1">
        <f t="array" ref="K278">IF('01_Input_Raw_Products'!J278&lt;&gt;"",'01_Input_Raw_Products'!J278,IFERROR(_xlfn.XLOOKUP('01_Input_Raw_Products'!F278,'10_Master_Gem_Types'!A:A,'10_Master_Gem_Types'!E:E),""))</f>
        <v>0</v>
      </c>
      <c r="L278" s="9">
        <f>'01_Input_Raw_Products'!P278</f>
        <v>0</v>
      </c>
      <c r="M278" s="9" cm="1">
        <f t="array" ref="M278">IFERROR(_xlfn.XLOOKUP('01_Input_Raw_Products'!K278,'12_Color_Mapping'!A:A,'12_Color_Mapping'!B:B),IFERROR(_xlfn.XLOOKUP('01_Input_Raw_Products'!F278,'10_Master_Gem_Types'!A:A,'10_Master_Gem_Types'!F:F),""))</f>
        <v>0</v>
      </c>
      <c r="N278" s="9">
        <f>IF(C278="","",IF('01_Input_Raw_Products'!F278&lt;&gt;"",'01_Input_Raw_Products'!F278,'01_Input_Raw_Products'!D278))</f>
        <v>0</v>
      </c>
      <c r="O278" s="9">
        <f>IF(C278="","","Catalog Automation")</f>
        <v>0</v>
      </c>
      <c r="P278" s="9">
        <f>'01_Input_Raw_Products'!U278</f>
        <v>0</v>
      </c>
      <c r="Q278" s="7">
        <f>IF('01_Input_Raw_Products'!O278&lt;&gt;"",'01_Input_Raw_Products'!O278,IF('01_Input_Raw_Products'!N278&lt;&gt;"",'01_Input_Raw_Products'!N278*1.1,""))</f>
        <v>0</v>
      </c>
      <c r="R278" s="9">
        <f>'01_Input_Raw_Products'!S278</f>
        <v>0</v>
      </c>
      <c r="S278" s="9" cm="1">
        <f t="array" ref="S278">IFERROR(_xlfn.XLOOKUP('01_Input_Raw_Products'!F278,'10_Master_Gem_Types'!A:A,'10_Master_Gem_Types'!H:H),"")</f>
        <v>0</v>
      </c>
      <c r="T278" s="8">
        <f>'01_Input_Raw_Products'!Q278</f>
        <v>0</v>
      </c>
      <c r="U278" s="8">
        <f>'01_Input_Raw_Products'!R278</f>
        <v>0</v>
      </c>
      <c r="V278" s="7">
        <f>I278</f>
        <v>0</v>
      </c>
      <c r="W278" s="9" cm="1">
        <f t="array" ref="W278">IF('01_Input_Raw_Products'!G278&lt;&gt;"",'01_Input_Raw_Products'!G278,IFERROR(_xlfn.XLOOKUP('01_Input_Raw_Products'!F278,'10_Master_Gem_Types'!A:A,'10_Master_Gem_Types'!L:L),""))</f>
        <v>0</v>
      </c>
      <c r="X278" s="9" cm="1">
        <f t="array" ref="X278">IFERROR(_xlfn.XLOOKUP('01_Input_Raw_Products'!F278,'10_Master_Gem_Types'!A:A,'10_Master_Gem_Types'!J:J),"")</f>
        <v>0</v>
      </c>
      <c r="Y278" s="9" cm="1">
        <f t="array" ref="Y278">IFERROR(_xlfn.XLOOKUP('01_Input_Raw_Products'!F278,'10_Master_Gem_Types'!A:A,'10_Master_Gem_Types'!I:I),"")</f>
        <v>0</v>
      </c>
      <c r="Z278" s="9" cm="1">
        <f t="array" ref="Z278">IFERROR(_xlfn.XLOOKUP('01_Input_Raw_Products'!L278,'13_Certification_Stickers'!A:A,'13_Certification_Stickers'!C:C),"")</f>
        <v>0</v>
      </c>
      <c r="AA278" s="9" cm="1">
        <f t="array" ref="AA278">IFERROR(_xlfn.XLOOKUP('01_Input_Raw_Products'!S278,'14_Shipping_Rules'!A:A,'14_Shipping_Rules'!B:B),"")</f>
        <v>0</v>
      </c>
      <c r="AB278" s="9" cm="1">
        <f t="array" ref="AB278">IFERROR(_xlfn.XLOOKUP('01_Input_Raw_Products'!D278,'16_Astro_Flags'!A:A,'16_Astro_Flags'!B:B),"")</f>
        <v>0</v>
      </c>
      <c r="AC278" s="9">
        <f>IF(C278="","","Catalog, Search")</f>
        <v>0</v>
      </c>
      <c r="AD278" s="9">
        <f>IF(C278="","",IF(OR(F278="",J278="",M278="",S278="",Y278=""),"Manual Review","Ready"))</f>
        <v>0</v>
      </c>
      <c r="AE278" s="9">
        <f>IF(C278="","",TEXTJOIN("; ",TRUE,IF(F278="","Missing url_key",""),IF(J278="","Missing classification",""),IF(M278="","Missing j_colour",""),IF(S278="","Missing hsn_code",""),IF(Y278="","Missing tax_class_id","")))</f>
        <v>0</v>
      </c>
    </row>
    <row r="279" spans="1:31">
      <c r="A279" s="9">
        <f>IF('01_Input_Raw_Products'!B279&lt;&gt;"",20,"")</f>
        <v>0</v>
      </c>
      <c r="B279" s="9" cm="1">
        <f t="array" ref="B279">IF('01_Input_Raw_Products'!M279&lt;&gt;"",'01_Input_Raw_Products'!M279,IFERROR(_xlfn.XLOOKUP('01_Input_Raw_Products'!F279,'10_Master_Gem_Types'!A:A,'10_Master_Gem_Types'!K:K),""))</f>
        <v>0</v>
      </c>
      <c r="C279" s="9">
        <f>'01_Input_Raw_Products'!B279</f>
        <v>0</v>
      </c>
      <c r="D279" s="9">
        <f>IF(C279="","",TEXT(I279,"0.00")&amp;" Ct "&amp;IF('01_Input_Raw_Products'!F279&lt;&gt;"",'01_Input_Raw_Products'!F279,'01_Input_Raw_Products'!D279)&amp;" "&amp;'01_Input_Raw_Products'!I279)</f>
        <v>0</v>
      </c>
      <c r="E279" s="9">
        <f>IF(C279="","",D279&amp;" | GemPundit")</f>
        <v>0</v>
      </c>
      <c r="F279" s="9" cm="1">
        <f t="array" ref="F279">IF('01_Input_Raw_Products'!X279&lt;&gt;"",'01_Input_Raw_Products'!X279,IFERROR(_xlfn.XLOOKUP('01_Input_Raw_Products'!F279,'10_Master_Gem_Types'!A:A,'10_Master_Gem_Types'!O:O),LOWER(SUBSTITUTE(IF('01_Input_Raw_Products'!F279&lt;&gt;"",'01_Input_Raw_Products'!F279,'01_Input_Raw_Products'!D279)," ","-"))))</f>
        <v>0</v>
      </c>
      <c r="G279" s="9">
        <f>'01_Input_Raw_Products'!C279</f>
        <v>0</v>
      </c>
      <c r="H279" s="9" cm="1">
        <f t="array" ref="H279">IF('01_Input_Raw_Products'!H279&lt;&gt;"",'01_Input_Raw_Products'!H279,IFERROR(_xlfn.XLOOKUP('01_Input_Raw_Products'!F279,'10_Master_Gem_Types'!A:A,'10_Master_Gem_Types'!D:D),""))</f>
        <v>0</v>
      </c>
      <c r="I279" s="7">
        <f>IF('01_Input_Raw_Products'!N279&lt;&gt;"",'01_Input_Raw_Products'!N279,IF('01_Input_Raw_Products'!O279&lt;&gt;"",'01_Input_Raw_Products'!O279*0.91,""))</f>
        <v>0</v>
      </c>
      <c r="J279" s="9" cm="1">
        <f t="array" ref="J279">IFERROR(_xlfn.XLOOKUP('01_Input_Raw_Products'!F279,'10_Master_Gem_Types'!A:A,'10_Master_Gem_Types'!N:N),"")</f>
        <v>0</v>
      </c>
      <c r="K279" s="9" cm="1">
        <f t="array" ref="K279">IF('01_Input_Raw_Products'!J279&lt;&gt;"",'01_Input_Raw_Products'!J279,IFERROR(_xlfn.XLOOKUP('01_Input_Raw_Products'!F279,'10_Master_Gem_Types'!A:A,'10_Master_Gem_Types'!E:E),""))</f>
        <v>0</v>
      </c>
      <c r="L279" s="9">
        <f>'01_Input_Raw_Products'!P279</f>
        <v>0</v>
      </c>
      <c r="M279" s="9" cm="1">
        <f t="array" ref="M279">IFERROR(_xlfn.XLOOKUP('01_Input_Raw_Products'!K279,'12_Color_Mapping'!A:A,'12_Color_Mapping'!B:B),IFERROR(_xlfn.XLOOKUP('01_Input_Raw_Products'!F279,'10_Master_Gem_Types'!A:A,'10_Master_Gem_Types'!F:F),""))</f>
        <v>0</v>
      </c>
      <c r="N279" s="9">
        <f>IF(C279="","",IF('01_Input_Raw_Products'!F279&lt;&gt;"",'01_Input_Raw_Products'!F279,'01_Input_Raw_Products'!D279))</f>
        <v>0</v>
      </c>
      <c r="O279" s="9">
        <f>IF(C279="","","Catalog Automation")</f>
        <v>0</v>
      </c>
      <c r="P279" s="9">
        <f>'01_Input_Raw_Products'!U279</f>
        <v>0</v>
      </c>
      <c r="Q279" s="7">
        <f>IF('01_Input_Raw_Products'!O279&lt;&gt;"",'01_Input_Raw_Products'!O279,IF('01_Input_Raw_Products'!N279&lt;&gt;"",'01_Input_Raw_Products'!N279*1.1,""))</f>
        <v>0</v>
      </c>
      <c r="R279" s="9">
        <f>'01_Input_Raw_Products'!S279</f>
        <v>0</v>
      </c>
      <c r="S279" s="9" cm="1">
        <f t="array" ref="S279">IFERROR(_xlfn.XLOOKUP('01_Input_Raw_Products'!F279,'10_Master_Gem_Types'!A:A,'10_Master_Gem_Types'!H:H),"")</f>
        <v>0</v>
      </c>
      <c r="T279" s="8">
        <f>'01_Input_Raw_Products'!Q279</f>
        <v>0</v>
      </c>
      <c r="U279" s="8">
        <f>'01_Input_Raw_Products'!R279</f>
        <v>0</v>
      </c>
      <c r="V279" s="7">
        <f>I279</f>
        <v>0</v>
      </c>
      <c r="W279" s="9" cm="1">
        <f t="array" ref="W279">IF('01_Input_Raw_Products'!G279&lt;&gt;"",'01_Input_Raw_Products'!G279,IFERROR(_xlfn.XLOOKUP('01_Input_Raw_Products'!F279,'10_Master_Gem_Types'!A:A,'10_Master_Gem_Types'!L:L),""))</f>
        <v>0</v>
      </c>
      <c r="X279" s="9" cm="1">
        <f t="array" ref="X279">IFERROR(_xlfn.XLOOKUP('01_Input_Raw_Products'!F279,'10_Master_Gem_Types'!A:A,'10_Master_Gem_Types'!J:J),"")</f>
        <v>0</v>
      </c>
      <c r="Y279" s="9" cm="1">
        <f t="array" ref="Y279">IFERROR(_xlfn.XLOOKUP('01_Input_Raw_Products'!F279,'10_Master_Gem_Types'!A:A,'10_Master_Gem_Types'!I:I),"")</f>
        <v>0</v>
      </c>
      <c r="Z279" s="9" cm="1">
        <f t="array" ref="Z279">IFERROR(_xlfn.XLOOKUP('01_Input_Raw_Products'!L279,'13_Certification_Stickers'!A:A,'13_Certification_Stickers'!C:C),"")</f>
        <v>0</v>
      </c>
      <c r="AA279" s="9" cm="1">
        <f t="array" ref="AA279">IFERROR(_xlfn.XLOOKUP('01_Input_Raw_Products'!S279,'14_Shipping_Rules'!A:A,'14_Shipping_Rules'!B:B),"")</f>
        <v>0</v>
      </c>
      <c r="AB279" s="9" cm="1">
        <f t="array" ref="AB279">IFERROR(_xlfn.XLOOKUP('01_Input_Raw_Products'!D279,'16_Astro_Flags'!A:A,'16_Astro_Flags'!B:B),"")</f>
        <v>0</v>
      </c>
      <c r="AC279" s="9">
        <f>IF(C279="","","Catalog, Search")</f>
        <v>0</v>
      </c>
      <c r="AD279" s="9">
        <f>IF(C279="","",IF(OR(F279="",J279="",M279="",S279="",Y279=""),"Manual Review","Ready"))</f>
        <v>0</v>
      </c>
      <c r="AE279" s="9">
        <f>IF(C279="","",TEXTJOIN("; ",TRUE,IF(F279="","Missing url_key",""),IF(J279="","Missing classification",""),IF(M279="","Missing j_colour",""),IF(S279="","Missing hsn_code",""),IF(Y279="","Missing tax_class_id","")))</f>
        <v>0</v>
      </c>
    </row>
    <row r="280" spans="1:31">
      <c r="A280" s="9">
        <f>IF('01_Input_Raw_Products'!B280&lt;&gt;"",20,"")</f>
        <v>0</v>
      </c>
      <c r="B280" s="9" cm="1">
        <f t="array" ref="B280">IF('01_Input_Raw_Products'!M280&lt;&gt;"",'01_Input_Raw_Products'!M280,IFERROR(_xlfn.XLOOKUP('01_Input_Raw_Products'!F280,'10_Master_Gem_Types'!A:A,'10_Master_Gem_Types'!K:K),""))</f>
        <v>0</v>
      </c>
      <c r="C280" s="9">
        <f>'01_Input_Raw_Products'!B280</f>
        <v>0</v>
      </c>
      <c r="D280" s="9">
        <f>IF(C280="","",TEXT(I280,"0.00")&amp;" Ct "&amp;IF('01_Input_Raw_Products'!F280&lt;&gt;"",'01_Input_Raw_Products'!F280,'01_Input_Raw_Products'!D280)&amp;" "&amp;'01_Input_Raw_Products'!I280)</f>
        <v>0</v>
      </c>
      <c r="E280" s="9">
        <f>IF(C280="","",D280&amp;" | GemPundit")</f>
        <v>0</v>
      </c>
      <c r="F280" s="9" cm="1">
        <f t="array" ref="F280">IF('01_Input_Raw_Products'!X280&lt;&gt;"",'01_Input_Raw_Products'!X280,IFERROR(_xlfn.XLOOKUP('01_Input_Raw_Products'!F280,'10_Master_Gem_Types'!A:A,'10_Master_Gem_Types'!O:O),LOWER(SUBSTITUTE(IF('01_Input_Raw_Products'!F280&lt;&gt;"",'01_Input_Raw_Products'!F280,'01_Input_Raw_Products'!D280)," ","-"))))</f>
        <v>0</v>
      </c>
      <c r="G280" s="9">
        <f>'01_Input_Raw_Products'!C280</f>
        <v>0</v>
      </c>
      <c r="H280" s="9" cm="1">
        <f t="array" ref="H280">IF('01_Input_Raw_Products'!H280&lt;&gt;"",'01_Input_Raw_Products'!H280,IFERROR(_xlfn.XLOOKUP('01_Input_Raw_Products'!F280,'10_Master_Gem_Types'!A:A,'10_Master_Gem_Types'!D:D),""))</f>
        <v>0</v>
      </c>
      <c r="I280" s="7">
        <f>IF('01_Input_Raw_Products'!N280&lt;&gt;"",'01_Input_Raw_Products'!N280,IF('01_Input_Raw_Products'!O280&lt;&gt;"",'01_Input_Raw_Products'!O280*0.91,""))</f>
        <v>0</v>
      </c>
      <c r="J280" s="9" cm="1">
        <f t="array" ref="J280">IFERROR(_xlfn.XLOOKUP('01_Input_Raw_Products'!F280,'10_Master_Gem_Types'!A:A,'10_Master_Gem_Types'!N:N),"")</f>
        <v>0</v>
      </c>
      <c r="K280" s="9" cm="1">
        <f t="array" ref="K280">IF('01_Input_Raw_Products'!J280&lt;&gt;"",'01_Input_Raw_Products'!J280,IFERROR(_xlfn.XLOOKUP('01_Input_Raw_Products'!F280,'10_Master_Gem_Types'!A:A,'10_Master_Gem_Types'!E:E),""))</f>
        <v>0</v>
      </c>
      <c r="L280" s="9">
        <f>'01_Input_Raw_Products'!P280</f>
        <v>0</v>
      </c>
      <c r="M280" s="9" cm="1">
        <f t="array" ref="M280">IFERROR(_xlfn.XLOOKUP('01_Input_Raw_Products'!K280,'12_Color_Mapping'!A:A,'12_Color_Mapping'!B:B),IFERROR(_xlfn.XLOOKUP('01_Input_Raw_Products'!F280,'10_Master_Gem_Types'!A:A,'10_Master_Gem_Types'!F:F),""))</f>
        <v>0</v>
      </c>
      <c r="N280" s="9">
        <f>IF(C280="","",IF('01_Input_Raw_Products'!F280&lt;&gt;"",'01_Input_Raw_Products'!F280,'01_Input_Raw_Products'!D280))</f>
        <v>0</v>
      </c>
      <c r="O280" s="9">
        <f>IF(C280="","","Catalog Automation")</f>
        <v>0</v>
      </c>
      <c r="P280" s="9">
        <f>'01_Input_Raw_Products'!U280</f>
        <v>0</v>
      </c>
      <c r="Q280" s="7">
        <f>IF('01_Input_Raw_Products'!O280&lt;&gt;"",'01_Input_Raw_Products'!O280,IF('01_Input_Raw_Products'!N280&lt;&gt;"",'01_Input_Raw_Products'!N280*1.1,""))</f>
        <v>0</v>
      </c>
      <c r="R280" s="9">
        <f>'01_Input_Raw_Products'!S280</f>
        <v>0</v>
      </c>
      <c r="S280" s="9" cm="1">
        <f t="array" ref="S280">IFERROR(_xlfn.XLOOKUP('01_Input_Raw_Products'!F280,'10_Master_Gem_Types'!A:A,'10_Master_Gem_Types'!H:H),"")</f>
        <v>0</v>
      </c>
      <c r="T280" s="8">
        <f>'01_Input_Raw_Products'!Q280</f>
        <v>0</v>
      </c>
      <c r="U280" s="8">
        <f>'01_Input_Raw_Products'!R280</f>
        <v>0</v>
      </c>
      <c r="V280" s="7">
        <f>I280</f>
        <v>0</v>
      </c>
      <c r="W280" s="9" cm="1">
        <f t="array" ref="W280">IF('01_Input_Raw_Products'!G280&lt;&gt;"",'01_Input_Raw_Products'!G280,IFERROR(_xlfn.XLOOKUP('01_Input_Raw_Products'!F280,'10_Master_Gem_Types'!A:A,'10_Master_Gem_Types'!L:L),""))</f>
        <v>0</v>
      </c>
      <c r="X280" s="9" cm="1">
        <f t="array" ref="X280">IFERROR(_xlfn.XLOOKUP('01_Input_Raw_Products'!F280,'10_Master_Gem_Types'!A:A,'10_Master_Gem_Types'!J:J),"")</f>
        <v>0</v>
      </c>
      <c r="Y280" s="9" cm="1">
        <f t="array" ref="Y280">IFERROR(_xlfn.XLOOKUP('01_Input_Raw_Products'!F280,'10_Master_Gem_Types'!A:A,'10_Master_Gem_Types'!I:I),"")</f>
        <v>0</v>
      </c>
      <c r="Z280" s="9" cm="1">
        <f t="array" ref="Z280">IFERROR(_xlfn.XLOOKUP('01_Input_Raw_Products'!L280,'13_Certification_Stickers'!A:A,'13_Certification_Stickers'!C:C),"")</f>
        <v>0</v>
      </c>
      <c r="AA280" s="9" cm="1">
        <f t="array" ref="AA280">IFERROR(_xlfn.XLOOKUP('01_Input_Raw_Products'!S280,'14_Shipping_Rules'!A:A,'14_Shipping_Rules'!B:B),"")</f>
        <v>0</v>
      </c>
      <c r="AB280" s="9" cm="1">
        <f t="array" ref="AB280">IFERROR(_xlfn.XLOOKUP('01_Input_Raw_Products'!D280,'16_Astro_Flags'!A:A,'16_Astro_Flags'!B:B),"")</f>
        <v>0</v>
      </c>
      <c r="AC280" s="9">
        <f>IF(C280="","","Catalog, Search")</f>
        <v>0</v>
      </c>
      <c r="AD280" s="9">
        <f>IF(C280="","",IF(OR(F280="",J280="",M280="",S280="",Y280=""),"Manual Review","Ready"))</f>
        <v>0</v>
      </c>
      <c r="AE280" s="9">
        <f>IF(C280="","",TEXTJOIN("; ",TRUE,IF(F280="","Missing url_key",""),IF(J280="","Missing classification",""),IF(M280="","Missing j_colour",""),IF(S280="","Missing hsn_code",""),IF(Y280="","Missing tax_class_id","")))</f>
        <v>0</v>
      </c>
    </row>
    <row r="281" spans="1:31">
      <c r="A281" s="9">
        <f>IF('01_Input_Raw_Products'!B281&lt;&gt;"",20,"")</f>
        <v>0</v>
      </c>
      <c r="B281" s="9" cm="1">
        <f t="array" ref="B281">IF('01_Input_Raw_Products'!M281&lt;&gt;"",'01_Input_Raw_Products'!M281,IFERROR(_xlfn.XLOOKUP('01_Input_Raw_Products'!F281,'10_Master_Gem_Types'!A:A,'10_Master_Gem_Types'!K:K),""))</f>
        <v>0</v>
      </c>
      <c r="C281" s="9">
        <f>'01_Input_Raw_Products'!B281</f>
        <v>0</v>
      </c>
      <c r="D281" s="9">
        <f>IF(C281="","",TEXT(I281,"0.00")&amp;" Ct "&amp;IF('01_Input_Raw_Products'!F281&lt;&gt;"",'01_Input_Raw_Products'!F281,'01_Input_Raw_Products'!D281)&amp;" "&amp;'01_Input_Raw_Products'!I281)</f>
        <v>0</v>
      </c>
      <c r="E281" s="9">
        <f>IF(C281="","",D281&amp;" | GemPundit")</f>
        <v>0</v>
      </c>
      <c r="F281" s="9" cm="1">
        <f t="array" ref="F281">IF('01_Input_Raw_Products'!X281&lt;&gt;"",'01_Input_Raw_Products'!X281,IFERROR(_xlfn.XLOOKUP('01_Input_Raw_Products'!F281,'10_Master_Gem_Types'!A:A,'10_Master_Gem_Types'!O:O),LOWER(SUBSTITUTE(IF('01_Input_Raw_Products'!F281&lt;&gt;"",'01_Input_Raw_Products'!F281,'01_Input_Raw_Products'!D281)," ","-"))))</f>
        <v>0</v>
      </c>
      <c r="G281" s="9">
        <f>'01_Input_Raw_Products'!C281</f>
        <v>0</v>
      </c>
      <c r="H281" s="9" cm="1">
        <f t="array" ref="H281">IF('01_Input_Raw_Products'!H281&lt;&gt;"",'01_Input_Raw_Products'!H281,IFERROR(_xlfn.XLOOKUP('01_Input_Raw_Products'!F281,'10_Master_Gem_Types'!A:A,'10_Master_Gem_Types'!D:D),""))</f>
        <v>0</v>
      </c>
      <c r="I281" s="7">
        <f>IF('01_Input_Raw_Products'!N281&lt;&gt;"",'01_Input_Raw_Products'!N281,IF('01_Input_Raw_Products'!O281&lt;&gt;"",'01_Input_Raw_Products'!O281*0.91,""))</f>
        <v>0</v>
      </c>
      <c r="J281" s="9" cm="1">
        <f t="array" ref="J281">IFERROR(_xlfn.XLOOKUP('01_Input_Raw_Products'!F281,'10_Master_Gem_Types'!A:A,'10_Master_Gem_Types'!N:N),"")</f>
        <v>0</v>
      </c>
      <c r="K281" s="9" cm="1">
        <f t="array" ref="K281">IF('01_Input_Raw_Products'!J281&lt;&gt;"",'01_Input_Raw_Products'!J281,IFERROR(_xlfn.XLOOKUP('01_Input_Raw_Products'!F281,'10_Master_Gem_Types'!A:A,'10_Master_Gem_Types'!E:E),""))</f>
        <v>0</v>
      </c>
      <c r="L281" s="9">
        <f>'01_Input_Raw_Products'!P281</f>
        <v>0</v>
      </c>
      <c r="M281" s="9" cm="1">
        <f t="array" ref="M281">IFERROR(_xlfn.XLOOKUP('01_Input_Raw_Products'!K281,'12_Color_Mapping'!A:A,'12_Color_Mapping'!B:B),IFERROR(_xlfn.XLOOKUP('01_Input_Raw_Products'!F281,'10_Master_Gem_Types'!A:A,'10_Master_Gem_Types'!F:F),""))</f>
        <v>0</v>
      </c>
      <c r="N281" s="9">
        <f>IF(C281="","",IF('01_Input_Raw_Products'!F281&lt;&gt;"",'01_Input_Raw_Products'!F281,'01_Input_Raw_Products'!D281))</f>
        <v>0</v>
      </c>
      <c r="O281" s="9">
        <f>IF(C281="","","Catalog Automation")</f>
        <v>0</v>
      </c>
      <c r="P281" s="9">
        <f>'01_Input_Raw_Products'!U281</f>
        <v>0</v>
      </c>
      <c r="Q281" s="7">
        <f>IF('01_Input_Raw_Products'!O281&lt;&gt;"",'01_Input_Raw_Products'!O281,IF('01_Input_Raw_Products'!N281&lt;&gt;"",'01_Input_Raw_Products'!N281*1.1,""))</f>
        <v>0</v>
      </c>
      <c r="R281" s="9">
        <f>'01_Input_Raw_Products'!S281</f>
        <v>0</v>
      </c>
      <c r="S281" s="9" cm="1">
        <f t="array" ref="S281">IFERROR(_xlfn.XLOOKUP('01_Input_Raw_Products'!F281,'10_Master_Gem_Types'!A:A,'10_Master_Gem_Types'!H:H),"")</f>
        <v>0</v>
      </c>
      <c r="T281" s="8">
        <f>'01_Input_Raw_Products'!Q281</f>
        <v>0</v>
      </c>
      <c r="U281" s="8">
        <f>'01_Input_Raw_Products'!R281</f>
        <v>0</v>
      </c>
      <c r="V281" s="7">
        <f>I281</f>
        <v>0</v>
      </c>
      <c r="W281" s="9" cm="1">
        <f t="array" ref="W281">IF('01_Input_Raw_Products'!G281&lt;&gt;"",'01_Input_Raw_Products'!G281,IFERROR(_xlfn.XLOOKUP('01_Input_Raw_Products'!F281,'10_Master_Gem_Types'!A:A,'10_Master_Gem_Types'!L:L),""))</f>
        <v>0</v>
      </c>
      <c r="X281" s="9" cm="1">
        <f t="array" ref="X281">IFERROR(_xlfn.XLOOKUP('01_Input_Raw_Products'!F281,'10_Master_Gem_Types'!A:A,'10_Master_Gem_Types'!J:J),"")</f>
        <v>0</v>
      </c>
      <c r="Y281" s="9" cm="1">
        <f t="array" ref="Y281">IFERROR(_xlfn.XLOOKUP('01_Input_Raw_Products'!F281,'10_Master_Gem_Types'!A:A,'10_Master_Gem_Types'!I:I),"")</f>
        <v>0</v>
      </c>
      <c r="Z281" s="9" cm="1">
        <f t="array" ref="Z281">IFERROR(_xlfn.XLOOKUP('01_Input_Raw_Products'!L281,'13_Certification_Stickers'!A:A,'13_Certification_Stickers'!C:C),"")</f>
        <v>0</v>
      </c>
      <c r="AA281" s="9" cm="1">
        <f t="array" ref="AA281">IFERROR(_xlfn.XLOOKUP('01_Input_Raw_Products'!S281,'14_Shipping_Rules'!A:A,'14_Shipping_Rules'!B:B),"")</f>
        <v>0</v>
      </c>
      <c r="AB281" s="9" cm="1">
        <f t="array" ref="AB281">IFERROR(_xlfn.XLOOKUP('01_Input_Raw_Products'!D281,'16_Astro_Flags'!A:A,'16_Astro_Flags'!B:B),"")</f>
        <v>0</v>
      </c>
      <c r="AC281" s="9">
        <f>IF(C281="","","Catalog, Search")</f>
        <v>0</v>
      </c>
      <c r="AD281" s="9">
        <f>IF(C281="","",IF(OR(F281="",J281="",M281="",S281="",Y281=""),"Manual Review","Ready"))</f>
        <v>0</v>
      </c>
      <c r="AE281" s="9">
        <f>IF(C281="","",TEXTJOIN("; ",TRUE,IF(F281="","Missing url_key",""),IF(J281="","Missing classification",""),IF(M281="","Missing j_colour",""),IF(S281="","Missing hsn_code",""),IF(Y281="","Missing tax_class_id","")))</f>
        <v>0</v>
      </c>
    </row>
    <row r="282" spans="1:31">
      <c r="A282" s="9">
        <f>IF('01_Input_Raw_Products'!B282&lt;&gt;"",20,"")</f>
        <v>0</v>
      </c>
      <c r="B282" s="9" cm="1">
        <f t="array" ref="B282">IF('01_Input_Raw_Products'!M282&lt;&gt;"",'01_Input_Raw_Products'!M282,IFERROR(_xlfn.XLOOKUP('01_Input_Raw_Products'!F282,'10_Master_Gem_Types'!A:A,'10_Master_Gem_Types'!K:K),""))</f>
        <v>0</v>
      </c>
      <c r="C282" s="9">
        <f>'01_Input_Raw_Products'!B282</f>
        <v>0</v>
      </c>
      <c r="D282" s="9">
        <f>IF(C282="","",TEXT(I282,"0.00")&amp;" Ct "&amp;IF('01_Input_Raw_Products'!F282&lt;&gt;"",'01_Input_Raw_Products'!F282,'01_Input_Raw_Products'!D282)&amp;" "&amp;'01_Input_Raw_Products'!I282)</f>
        <v>0</v>
      </c>
      <c r="E282" s="9">
        <f>IF(C282="","",D282&amp;" | GemPundit")</f>
        <v>0</v>
      </c>
      <c r="F282" s="9" cm="1">
        <f t="array" ref="F282">IF('01_Input_Raw_Products'!X282&lt;&gt;"",'01_Input_Raw_Products'!X282,IFERROR(_xlfn.XLOOKUP('01_Input_Raw_Products'!F282,'10_Master_Gem_Types'!A:A,'10_Master_Gem_Types'!O:O),LOWER(SUBSTITUTE(IF('01_Input_Raw_Products'!F282&lt;&gt;"",'01_Input_Raw_Products'!F282,'01_Input_Raw_Products'!D282)," ","-"))))</f>
        <v>0</v>
      </c>
      <c r="G282" s="9">
        <f>'01_Input_Raw_Products'!C282</f>
        <v>0</v>
      </c>
      <c r="H282" s="9" cm="1">
        <f t="array" ref="H282">IF('01_Input_Raw_Products'!H282&lt;&gt;"",'01_Input_Raw_Products'!H282,IFERROR(_xlfn.XLOOKUP('01_Input_Raw_Products'!F282,'10_Master_Gem_Types'!A:A,'10_Master_Gem_Types'!D:D),""))</f>
        <v>0</v>
      </c>
      <c r="I282" s="7">
        <f>IF('01_Input_Raw_Products'!N282&lt;&gt;"",'01_Input_Raw_Products'!N282,IF('01_Input_Raw_Products'!O282&lt;&gt;"",'01_Input_Raw_Products'!O282*0.91,""))</f>
        <v>0</v>
      </c>
      <c r="J282" s="9" cm="1">
        <f t="array" ref="J282">IFERROR(_xlfn.XLOOKUP('01_Input_Raw_Products'!F282,'10_Master_Gem_Types'!A:A,'10_Master_Gem_Types'!N:N),"")</f>
        <v>0</v>
      </c>
      <c r="K282" s="9" cm="1">
        <f t="array" ref="K282">IF('01_Input_Raw_Products'!J282&lt;&gt;"",'01_Input_Raw_Products'!J282,IFERROR(_xlfn.XLOOKUP('01_Input_Raw_Products'!F282,'10_Master_Gem_Types'!A:A,'10_Master_Gem_Types'!E:E),""))</f>
        <v>0</v>
      </c>
      <c r="L282" s="9">
        <f>'01_Input_Raw_Products'!P282</f>
        <v>0</v>
      </c>
      <c r="M282" s="9" cm="1">
        <f t="array" ref="M282">IFERROR(_xlfn.XLOOKUP('01_Input_Raw_Products'!K282,'12_Color_Mapping'!A:A,'12_Color_Mapping'!B:B),IFERROR(_xlfn.XLOOKUP('01_Input_Raw_Products'!F282,'10_Master_Gem_Types'!A:A,'10_Master_Gem_Types'!F:F),""))</f>
        <v>0</v>
      </c>
      <c r="N282" s="9">
        <f>IF(C282="","",IF('01_Input_Raw_Products'!F282&lt;&gt;"",'01_Input_Raw_Products'!F282,'01_Input_Raw_Products'!D282))</f>
        <v>0</v>
      </c>
      <c r="O282" s="9">
        <f>IF(C282="","","Catalog Automation")</f>
        <v>0</v>
      </c>
      <c r="P282" s="9">
        <f>'01_Input_Raw_Products'!U282</f>
        <v>0</v>
      </c>
      <c r="Q282" s="7">
        <f>IF('01_Input_Raw_Products'!O282&lt;&gt;"",'01_Input_Raw_Products'!O282,IF('01_Input_Raw_Products'!N282&lt;&gt;"",'01_Input_Raw_Products'!N282*1.1,""))</f>
        <v>0</v>
      </c>
      <c r="R282" s="9">
        <f>'01_Input_Raw_Products'!S282</f>
        <v>0</v>
      </c>
      <c r="S282" s="9" cm="1">
        <f t="array" ref="S282">IFERROR(_xlfn.XLOOKUP('01_Input_Raw_Products'!F282,'10_Master_Gem_Types'!A:A,'10_Master_Gem_Types'!H:H),"")</f>
        <v>0</v>
      </c>
      <c r="T282" s="8">
        <f>'01_Input_Raw_Products'!Q282</f>
        <v>0</v>
      </c>
      <c r="U282" s="8">
        <f>'01_Input_Raw_Products'!R282</f>
        <v>0</v>
      </c>
      <c r="V282" s="7">
        <f>I282</f>
        <v>0</v>
      </c>
      <c r="W282" s="9" cm="1">
        <f t="array" ref="W282">IF('01_Input_Raw_Products'!G282&lt;&gt;"",'01_Input_Raw_Products'!G282,IFERROR(_xlfn.XLOOKUP('01_Input_Raw_Products'!F282,'10_Master_Gem_Types'!A:A,'10_Master_Gem_Types'!L:L),""))</f>
        <v>0</v>
      </c>
      <c r="X282" s="9" cm="1">
        <f t="array" ref="X282">IFERROR(_xlfn.XLOOKUP('01_Input_Raw_Products'!F282,'10_Master_Gem_Types'!A:A,'10_Master_Gem_Types'!J:J),"")</f>
        <v>0</v>
      </c>
      <c r="Y282" s="9" cm="1">
        <f t="array" ref="Y282">IFERROR(_xlfn.XLOOKUP('01_Input_Raw_Products'!F282,'10_Master_Gem_Types'!A:A,'10_Master_Gem_Types'!I:I),"")</f>
        <v>0</v>
      </c>
      <c r="Z282" s="9" cm="1">
        <f t="array" ref="Z282">IFERROR(_xlfn.XLOOKUP('01_Input_Raw_Products'!L282,'13_Certification_Stickers'!A:A,'13_Certification_Stickers'!C:C),"")</f>
        <v>0</v>
      </c>
      <c r="AA282" s="9" cm="1">
        <f t="array" ref="AA282">IFERROR(_xlfn.XLOOKUP('01_Input_Raw_Products'!S282,'14_Shipping_Rules'!A:A,'14_Shipping_Rules'!B:B),"")</f>
        <v>0</v>
      </c>
      <c r="AB282" s="9" cm="1">
        <f t="array" ref="AB282">IFERROR(_xlfn.XLOOKUP('01_Input_Raw_Products'!D282,'16_Astro_Flags'!A:A,'16_Astro_Flags'!B:B),"")</f>
        <v>0</v>
      </c>
      <c r="AC282" s="9">
        <f>IF(C282="","","Catalog, Search")</f>
        <v>0</v>
      </c>
      <c r="AD282" s="9">
        <f>IF(C282="","",IF(OR(F282="",J282="",M282="",S282="",Y282=""),"Manual Review","Ready"))</f>
        <v>0</v>
      </c>
      <c r="AE282" s="9">
        <f>IF(C282="","",TEXTJOIN("; ",TRUE,IF(F282="","Missing url_key",""),IF(J282="","Missing classification",""),IF(M282="","Missing j_colour",""),IF(S282="","Missing hsn_code",""),IF(Y282="","Missing tax_class_id","")))</f>
        <v>0</v>
      </c>
    </row>
    <row r="283" spans="1:31">
      <c r="A283" s="9">
        <f>IF('01_Input_Raw_Products'!B283&lt;&gt;"",20,"")</f>
        <v>0</v>
      </c>
      <c r="B283" s="9" cm="1">
        <f t="array" ref="B283">IF('01_Input_Raw_Products'!M283&lt;&gt;"",'01_Input_Raw_Products'!M283,IFERROR(_xlfn.XLOOKUP('01_Input_Raw_Products'!F283,'10_Master_Gem_Types'!A:A,'10_Master_Gem_Types'!K:K),""))</f>
        <v>0</v>
      </c>
      <c r="C283" s="9">
        <f>'01_Input_Raw_Products'!B283</f>
        <v>0</v>
      </c>
      <c r="D283" s="9">
        <f>IF(C283="","",TEXT(I283,"0.00")&amp;" Ct "&amp;IF('01_Input_Raw_Products'!F283&lt;&gt;"",'01_Input_Raw_Products'!F283,'01_Input_Raw_Products'!D283)&amp;" "&amp;'01_Input_Raw_Products'!I283)</f>
        <v>0</v>
      </c>
      <c r="E283" s="9">
        <f>IF(C283="","",D283&amp;" | GemPundit")</f>
        <v>0</v>
      </c>
      <c r="F283" s="9" cm="1">
        <f t="array" ref="F283">IF('01_Input_Raw_Products'!X283&lt;&gt;"",'01_Input_Raw_Products'!X283,IFERROR(_xlfn.XLOOKUP('01_Input_Raw_Products'!F283,'10_Master_Gem_Types'!A:A,'10_Master_Gem_Types'!O:O),LOWER(SUBSTITUTE(IF('01_Input_Raw_Products'!F283&lt;&gt;"",'01_Input_Raw_Products'!F283,'01_Input_Raw_Products'!D283)," ","-"))))</f>
        <v>0</v>
      </c>
      <c r="G283" s="9">
        <f>'01_Input_Raw_Products'!C283</f>
        <v>0</v>
      </c>
      <c r="H283" s="9" cm="1">
        <f t="array" ref="H283">IF('01_Input_Raw_Products'!H283&lt;&gt;"",'01_Input_Raw_Products'!H283,IFERROR(_xlfn.XLOOKUP('01_Input_Raw_Products'!F283,'10_Master_Gem_Types'!A:A,'10_Master_Gem_Types'!D:D),""))</f>
        <v>0</v>
      </c>
      <c r="I283" s="7">
        <f>IF('01_Input_Raw_Products'!N283&lt;&gt;"",'01_Input_Raw_Products'!N283,IF('01_Input_Raw_Products'!O283&lt;&gt;"",'01_Input_Raw_Products'!O283*0.91,""))</f>
        <v>0</v>
      </c>
      <c r="J283" s="9" cm="1">
        <f t="array" ref="J283">IFERROR(_xlfn.XLOOKUP('01_Input_Raw_Products'!F283,'10_Master_Gem_Types'!A:A,'10_Master_Gem_Types'!N:N),"")</f>
        <v>0</v>
      </c>
      <c r="K283" s="9" cm="1">
        <f t="array" ref="K283">IF('01_Input_Raw_Products'!J283&lt;&gt;"",'01_Input_Raw_Products'!J283,IFERROR(_xlfn.XLOOKUP('01_Input_Raw_Products'!F283,'10_Master_Gem_Types'!A:A,'10_Master_Gem_Types'!E:E),""))</f>
        <v>0</v>
      </c>
      <c r="L283" s="9">
        <f>'01_Input_Raw_Products'!P283</f>
        <v>0</v>
      </c>
      <c r="M283" s="9" cm="1">
        <f t="array" ref="M283">IFERROR(_xlfn.XLOOKUP('01_Input_Raw_Products'!K283,'12_Color_Mapping'!A:A,'12_Color_Mapping'!B:B),IFERROR(_xlfn.XLOOKUP('01_Input_Raw_Products'!F283,'10_Master_Gem_Types'!A:A,'10_Master_Gem_Types'!F:F),""))</f>
        <v>0</v>
      </c>
      <c r="N283" s="9">
        <f>IF(C283="","",IF('01_Input_Raw_Products'!F283&lt;&gt;"",'01_Input_Raw_Products'!F283,'01_Input_Raw_Products'!D283))</f>
        <v>0</v>
      </c>
      <c r="O283" s="9">
        <f>IF(C283="","","Catalog Automation")</f>
        <v>0</v>
      </c>
      <c r="P283" s="9">
        <f>'01_Input_Raw_Products'!U283</f>
        <v>0</v>
      </c>
      <c r="Q283" s="7">
        <f>IF('01_Input_Raw_Products'!O283&lt;&gt;"",'01_Input_Raw_Products'!O283,IF('01_Input_Raw_Products'!N283&lt;&gt;"",'01_Input_Raw_Products'!N283*1.1,""))</f>
        <v>0</v>
      </c>
      <c r="R283" s="9">
        <f>'01_Input_Raw_Products'!S283</f>
        <v>0</v>
      </c>
      <c r="S283" s="9" cm="1">
        <f t="array" ref="S283">IFERROR(_xlfn.XLOOKUP('01_Input_Raw_Products'!F283,'10_Master_Gem_Types'!A:A,'10_Master_Gem_Types'!H:H),"")</f>
        <v>0</v>
      </c>
      <c r="T283" s="8">
        <f>'01_Input_Raw_Products'!Q283</f>
        <v>0</v>
      </c>
      <c r="U283" s="8">
        <f>'01_Input_Raw_Products'!R283</f>
        <v>0</v>
      </c>
      <c r="V283" s="7">
        <f>I283</f>
        <v>0</v>
      </c>
      <c r="W283" s="9" cm="1">
        <f t="array" ref="W283">IF('01_Input_Raw_Products'!G283&lt;&gt;"",'01_Input_Raw_Products'!G283,IFERROR(_xlfn.XLOOKUP('01_Input_Raw_Products'!F283,'10_Master_Gem_Types'!A:A,'10_Master_Gem_Types'!L:L),""))</f>
        <v>0</v>
      </c>
      <c r="X283" s="9" cm="1">
        <f t="array" ref="X283">IFERROR(_xlfn.XLOOKUP('01_Input_Raw_Products'!F283,'10_Master_Gem_Types'!A:A,'10_Master_Gem_Types'!J:J),"")</f>
        <v>0</v>
      </c>
      <c r="Y283" s="9" cm="1">
        <f t="array" ref="Y283">IFERROR(_xlfn.XLOOKUP('01_Input_Raw_Products'!F283,'10_Master_Gem_Types'!A:A,'10_Master_Gem_Types'!I:I),"")</f>
        <v>0</v>
      </c>
      <c r="Z283" s="9" cm="1">
        <f t="array" ref="Z283">IFERROR(_xlfn.XLOOKUP('01_Input_Raw_Products'!L283,'13_Certification_Stickers'!A:A,'13_Certification_Stickers'!C:C),"")</f>
        <v>0</v>
      </c>
      <c r="AA283" s="9" cm="1">
        <f t="array" ref="AA283">IFERROR(_xlfn.XLOOKUP('01_Input_Raw_Products'!S283,'14_Shipping_Rules'!A:A,'14_Shipping_Rules'!B:B),"")</f>
        <v>0</v>
      </c>
      <c r="AB283" s="9" cm="1">
        <f t="array" ref="AB283">IFERROR(_xlfn.XLOOKUP('01_Input_Raw_Products'!D283,'16_Astro_Flags'!A:A,'16_Astro_Flags'!B:B),"")</f>
        <v>0</v>
      </c>
      <c r="AC283" s="9">
        <f>IF(C283="","","Catalog, Search")</f>
        <v>0</v>
      </c>
      <c r="AD283" s="9">
        <f>IF(C283="","",IF(OR(F283="",J283="",M283="",S283="",Y283=""),"Manual Review","Ready"))</f>
        <v>0</v>
      </c>
      <c r="AE283" s="9">
        <f>IF(C283="","",TEXTJOIN("; ",TRUE,IF(F283="","Missing url_key",""),IF(J283="","Missing classification",""),IF(M283="","Missing j_colour",""),IF(S283="","Missing hsn_code",""),IF(Y283="","Missing tax_class_id","")))</f>
        <v>0</v>
      </c>
    </row>
    <row r="284" spans="1:31">
      <c r="A284" s="9">
        <f>IF('01_Input_Raw_Products'!B284&lt;&gt;"",20,"")</f>
        <v>0</v>
      </c>
      <c r="B284" s="9" cm="1">
        <f t="array" ref="B284">IF('01_Input_Raw_Products'!M284&lt;&gt;"",'01_Input_Raw_Products'!M284,IFERROR(_xlfn.XLOOKUP('01_Input_Raw_Products'!F284,'10_Master_Gem_Types'!A:A,'10_Master_Gem_Types'!K:K),""))</f>
        <v>0</v>
      </c>
      <c r="C284" s="9">
        <f>'01_Input_Raw_Products'!B284</f>
        <v>0</v>
      </c>
      <c r="D284" s="9">
        <f>IF(C284="","",TEXT(I284,"0.00")&amp;" Ct "&amp;IF('01_Input_Raw_Products'!F284&lt;&gt;"",'01_Input_Raw_Products'!F284,'01_Input_Raw_Products'!D284)&amp;" "&amp;'01_Input_Raw_Products'!I284)</f>
        <v>0</v>
      </c>
      <c r="E284" s="9">
        <f>IF(C284="","",D284&amp;" | GemPundit")</f>
        <v>0</v>
      </c>
      <c r="F284" s="9" cm="1">
        <f t="array" ref="F284">IF('01_Input_Raw_Products'!X284&lt;&gt;"",'01_Input_Raw_Products'!X284,IFERROR(_xlfn.XLOOKUP('01_Input_Raw_Products'!F284,'10_Master_Gem_Types'!A:A,'10_Master_Gem_Types'!O:O),LOWER(SUBSTITUTE(IF('01_Input_Raw_Products'!F284&lt;&gt;"",'01_Input_Raw_Products'!F284,'01_Input_Raw_Products'!D284)," ","-"))))</f>
        <v>0</v>
      </c>
      <c r="G284" s="9">
        <f>'01_Input_Raw_Products'!C284</f>
        <v>0</v>
      </c>
      <c r="H284" s="9" cm="1">
        <f t="array" ref="H284">IF('01_Input_Raw_Products'!H284&lt;&gt;"",'01_Input_Raw_Products'!H284,IFERROR(_xlfn.XLOOKUP('01_Input_Raw_Products'!F284,'10_Master_Gem_Types'!A:A,'10_Master_Gem_Types'!D:D),""))</f>
        <v>0</v>
      </c>
      <c r="I284" s="7">
        <f>IF('01_Input_Raw_Products'!N284&lt;&gt;"",'01_Input_Raw_Products'!N284,IF('01_Input_Raw_Products'!O284&lt;&gt;"",'01_Input_Raw_Products'!O284*0.91,""))</f>
        <v>0</v>
      </c>
      <c r="J284" s="9" cm="1">
        <f t="array" ref="J284">IFERROR(_xlfn.XLOOKUP('01_Input_Raw_Products'!F284,'10_Master_Gem_Types'!A:A,'10_Master_Gem_Types'!N:N),"")</f>
        <v>0</v>
      </c>
      <c r="K284" s="9" cm="1">
        <f t="array" ref="K284">IF('01_Input_Raw_Products'!J284&lt;&gt;"",'01_Input_Raw_Products'!J284,IFERROR(_xlfn.XLOOKUP('01_Input_Raw_Products'!F284,'10_Master_Gem_Types'!A:A,'10_Master_Gem_Types'!E:E),""))</f>
        <v>0</v>
      </c>
      <c r="L284" s="9">
        <f>'01_Input_Raw_Products'!P284</f>
        <v>0</v>
      </c>
      <c r="M284" s="9" cm="1">
        <f t="array" ref="M284">IFERROR(_xlfn.XLOOKUP('01_Input_Raw_Products'!K284,'12_Color_Mapping'!A:A,'12_Color_Mapping'!B:B),IFERROR(_xlfn.XLOOKUP('01_Input_Raw_Products'!F284,'10_Master_Gem_Types'!A:A,'10_Master_Gem_Types'!F:F),""))</f>
        <v>0</v>
      </c>
      <c r="N284" s="9">
        <f>IF(C284="","",IF('01_Input_Raw_Products'!F284&lt;&gt;"",'01_Input_Raw_Products'!F284,'01_Input_Raw_Products'!D284))</f>
        <v>0</v>
      </c>
      <c r="O284" s="9">
        <f>IF(C284="","","Catalog Automation")</f>
        <v>0</v>
      </c>
      <c r="P284" s="9">
        <f>'01_Input_Raw_Products'!U284</f>
        <v>0</v>
      </c>
      <c r="Q284" s="7">
        <f>IF('01_Input_Raw_Products'!O284&lt;&gt;"",'01_Input_Raw_Products'!O284,IF('01_Input_Raw_Products'!N284&lt;&gt;"",'01_Input_Raw_Products'!N284*1.1,""))</f>
        <v>0</v>
      </c>
      <c r="R284" s="9">
        <f>'01_Input_Raw_Products'!S284</f>
        <v>0</v>
      </c>
      <c r="S284" s="9" cm="1">
        <f t="array" ref="S284">IFERROR(_xlfn.XLOOKUP('01_Input_Raw_Products'!F284,'10_Master_Gem_Types'!A:A,'10_Master_Gem_Types'!H:H),"")</f>
        <v>0</v>
      </c>
      <c r="T284" s="8">
        <f>'01_Input_Raw_Products'!Q284</f>
        <v>0</v>
      </c>
      <c r="U284" s="8">
        <f>'01_Input_Raw_Products'!R284</f>
        <v>0</v>
      </c>
      <c r="V284" s="7">
        <f>I284</f>
        <v>0</v>
      </c>
      <c r="W284" s="9" cm="1">
        <f t="array" ref="W284">IF('01_Input_Raw_Products'!G284&lt;&gt;"",'01_Input_Raw_Products'!G284,IFERROR(_xlfn.XLOOKUP('01_Input_Raw_Products'!F284,'10_Master_Gem_Types'!A:A,'10_Master_Gem_Types'!L:L),""))</f>
        <v>0</v>
      </c>
      <c r="X284" s="9" cm="1">
        <f t="array" ref="X284">IFERROR(_xlfn.XLOOKUP('01_Input_Raw_Products'!F284,'10_Master_Gem_Types'!A:A,'10_Master_Gem_Types'!J:J),"")</f>
        <v>0</v>
      </c>
      <c r="Y284" s="9" cm="1">
        <f t="array" ref="Y284">IFERROR(_xlfn.XLOOKUP('01_Input_Raw_Products'!F284,'10_Master_Gem_Types'!A:A,'10_Master_Gem_Types'!I:I),"")</f>
        <v>0</v>
      </c>
      <c r="Z284" s="9" cm="1">
        <f t="array" ref="Z284">IFERROR(_xlfn.XLOOKUP('01_Input_Raw_Products'!L284,'13_Certification_Stickers'!A:A,'13_Certification_Stickers'!C:C),"")</f>
        <v>0</v>
      </c>
      <c r="AA284" s="9" cm="1">
        <f t="array" ref="AA284">IFERROR(_xlfn.XLOOKUP('01_Input_Raw_Products'!S284,'14_Shipping_Rules'!A:A,'14_Shipping_Rules'!B:B),"")</f>
        <v>0</v>
      </c>
      <c r="AB284" s="9" cm="1">
        <f t="array" ref="AB284">IFERROR(_xlfn.XLOOKUP('01_Input_Raw_Products'!D284,'16_Astro_Flags'!A:A,'16_Astro_Flags'!B:B),"")</f>
        <v>0</v>
      </c>
      <c r="AC284" s="9">
        <f>IF(C284="","","Catalog, Search")</f>
        <v>0</v>
      </c>
      <c r="AD284" s="9">
        <f>IF(C284="","",IF(OR(F284="",J284="",M284="",S284="",Y284=""),"Manual Review","Ready"))</f>
        <v>0</v>
      </c>
      <c r="AE284" s="9">
        <f>IF(C284="","",TEXTJOIN("; ",TRUE,IF(F284="","Missing url_key",""),IF(J284="","Missing classification",""),IF(M284="","Missing j_colour",""),IF(S284="","Missing hsn_code",""),IF(Y284="","Missing tax_class_id","")))</f>
        <v>0</v>
      </c>
    </row>
    <row r="285" spans="1:31">
      <c r="A285" s="9">
        <f>IF('01_Input_Raw_Products'!B285&lt;&gt;"",20,"")</f>
        <v>0</v>
      </c>
      <c r="B285" s="9" cm="1">
        <f t="array" ref="B285">IF('01_Input_Raw_Products'!M285&lt;&gt;"",'01_Input_Raw_Products'!M285,IFERROR(_xlfn.XLOOKUP('01_Input_Raw_Products'!F285,'10_Master_Gem_Types'!A:A,'10_Master_Gem_Types'!K:K),""))</f>
        <v>0</v>
      </c>
      <c r="C285" s="9">
        <f>'01_Input_Raw_Products'!B285</f>
        <v>0</v>
      </c>
      <c r="D285" s="9">
        <f>IF(C285="","",TEXT(I285,"0.00")&amp;" Ct "&amp;IF('01_Input_Raw_Products'!F285&lt;&gt;"",'01_Input_Raw_Products'!F285,'01_Input_Raw_Products'!D285)&amp;" "&amp;'01_Input_Raw_Products'!I285)</f>
        <v>0</v>
      </c>
      <c r="E285" s="9">
        <f>IF(C285="","",D285&amp;" | GemPundit")</f>
        <v>0</v>
      </c>
      <c r="F285" s="9" cm="1">
        <f t="array" ref="F285">IF('01_Input_Raw_Products'!X285&lt;&gt;"",'01_Input_Raw_Products'!X285,IFERROR(_xlfn.XLOOKUP('01_Input_Raw_Products'!F285,'10_Master_Gem_Types'!A:A,'10_Master_Gem_Types'!O:O),LOWER(SUBSTITUTE(IF('01_Input_Raw_Products'!F285&lt;&gt;"",'01_Input_Raw_Products'!F285,'01_Input_Raw_Products'!D285)," ","-"))))</f>
        <v>0</v>
      </c>
      <c r="G285" s="9">
        <f>'01_Input_Raw_Products'!C285</f>
        <v>0</v>
      </c>
      <c r="H285" s="9" cm="1">
        <f t="array" ref="H285">IF('01_Input_Raw_Products'!H285&lt;&gt;"",'01_Input_Raw_Products'!H285,IFERROR(_xlfn.XLOOKUP('01_Input_Raw_Products'!F285,'10_Master_Gem_Types'!A:A,'10_Master_Gem_Types'!D:D),""))</f>
        <v>0</v>
      </c>
      <c r="I285" s="7">
        <f>IF('01_Input_Raw_Products'!N285&lt;&gt;"",'01_Input_Raw_Products'!N285,IF('01_Input_Raw_Products'!O285&lt;&gt;"",'01_Input_Raw_Products'!O285*0.91,""))</f>
        <v>0</v>
      </c>
      <c r="J285" s="9" cm="1">
        <f t="array" ref="J285">IFERROR(_xlfn.XLOOKUP('01_Input_Raw_Products'!F285,'10_Master_Gem_Types'!A:A,'10_Master_Gem_Types'!N:N),"")</f>
        <v>0</v>
      </c>
      <c r="K285" s="9" cm="1">
        <f t="array" ref="K285">IF('01_Input_Raw_Products'!J285&lt;&gt;"",'01_Input_Raw_Products'!J285,IFERROR(_xlfn.XLOOKUP('01_Input_Raw_Products'!F285,'10_Master_Gem_Types'!A:A,'10_Master_Gem_Types'!E:E),""))</f>
        <v>0</v>
      </c>
      <c r="L285" s="9">
        <f>'01_Input_Raw_Products'!P285</f>
        <v>0</v>
      </c>
      <c r="M285" s="9" cm="1">
        <f t="array" ref="M285">IFERROR(_xlfn.XLOOKUP('01_Input_Raw_Products'!K285,'12_Color_Mapping'!A:A,'12_Color_Mapping'!B:B),IFERROR(_xlfn.XLOOKUP('01_Input_Raw_Products'!F285,'10_Master_Gem_Types'!A:A,'10_Master_Gem_Types'!F:F),""))</f>
        <v>0</v>
      </c>
      <c r="N285" s="9">
        <f>IF(C285="","",IF('01_Input_Raw_Products'!F285&lt;&gt;"",'01_Input_Raw_Products'!F285,'01_Input_Raw_Products'!D285))</f>
        <v>0</v>
      </c>
      <c r="O285" s="9">
        <f>IF(C285="","","Catalog Automation")</f>
        <v>0</v>
      </c>
      <c r="P285" s="9">
        <f>'01_Input_Raw_Products'!U285</f>
        <v>0</v>
      </c>
      <c r="Q285" s="7">
        <f>IF('01_Input_Raw_Products'!O285&lt;&gt;"",'01_Input_Raw_Products'!O285,IF('01_Input_Raw_Products'!N285&lt;&gt;"",'01_Input_Raw_Products'!N285*1.1,""))</f>
        <v>0</v>
      </c>
      <c r="R285" s="9">
        <f>'01_Input_Raw_Products'!S285</f>
        <v>0</v>
      </c>
      <c r="S285" s="9" cm="1">
        <f t="array" ref="S285">IFERROR(_xlfn.XLOOKUP('01_Input_Raw_Products'!F285,'10_Master_Gem_Types'!A:A,'10_Master_Gem_Types'!H:H),"")</f>
        <v>0</v>
      </c>
      <c r="T285" s="8">
        <f>'01_Input_Raw_Products'!Q285</f>
        <v>0</v>
      </c>
      <c r="U285" s="8">
        <f>'01_Input_Raw_Products'!R285</f>
        <v>0</v>
      </c>
      <c r="V285" s="7">
        <f>I285</f>
        <v>0</v>
      </c>
      <c r="W285" s="9" cm="1">
        <f t="array" ref="W285">IF('01_Input_Raw_Products'!G285&lt;&gt;"",'01_Input_Raw_Products'!G285,IFERROR(_xlfn.XLOOKUP('01_Input_Raw_Products'!F285,'10_Master_Gem_Types'!A:A,'10_Master_Gem_Types'!L:L),""))</f>
        <v>0</v>
      </c>
      <c r="X285" s="9" cm="1">
        <f t="array" ref="X285">IFERROR(_xlfn.XLOOKUP('01_Input_Raw_Products'!F285,'10_Master_Gem_Types'!A:A,'10_Master_Gem_Types'!J:J),"")</f>
        <v>0</v>
      </c>
      <c r="Y285" s="9" cm="1">
        <f t="array" ref="Y285">IFERROR(_xlfn.XLOOKUP('01_Input_Raw_Products'!F285,'10_Master_Gem_Types'!A:A,'10_Master_Gem_Types'!I:I),"")</f>
        <v>0</v>
      </c>
      <c r="Z285" s="9" cm="1">
        <f t="array" ref="Z285">IFERROR(_xlfn.XLOOKUP('01_Input_Raw_Products'!L285,'13_Certification_Stickers'!A:A,'13_Certification_Stickers'!C:C),"")</f>
        <v>0</v>
      </c>
      <c r="AA285" s="9" cm="1">
        <f t="array" ref="AA285">IFERROR(_xlfn.XLOOKUP('01_Input_Raw_Products'!S285,'14_Shipping_Rules'!A:A,'14_Shipping_Rules'!B:B),"")</f>
        <v>0</v>
      </c>
      <c r="AB285" s="9" cm="1">
        <f t="array" ref="AB285">IFERROR(_xlfn.XLOOKUP('01_Input_Raw_Products'!D285,'16_Astro_Flags'!A:A,'16_Astro_Flags'!B:B),"")</f>
        <v>0</v>
      </c>
      <c r="AC285" s="9">
        <f>IF(C285="","","Catalog, Search")</f>
        <v>0</v>
      </c>
      <c r="AD285" s="9">
        <f>IF(C285="","",IF(OR(F285="",J285="",M285="",S285="",Y285=""),"Manual Review","Ready"))</f>
        <v>0</v>
      </c>
      <c r="AE285" s="9">
        <f>IF(C285="","",TEXTJOIN("; ",TRUE,IF(F285="","Missing url_key",""),IF(J285="","Missing classification",""),IF(M285="","Missing j_colour",""),IF(S285="","Missing hsn_code",""),IF(Y285="","Missing tax_class_id","")))</f>
        <v>0</v>
      </c>
    </row>
    <row r="286" spans="1:31">
      <c r="A286" s="9">
        <f>IF('01_Input_Raw_Products'!B286&lt;&gt;"",20,"")</f>
        <v>0</v>
      </c>
      <c r="B286" s="9" cm="1">
        <f t="array" ref="B286">IF('01_Input_Raw_Products'!M286&lt;&gt;"",'01_Input_Raw_Products'!M286,IFERROR(_xlfn.XLOOKUP('01_Input_Raw_Products'!F286,'10_Master_Gem_Types'!A:A,'10_Master_Gem_Types'!K:K),""))</f>
        <v>0</v>
      </c>
      <c r="C286" s="9">
        <f>'01_Input_Raw_Products'!B286</f>
        <v>0</v>
      </c>
      <c r="D286" s="9">
        <f>IF(C286="","",TEXT(I286,"0.00")&amp;" Ct "&amp;IF('01_Input_Raw_Products'!F286&lt;&gt;"",'01_Input_Raw_Products'!F286,'01_Input_Raw_Products'!D286)&amp;" "&amp;'01_Input_Raw_Products'!I286)</f>
        <v>0</v>
      </c>
      <c r="E286" s="9">
        <f>IF(C286="","",D286&amp;" | GemPundit")</f>
        <v>0</v>
      </c>
      <c r="F286" s="9" cm="1">
        <f t="array" ref="F286">IF('01_Input_Raw_Products'!X286&lt;&gt;"",'01_Input_Raw_Products'!X286,IFERROR(_xlfn.XLOOKUP('01_Input_Raw_Products'!F286,'10_Master_Gem_Types'!A:A,'10_Master_Gem_Types'!O:O),LOWER(SUBSTITUTE(IF('01_Input_Raw_Products'!F286&lt;&gt;"",'01_Input_Raw_Products'!F286,'01_Input_Raw_Products'!D286)," ","-"))))</f>
        <v>0</v>
      </c>
      <c r="G286" s="9">
        <f>'01_Input_Raw_Products'!C286</f>
        <v>0</v>
      </c>
      <c r="H286" s="9" cm="1">
        <f t="array" ref="H286">IF('01_Input_Raw_Products'!H286&lt;&gt;"",'01_Input_Raw_Products'!H286,IFERROR(_xlfn.XLOOKUP('01_Input_Raw_Products'!F286,'10_Master_Gem_Types'!A:A,'10_Master_Gem_Types'!D:D),""))</f>
        <v>0</v>
      </c>
      <c r="I286" s="7">
        <f>IF('01_Input_Raw_Products'!N286&lt;&gt;"",'01_Input_Raw_Products'!N286,IF('01_Input_Raw_Products'!O286&lt;&gt;"",'01_Input_Raw_Products'!O286*0.91,""))</f>
        <v>0</v>
      </c>
      <c r="J286" s="9" cm="1">
        <f t="array" ref="J286">IFERROR(_xlfn.XLOOKUP('01_Input_Raw_Products'!F286,'10_Master_Gem_Types'!A:A,'10_Master_Gem_Types'!N:N),"")</f>
        <v>0</v>
      </c>
      <c r="K286" s="9" cm="1">
        <f t="array" ref="K286">IF('01_Input_Raw_Products'!J286&lt;&gt;"",'01_Input_Raw_Products'!J286,IFERROR(_xlfn.XLOOKUP('01_Input_Raw_Products'!F286,'10_Master_Gem_Types'!A:A,'10_Master_Gem_Types'!E:E),""))</f>
        <v>0</v>
      </c>
      <c r="L286" s="9">
        <f>'01_Input_Raw_Products'!P286</f>
        <v>0</v>
      </c>
      <c r="M286" s="9" cm="1">
        <f t="array" ref="M286">IFERROR(_xlfn.XLOOKUP('01_Input_Raw_Products'!K286,'12_Color_Mapping'!A:A,'12_Color_Mapping'!B:B),IFERROR(_xlfn.XLOOKUP('01_Input_Raw_Products'!F286,'10_Master_Gem_Types'!A:A,'10_Master_Gem_Types'!F:F),""))</f>
        <v>0</v>
      </c>
      <c r="N286" s="9">
        <f>IF(C286="","",IF('01_Input_Raw_Products'!F286&lt;&gt;"",'01_Input_Raw_Products'!F286,'01_Input_Raw_Products'!D286))</f>
        <v>0</v>
      </c>
      <c r="O286" s="9">
        <f>IF(C286="","","Catalog Automation")</f>
        <v>0</v>
      </c>
      <c r="P286" s="9">
        <f>'01_Input_Raw_Products'!U286</f>
        <v>0</v>
      </c>
      <c r="Q286" s="7">
        <f>IF('01_Input_Raw_Products'!O286&lt;&gt;"",'01_Input_Raw_Products'!O286,IF('01_Input_Raw_Products'!N286&lt;&gt;"",'01_Input_Raw_Products'!N286*1.1,""))</f>
        <v>0</v>
      </c>
      <c r="R286" s="9">
        <f>'01_Input_Raw_Products'!S286</f>
        <v>0</v>
      </c>
      <c r="S286" s="9" cm="1">
        <f t="array" ref="S286">IFERROR(_xlfn.XLOOKUP('01_Input_Raw_Products'!F286,'10_Master_Gem_Types'!A:A,'10_Master_Gem_Types'!H:H),"")</f>
        <v>0</v>
      </c>
      <c r="T286" s="8">
        <f>'01_Input_Raw_Products'!Q286</f>
        <v>0</v>
      </c>
      <c r="U286" s="8">
        <f>'01_Input_Raw_Products'!R286</f>
        <v>0</v>
      </c>
      <c r="V286" s="7">
        <f>I286</f>
        <v>0</v>
      </c>
      <c r="W286" s="9" cm="1">
        <f t="array" ref="W286">IF('01_Input_Raw_Products'!G286&lt;&gt;"",'01_Input_Raw_Products'!G286,IFERROR(_xlfn.XLOOKUP('01_Input_Raw_Products'!F286,'10_Master_Gem_Types'!A:A,'10_Master_Gem_Types'!L:L),""))</f>
        <v>0</v>
      </c>
      <c r="X286" s="9" cm="1">
        <f t="array" ref="X286">IFERROR(_xlfn.XLOOKUP('01_Input_Raw_Products'!F286,'10_Master_Gem_Types'!A:A,'10_Master_Gem_Types'!J:J),"")</f>
        <v>0</v>
      </c>
      <c r="Y286" s="9" cm="1">
        <f t="array" ref="Y286">IFERROR(_xlfn.XLOOKUP('01_Input_Raw_Products'!F286,'10_Master_Gem_Types'!A:A,'10_Master_Gem_Types'!I:I),"")</f>
        <v>0</v>
      </c>
      <c r="Z286" s="9" cm="1">
        <f t="array" ref="Z286">IFERROR(_xlfn.XLOOKUP('01_Input_Raw_Products'!L286,'13_Certification_Stickers'!A:A,'13_Certification_Stickers'!C:C),"")</f>
        <v>0</v>
      </c>
      <c r="AA286" s="9" cm="1">
        <f t="array" ref="AA286">IFERROR(_xlfn.XLOOKUP('01_Input_Raw_Products'!S286,'14_Shipping_Rules'!A:A,'14_Shipping_Rules'!B:B),"")</f>
        <v>0</v>
      </c>
      <c r="AB286" s="9" cm="1">
        <f t="array" ref="AB286">IFERROR(_xlfn.XLOOKUP('01_Input_Raw_Products'!D286,'16_Astro_Flags'!A:A,'16_Astro_Flags'!B:B),"")</f>
        <v>0</v>
      </c>
      <c r="AC286" s="9">
        <f>IF(C286="","","Catalog, Search")</f>
        <v>0</v>
      </c>
      <c r="AD286" s="9">
        <f>IF(C286="","",IF(OR(F286="",J286="",M286="",S286="",Y286=""),"Manual Review","Ready"))</f>
        <v>0</v>
      </c>
      <c r="AE286" s="9">
        <f>IF(C286="","",TEXTJOIN("; ",TRUE,IF(F286="","Missing url_key",""),IF(J286="","Missing classification",""),IF(M286="","Missing j_colour",""),IF(S286="","Missing hsn_code",""),IF(Y286="","Missing tax_class_id","")))</f>
        <v>0</v>
      </c>
    </row>
    <row r="287" spans="1:31">
      <c r="A287" s="9">
        <f>IF('01_Input_Raw_Products'!B287&lt;&gt;"",20,"")</f>
        <v>0</v>
      </c>
      <c r="B287" s="9" cm="1">
        <f t="array" ref="B287">IF('01_Input_Raw_Products'!M287&lt;&gt;"",'01_Input_Raw_Products'!M287,IFERROR(_xlfn.XLOOKUP('01_Input_Raw_Products'!F287,'10_Master_Gem_Types'!A:A,'10_Master_Gem_Types'!K:K),""))</f>
        <v>0</v>
      </c>
      <c r="C287" s="9">
        <f>'01_Input_Raw_Products'!B287</f>
        <v>0</v>
      </c>
      <c r="D287" s="9">
        <f>IF(C287="","",TEXT(I287,"0.00")&amp;" Ct "&amp;IF('01_Input_Raw_Products'!F287&lt;&gt;"",'01_Input_Raw_Products'!F287,'01_Input_Raw_Products'!D287)&amp;" "&amp;'01_Input_Raw_Products'!I287)</f>
        <v>0</v>
      </c>
      <c r="E287" s="9">
        <f>IF(C287="","",D287&amp;" | GemPundit")</f>
        <v>0</v>
      </c>
      <c r="F287" s="9" cm="1">
        <f t="array" ref="F287">IF('01_Input_Raw_Products'!X287&lt;&gt;"",'01_Input_Raw_Products'!X287,IFERROR(_xlfn.XLOOKUP('01_Input_Raw_Products'!F287,'10_Master_Gem_Types'!A:A,'10_Master_Gem_Types'!O:O),LOWER(SUBSTITUTE(IF('01_Input_Raw_Products'!F287&lt;&gt;"",'01_Input_Raw_Products'!F287,'01_Input_Raw_Products'!D287)," ","-"))))</f>
        <v>0</v>
      </c>
      <c r="G287" s="9">
        <f>'01_Input_Raw_Products'!C287</f>
        <v>0</v>
      </c>
      <c r="H287" s="9" cm="1">
        <f t="array" ref="H287">IF('01_Input_Raw_Products'!H287&lt;&gt;"",'01_Input_Raw_Products'!H287,IFERROR(_xlfn.XLOOKUP('01_Input_Raw_Products'!F287,'10_Master_Gem_Types'!A:A,'10_Master_Gem_Types'!D:D),""))</f>
        <v>0</v>
      </c>
      <c r="I287" s="7">
        <f>IF('01_Input_Raw_Products'!N287&lt;&gt;"",'01_Input_Raw_Products'!N287,IF('01_Input_Raw_Products'!O287&lt;&gt;"",'01_Input_Raw_Products'!O287*0.91,""))</f>
        <v>0</v>
      </c>
      <c r="J287" s="9" cm="1">
        <f t="array" ref="J287">IFERROR(_xlfn.XLOOKUP('01_Input_Raw_Products'!F287,'10_Master_Gem_Types'!A:A,'10_Master_Gem_Types'!N:N),"")</f>
        <v>0</v>
      </c>
      <c r="K287" s="9" cm="1">
        <f t="array" ref="K287">IF('01_Input_Raw_Products'!J287&lt;&gt;"",'01_Input_Raw_Products'!J287,IFERROR(_xlfn.XLOOKUP('01_Input_Raw_Products'!F287,'10_Master_Gem_Types'!A:A,'10_Master_Gem_Types'!E:E),""))</f>
        <v>0</v>
      </c>
      <c r="L287" s="9">
        <f>'01_Input_Raw_Products'!P287</f>
        <v>0</v>
      </c>
      <c r="M287" s="9" cm="1">
        <f t="array" ref="M287">IFERROR(_xlfn.XLOOKUP('01_Input_Raw_Products'!K287,'12_Color_Mapping'!A:A,'12_Color_Mapping'!B:B),IFERROR(_xlfn.XLOOKUP('01_Input_Raw_Products'!F287,'10_Master_Gem_Types'!A:A,'10_Master_Gem_Types'!F:F),""))</f>
        <v>0</v>
      </c>
      <c r="N287" s="9">
        <f>IF(C287="","",IF('01_Input_Raw_Products'!F287&lt;&gt;"",'01_Input_Raw_Products'!F287,'01_Input_Raw_Products'!D287))</f>
        <v>0</v>
      </c>
      <c r="O287" s="9">
        <f>IF(C287="","","Catalog Automation")</f>
        <v>0</v>
      </c>
      <c r="P287" s="9">
        <f>'01_Input_Raw_Products'!U287</f>
        <v>0</v>
      </c>
      <c r="Q287" s="7">
        <f>IF('01_Input_Raw_Products'!O287&lt;&gt;"",'01_Input_Raw_Products'!O287,IF('01_Input_Raw_Products'!N287&lt;&gt;"",'01_Input_Raw_Products'!N287*1.1,""))</f>
        <v>0</v>
      </c>
      <c r="R287" s="9">
        <f>'01_Input_Raw_Products'!S287</f>
        <v>0</v>
      </c>
      <c r="S287" s="9" cm="1">
        <f t="array" ref="S287">IFERROR(_xlfn.XLOOKUP('01_Input_Raw_Products'!F287,'10_Master_Gem_Types'!A:A,'10_Master_Gem_Types'!H:H),"")</f>
        <v>0</v>
      </c>
      <c r="T287" s="8">
        <f>'01_Input_Raw_Products'!Q287</f>
        <v>0</v>
      </c>
      <c r="U287" s="8">
        <f>'01_Input_Raw_Products'!R287</f>
        <v>0</v>
      </c>
      <c r="V287" s="7">
        <f>I287</f>
        <v>0</v>
      </c>
      <c r="W287" s="9" cm="1">
        <f t="array" ref="W287">IF('01_Input_Raw_Products'!G287&lt;&gt;"",'01_Input_Raw_Products'!G287,IFERROR(_xlfn.XLOOKUP('01_Input_Raw_Products'!F287,'10_Master_Gem_Types'!A:A,'10_Master_Gem_Types'!L:L),""))</f>
        <v>0</v>
      </c>
      <c r="X287" s="9" cm="1">
        <f t="array" ref="X287">IFERROR(_xlfn.XLOOKUP('01_Input_Raw_Products'!F287,'10_Master_Gem_Types'!A:A,'10_Master_Gem_Types'!J:J),"")</f>
        <v>0</v>
      </c>
      <c r="Y287" s="9" cm="1">
        <f t="array" ref="Y287">IFERROR(_xlfn.XLOOKUP('01_Input_Raw_Products'!F287,'10_Master_Gem_Types'!A:A,'10_Master_Gem_Types'!I:I),"")</f>
        <v>0</v>
      </c>
      <c r="Z287" s="9" cm="1">
        <f t="array" ref="Z287">IFERROR(_xlfn.XLOOKUP('01_Input_Raw_Products'!L287,'13_Certification_Stickers'!A:A,'13_Certification_Stickers'!C:C),"")</f>
        <v>0</v>
      </c>
      <c r="AA287" s="9" cm="1">
        <f t="array" ref="AA287">IFERROR(_xlfn.XLOOKUP('01_Input_Raw_Products'!S287,'14_Shipping_Rules'!A:A,'14_Shipping_Rules'!B:B),"")</f>
        <v>0</v>
      </c>
      <c r="AB287" s="9" cm="1">
        <f t="array" ref="AB287">IFERROR(_xlfn.XLOOKUP('01_Input_Raw_Products'!D287,'16_Astro_Flags'!A:A,'16_Astro_Flags'!B:B),"")</f>
        <v>0</v>
      </c>
      <c r="AC287" s="9">
        <f>IF(C287="","","Catalog, Search")</f>
        <v>0</v>
      </c>
      <c r="AD287" s="9">
        <f>IF(C287="","",IF(OR(F287="",J287="",M287="",S287="",Y287=""),"Manual Review","Ready"))</f>
        <v>0</v>
      </c>
      <c r="AE287" s="9">
        <f>IF(C287="","",TEXTJOIN("; ",TRUE,IF(F287="","Missing url_key",""),IF(J287="","Missing classification",""),IF(M287="","Missing j_colour",""),IF(S287="","Missing hsn_code",""),IF(Y287="","Missing tax_class_id","")))</f>
        <v>0</v>
      </c>
    </row>
    <row r="288" spans="1:31">
      <c r="A288" s="9">
        <f>IF('01_Input_Raw_Products'!B288&lt;&gt;"",20,"")</f>
        <v>0</v>
      </c>
      <c r="B288" s="9" cm="1">
        <f t="array" ref="B288">IF('01_Input_Raw_Products'!M288&lt;&gt;"",'01_Input_Raw_Products'!M288,IFERROR(_xlfn.XLOOKUP('01_Input_Raw_Products'!F288,'10_Master_Gem_Types'!A:A,'10_Master_Gem_Types'!K:K),""))</f>
        <v>0</v>
      </c>
      <c r="C288" s="9">
        <f>'01_Input_Raw_Products'!B288</f>
        <v>0</v>
      </c>
      <c r="D288" s="9">
        <f>IF(C288="","",TEXT(I288,"0.00")&amp;" Ct "&amp;IF('01_Input_Raw_Products'!F288&lt;&gt;"",'01_Input_Raw_Products'!F288,'01_Input_Raw_Products'!D288)&amp;" "&amp;'01_Input_Raw_Products'!I288)</f>
        <v>0</v>
      </c>
      <c r="E288" s="9">
        <f>IF(C288="","",D288&amp;" | GemPundit")</f>
        <v>0</v>
      </c>
      <c r="F288" s="9" cm="1">
        <f t="array" ref="F288">IF('01_Input_Raw_Products'!X288&lt;&gt;"",'01_Input_Raw_Products'!X288,IFERROR(_xlfn.XLOOKUP('01_Input_Raw_Products'!F288,'10_Master_Gem_Types'!A:A,'10_Master_Gem_Types'!O:O),LOWER(SUBSTITUTE(IF('01_Input_Raw_Products'!F288&lt;&gt;"",'01_Input_Raw_Products'!F288,'01_Input_Raw_Products'!D288)," ","-"))))</f>
        <v>0</v>
      </c>
      <c r="G288" s="9">
        <f>'01_Input_Raw_Products'!C288</f>
        <v>0</v>
      </c>
      <c r="H288" s="9" cm="1">
        <f t="array" ref="H288">IF('01_Input_Raw_Products'!H288&lt;&gt;"",'01_Input_Raw_Products'!H288,IFERROR(_xlfn.XLOOKUP('01_Input_Raw_Products'!F288,'10_Master_Gem_Types'!A:A,'10_Master_Gem_Types'!D:D),""))</f>
        <v>0</v>
      </c>
      <c r="I288" s="7">
        <f>IF('01_Input_Raw_Products'!N288&lt;&gt;"",'01_Input_Raw_Products'!N288,IF('01_Input_Raw_Products'!O288&lt;&gt;"",'01_Input_Raw_Products'!O288*0.91,""))</f>
        <v>0</v>
      </c>
      <c r="J288" s="9" cm="1">
        <f t="array" ref="J288">IFERROR(_xlfn.XLOOKUP('01_Input_Raw_Products'!F288,'10_Master_Gem_Types'!A:A,'10_Master_Gem_Types'!N:N),"")</f>
        <v>0</v>
      </c>
      <c r="K288" s="9" cm="1">
        <f t="array" ref="K288">IF('01_Input_Raw_Products'!J288&lt;&gt;"",'01_Input_Raw_Products'!J288,IFERROR(_xlfn.XLOOKUP('01_Input_Raw_Products'!F288,'10_Master_Gem_Types'!A:A,'10_Master_Gem_Types'!E:E),""))</f>
        <v>0</v>
      </c>
      <c r="L288" s="9">
        <f>'01_Input_Raw_Products'!P288</f>
        <v>0</v>
      </c>
      <c r="M288" s="9" cm="1">
        <f t="array" ref="M288">IFERROR(_xlfn.XLOOKUP('01_Input_Raw_Products'!K288,'12_Color_Mapping'!A:A,'12_Color_Mapping'!B:B),IFERROR(_xlfn.XLOOKUP('01_Input_Raw_Products'!F288,'10_Master_Gem_Types'!A:A,'10_Master_Gem_Types'!F:F),""))</f>
        <v>0</v>
      </c>
      <c r="N288" s="9">
        <f>IF(C288="","",IF('01_Input_Raw_Products'!F288&lt;&gt;"",'01_Input_Raw_Products'!F288,'01_Input_Raw_Products'!D288))</f>
        <v>0</v>
      </c>
      <c r="O288" s="9">
        <f>IF(C288="","","Catalog Automation")</f>
        <v>0</v>
      </c>
      <c r="P288" s="9">
        <f>'01_Input_Raw_Products'!U288</f>
        <v>0</v>
      </c>
      <c r="Q288" s="7">
        <f>IF('01_Input_Raw_Products'!O288&lt;&gt;"",'01_Input_Raw_Products'!O288,IF('01_Input_Raw_Products'!N288&lt;&gt;"",'01_Input_Raw_Products'!N288*1.1,""))</f>
        <v>0</v>
      </c>
      <c r="R288" s="9">
        <f>'01_Input_Raw_Products'!S288</f>
        <v>0</v>
      </c>
      <c r="S288" s="9" cm="1">
        <f t="array" ref="S288">IFERROR(_xlfn.XLOOKUP('01_Input_Raw_Products'!F288,'10_Master_Gem_Types'!A:A,'10_Master_Gem_Types'!H:H),"")</f>
        <v>0</v>
      </c>
      <c r="T288" s="8">
        <f>'01_Input_Raw_Products'!Q288</f>
        <v>0</v>
      </c>
      <c r="U288" s="8">
        <f>'01_Input_Raw_Products'!R288</f>
        <v>0</v>
      </c>
      <c r="V288" s="7">
        <f>I288</f>
        <v>0</v>
      </c>
      <c r="W288" s="9" cm="1">
        <f t="array" ref="W288">IF('01_Input_Raw_Products'!G288&lt;&gt;"",'01_Input_Raw_Products'!G288,IFERROR(_xlfn.XLOOKUP('01_Input_Raw_Products'!F288,'10_Master_Gem_Types'!A:A,'10_Master_Gem_Types'!L:L),""))</f>
        <v>0</v>
      </c>
      <c r="X288" s="9" cm="1">
        <f t="array" ref="X288">IFERROR(_xlfn.XLOOKUP('01_Input_Raw_Products'!F288,'10_Master_Gem_Types'!A:A,'10_Master_Gem_Types'!J:J),"")</f>
        <v>0</v>
      </c>
      <c r="Y288" s="9" cm="1">
        <f t="array" ref="Y288">IFERROR(_xlfn.XLOOKUP('01_Input_Raw_Products'!F288,'10_Master_Gem_Types'!A:A,'10_Master_Gem_Types'!I:I),"")</f>
        <v>0</v>
      </c>
      <c r="Z288" s="9" cm="1">
        <f t="array" ref="Z288">IFERROR(_xlfn.XLOOKUP('01_Input_Raw_Products'!L288,'13_Certification_Stickers'!A:A,'13_Certification_Stickers'!C:C),"")</f>
        <v>0</v>
      </c>
      <c r="AA288" s="9" cm="1">
        <f t="array" ref="AA288">IFERROR(_xlfn.XLOOKUP('01_Input_Raw_Products'!S288,'14_Shipping_Rules'!A:A,'14_Shipping_Rules'!B:B),"")</f>
        <v>0</v>
      </c>
      <c r="AB288" s="9" cm="1">
        <f t="array" ref="AB288">IFERROR(_xlfn.XLOOKUP('01_Input_Raw_Products'!D288,'16_Astro_Flags'!A:A,'16_Astro_Flags'!B:B),"")</f>
        <v>0</v>
      </c>
      <c r="AC288" s="9">
        <f>IF(C288="","","Catalog, Search")</f>
        <v>0</v>
      </c>
      <c r="AD288" s="9">
        <f>IF(C288="","",IF(OR(F288="",J288="",M288="",S288="",Y288=""),"Manual Review","Ready"))</f>
        <v>0</v>
      </c>
      <c r="AE288" s="9">
        <f>IF(C288="","",TEXTJOIN("; ",TRUE,IF(F288="","Missing url_key",""),IF(J288="","Missing classification",""),IF(M288="","Missing j_colour",""),IF(S288="","Missing hsn_code",""),IF(Y288="","Missing tax_class_id","")))</f>
        <v>0</v>
      </c>
    </row>
    <row r="289" spans="1:31">
      <c r="A289" s="9">
        <f>IF('01_Input_Raw_Products'!B289&lt;&gt;"",20,"")</f>
        <v>0</v>
      </c>
      <c r="B289" s="9" cm="1">
        <f t="array" ref="B289">IF('01_Input_Raw_Products'!M289&lt;&gt;"",'01_Input_Raw_Products'!M289,IFERROR(_xlfn.XLOOKUP('01_Input_Raw_Products'!F289,'10_Master_Gem_Types'!A:A,'10_Master_Gem_Types'!K:K),""))</f>
        <v>0</v>
      </c>
      <c r="C289" s="9">
        <f>'01_Input_Raw_Products'!B289</f>
        <v>0</v>
      </c>
      <c r="D289" s="9">
        <f>IF(C289="","",TEXT(I289,"0.00")&amp;" Ct "&amp;IF('01_Input_Raw_Products'!F289&lt;&gt;"",'01_Input_Raw_Products'!F289,'01_Input_Raw_Products'!D289)&amp;" "&amp;'01_Input_Raw_Products'!I289)</f>
        <v>0</v>
      </c>
      <c r="E289" s="9">
        <f>IF(C289="","",D289&amp;" | GemPundit")</f>
        <v>0</v>
      </c>
      <c r="F289" s="9" cm="1">
        <f t="array" ref="F289">IF('01_Input_Raw_Products'!X289&lt;&gt;"",'01_Input_Raw_Products'!X289,IFERROR(_xlfn.XLOOKUP('01_Input_Raw_Products'!F289,'10_Master_Gem_Types'!A:A,'10_Master_Gem_Types'!O:O),LOWER(SUBSTITUTE(IF('01_Input_Raw_Products'!F289&lt;&gt;"",'01_Input_Raw_Products'!F289,'01_Input_Raw_Products'!D289)," ","-"))))</f>
        <v>0</v>
      </c>
      <c r="G289" s="9">
        <f>'01_Input_Raw_Products'!C289</f>
        <v>0</v>
      </c>
      <c r="H289" s="9" cm="1">
        <f t="array" ref="H289">IF('01_Input_Raw_Products'!H289&lt;&gt;"",'01_Input_Raw_Products'!H289,IFERROR(_xlfn.XLOOKUP('01_Input_Raw_Products'!F289,'10_Master_Gem_Types'!A:A,'10_Master_Gem_Types'!D:D),""))</f>
        <v>0</v>
      </c>
      <c r="I289" s="7">
        <f>IF('01_Input_Raw_Products'!N289&lt;&gt;"",'01_Input_Raw_Products'!N289,IF('01_Input_Raw_Products'!O289&lt;&gt;"",'01_Input_Raw_Products'!O289*0.91,""))</f>
        <v>0</v>
      </c>
      <c r="J289" s="9" cm="1">
        <f t="array" ref="J289">IFERROR(_xlfn.XLOOKUP('01_Input_Raw_Products'!F289,'10_Master_Gem_Types'!A:A,'10_Master_Gem_Types'!N:N),"")</f>
        <v>0</v>
      </c>
      <c r="K289" s="9" cm="1">
        <f t="array" ref="K289">IF('01_Input_Raw_Products'!J289&lt;&gt;"",'01_Input_Raw_Products'!J289,IFERROR(_xlfn.XLOOKUP('01_Input_Raw_Products'!F289,'10_Master_Gem_Types'!A:A,'10_Master_Gem_Types'!E:E),""))</f>
        <v>0</v>
      </c>
      <c r="L289" s="9">
        <f>'01_Input_Raw_Products'!P289</f>
        <v>0</v>
      </c>
      <c r="M289" s="9" cm="1">
        <f t="array" ref="M289">IFERROR(_xlfn.XLOOKUP('01_Input_Raw_Products'!K289,'12_Color_Mapping'!A:A,'12_Color_Mapping'!B:B),IFERROR(_xlfn.XLOOKUP('01_Input_Raw_Products'!F289,'10_Master_Gem_Types'!A:A,'10_Master_Gem_Types'!F:F),""))</f>
        <v>0</v>
      </c>
      <c r="N289" s="9">
        <f>IF(C289="","",IF('01_Input_Raw_Products'!F289&lt;&gt;"",'01_Input_Raw_Products'!F289,'01_Input_Raw_Products'!D289))</f>
        <v>0</v>
      </c>
      <c r="O289" s="9">
        <f>IF(C289="","","Catalog Automation")</f>
        <v>0</v>
      </c>
      <c r="P289" s="9">
        <f>'01_Input_Raw_Products'!U289</f>
        <v>0</v>
      </c>
      <c r="Q289" s="7">
        <f>IF('01_Input_Raw_Products'!O289&lt;&gt;"",'01_Input_Raw_Products'!O289,IF('01_Input_Raw_Products'!N289&lt;&gt;"",'01_Input_Raw_Products'!N289*1.1,""))</f>
        <v>0</v>
      </c>
      <c r="R289" s="9">
        <f>'01_Input_Raw_Products'!S289</f>
        <v>0</v>
      </c>
      <c r="S289" s="9" cm="1">
        <f t="array" ref="S289">IFERROR(_xlfn.XLOOKUP('01_Input_Raw_Products'!F289,'10_Master_Gem_Types'!A:A,'10_Master_Gem_Types'!H:H),"")</f>
        <v>0</v>
      </c>
      <c r="T289" s="8">
        <f>'01_Input_Raw_Products'!Q289</f>
        <v>0</v>
      </c>
      <c r="U289" s="8">
        <f>'01_Input_Raw_Products'!R289</f>
        <v>0</v>
      </c>
      <c r="V289" s="7">
        <f>I289</f>
        <v>0</v>
      </c>
      <c r="W289" s="9" cm="1">
        <f t="array" ref="W289">IF('01_Input_Raw_Products'!G289&lt;&gt;"",'01_Input_Raw_Products'!G289,IFERROR(_xlfn.XLOOKUP('01_Input_Raw_Products'!F289,'10_Master_Gem_Types'!A:A,'10_Master_Gem_Types'!L:L),""))</f>
        <v>0</v>
      </c>
      <c r="X289" s="9" cm="1">
        <f t="array" ref="X289">IFERROR(_xlfn.XLOOKUP('01_Input_Raw_Products'!F289,'10_Master_Gem_Types'!A:A,'10_Master_Gem_Types'!J:J),"")</f>
        <v>0</v>
      </c>
      <c r="Y289" s="9" cm="1">
        <f t="array" ref="Y289">IFERROR(_xlfn.XLOOKUP('01_Input_Raw_Products'!F289,'10_Master_Gem_Types'!A:A,'10_Master_Gem_Types'!I:I),"")</f>
        <v>0</v>
      </c>
      <c r="Z289" s="9" cm="1">
        <f t="array" ref="Z289">IFERROR(_xlfn.XLOOKUP('01_Input_Raw_Products'!L289,'13_Certification_Stickers'!A:A,'13_Certification_Stickers'!C:C),"")</f>
        <v>0</v>
      </c>
      <c r="AA289" s="9" cm="1">
        <f t="array" ref="AA289">IFERROR(_xlfn.XLOOKUP('01_Input_Raw_Products'!S289,'14_Shipping_Rules'!A:A,'14_Shipping_Rules'!B:B),"")</f>
        <v>0</v>
      </c>
      <c r="AB289" s="9" cm="1">
        <f t="array" ref="AB289">IFERROR(_xlfn.XLOOKUP('01_Input_Raw_Products'!D289,'16_Astro_Flags'!A:A,'16_Astro_Flags'!B:B),"")</f>
        <v>0</v>
      </c>
      <c r="AC289" s="9">
        <f>IF(C289="","","Catalog, Search")</f>
        <v>0</v>
      </c>
      <c r="AD289" s="9">
        <f>IF(C289="","",IF(OR(F289="",J289="",M289="",S289="",Y289=""),"Manual Review","Ready"))</f>
        <v>0</v>
      </c>
      <c r="AE289" s="9">
        <f>IF(C289="","",TEXTJOIN("; ",TRUE,IF(F289="","Missing url_key",""),IF(J289="","Missing classification",""),IF(M289="","Missing j_colour",""),IF(S289="","Missing hsn_code",""),IF(Y289="","Missing tax_class_id","")))</f>
        <v>0</v>
      </c>
    </row>
    <row r="290" spans="1:31">
      <c r="A290" s="9">
        <f>IF('01_Input_Raw_Products'!B290&lt;&gt;"",20,"")</f>
        <v>0</v>
      </c>
      <c r="B290" s="9" cm="1">
        <f t="array" ref="B290">IF('01_Input_Raw_Products'!M290&lt;&gt;"",'01_Input_Raw_Products'!M290,IFERROR(_xlfn.XLOOKUP('01_Input_Raw_Products'!F290,'10_Master_Gem_Types'!A:A,'10_Master_Gem_Types'!K:K),""))</f>
        <v>0</v>
      </c>
      <c r="C290" s="9">
        <f>'01_Input_Raw_Products'!B290</f>
        <v>0</v>
      </c>
      <c r="D290" s="9">
        <f>IF(C290="","",TEXT(I290,"0.00")&amp;" Ct "&amp;IF('01_Input_Raw_Products'!F290&lt;&gt;"",'01_Input_Raw_Products'!F290,'01_Input_Raw_Products'!D290)&amp;" "&amp;'01_Input_Raw_Products'!I290)</f>
        <v>0</v>
      </c>
      <c r="E290" s="9">
        <f>IF(C290="","",D290&amp;" | GemPundit")</f>
        <v>0</v>
      </c>
      <c r="F290" s="9" cm="1">
        <f t="array" ref="F290">IF('01_Input_Raw_Products'!X290&lt;&gt;"",'01_Input_Raw_Products'!X290,IFERROR(_xlfn.XLOOKUP('01_Input_Raw_Products'!F290,'10_Master_Gem_Types'!A:A,'10_Master_Gem_Types'!O:O),LOWER(SUBSTITUTE(IF('01_Input_Raw_Products'!F290&lt;&gt;"",'01_Input_Raw_Products'!F290,'01_Input_Raw_Products'!D290)," ","-"))))</f>
        <v>0</v>
      </c>
      <c r="G290" s="9">
        <f>'01_Input_Raw_Products'!C290</f>
        <v>0</v>
      </c>
      <c r="H290" s="9" cm="1">
        <f t="array" ref="H290">IF('01_Input_Raw_Products'!H290&lt;&gt;"",'01_Input_Raw_Products'!H290,IFERROR(_xlfn.XLOOKUP('01_Input_Raw_Products'!F290,'10_Master_Gem_Types'!A:A,'10_Master_Gem_Types'!D:D),""))</f>
        <v>0</v>
      </c>
      <c r="I290" s="7">
        <f>IF('01_Input_Raw_Products'!N290&lt;&gt;"",'01_Input_Raw_Products'!N290,IF('01_Input_Raw_Products'!O290&lt;&gt;"",'01_Input_Raw_Products'!O290*0.91,""))</f>
        <v>0</v>
      </c>
      <c r="J290" s="9" cm="1">
        <f t="array" ref="J290">IFERROR(_xlfn.XLOOKUP('01_Input_Raw_Products'!F290,'10_Master_Gem_Types'!A:A,'10_Master_Gem_Types'!N:N),"")</f>
        <v>0</v>
      </c>
      <c r="K290" s="9" cm="1">
        <f t="array" ref="K290">IF('01_Input_Raw_Products'!J290&lt;&gt;"",'01_Input_Raw_Products'!J290,IFERROR(_xlfn.XLOOKUP('01_Input_Raw_Products'!F290,'10_Master_Gem_Types'!A:A,'10_Master_Gem_Types'!E:E),""))</f>
        <v>0</v>
      </c>
      <c r="L290" s="9">
        <f>'01_Input_Raw_Products'!P290</f>
        <v>0</v>
      </c>
      <c r="M290" s="9" cm="1">
        <f t="array" ref="M290">IFERROR(_xlfn.XLOOKUP('01_Input_Raw_Products'!K290,'12_Color_Mapping'!A:A,'12_Color_Mapping'!B:B),IFERROR(_xlfn.XLOOKUP('01_Input_Raw_Products'!F290,'10_Master_Gem_Types'!A:A,'10_Master_Gem_Types'!F:F),""))</f>
        <v>0</v>
      </c>
      <c r="N290" s="9">
        <f>IF(C290="","",IF('01_Input_Raw_Products'!F290&lt;&gt;"",'01_Input_Raw_Products'!F290,'01_Input_Raw_Products'!D290))</f>
        <v>0</v>
      </c>
      <c r="O290" s="9">
        <f>IF(C290="","","Catalog Automation")</f>
        <v>0</v>
      </c>
      <c r="P290" s="9">
        <f>'01_Input_Raw_Products'!U290</f>
        <v>0</v>
      </c>
      <c r="Q290" s="7">
        <f>IF('01_Input_Raw_Products'!O290&lt;&gt;"",'01_Input_Raw_Products'!O290,IF('01_Input_Raw_Products'!N290&lt;&gt;"",'01_Input_Raw_Products'!N290*1.1,""))</f>
        <v>0</v>
      </c>
      <c r="R290" s="9">
        <f>'01_Input_Raw_Products'!S290</f>
        <v>0</v>
      </c>
      <c r="S290" s="9" cm="1">
        <f t="array" ref="S290">IFERROR(_xlfn.XLOOKUP('01_Input_Raw_Products'!F290,'10_Master_Gem_Types'!A:A,'10_Master_Gem_Types'!H:H),"")</f>
        <v>0</v>
      </c>
      <c r="T290" s="8">
        <f>'01_Input_Raw_Products'!Q290</f>
        <v>0</v>
      </c>
      <c r="U290" s="8">
        <f>'01_Input_Raw_Products'!R290</f>
        <v>0</v>
      </c>
      <c r="V290" s="7">
        <f>I290</f>
        <v>0</v>
      </c>
      <c r="W290" s="9" cm="1">
        <f t="array" ref="W290">IF('01_Input_Raw_Products'!G290&lt;&gt;"",'01_Input_Raw_Products'!G290,IFERROR(_xlfn.XLOOKUP('01_Input_Raw_Products'!F290,'10_Master_Gem_Types'!A:A,'10_Master_Gem_Types'!L:L),""))</f>
        <v>0</v>
      </c>
      <c r="X290" s="9" cm="1">
        <f t="array" ref="X290">IFERROR(_xlfn.XLOOKUP('01_Input_Raw_Products'!F290,'10_Master_Gem_Types'!A:A,'10_Master_Gem_Types'!J:J),"")</f>
        <v>0</v>
      </c>
      <c r="Y290" s="9" cm="1">
        <f t="array" ref="Y290">IFERROR(_xlfn.XLOOKUP('01_Input_Raw_Products'!F290,'10_Master_Gem_Types'!A:A,'10_Master_Gem_Types'!I:I),"")</f>
        <v>0</v>
      </c>
      <c r="Z290" s="9" cm="1">
        <f t="array" ref="Z290">IFERROR(_xlfn.XLOOKUP('01_Input_Raw_Products'!L290,'13_Certification_Stickers'!A:A,'13_Certification_Stickers'!C:C),"")</f>
        <v>0</v>
      </c>
      <c r="AA290" s="9" cm="1">
        <f t="array" ref="AA290">IFERROR(_xlfn.XLOOKUP('01_Input_Raw_Products'!S290,'14_Shipping_Rules'!A:A,'14_Shipping_Rules'!B:B),"")</f>
        <v>0</v>
      </c>
      <c r="AB290" s="9" cm="1">
        <f t="array" ref="AB290">IFERROR(_xlfn.XLOOKUP('01_Input_Raw_Products'!D290,'16_Astro_Flags'!A:A,'16_Astro_Flags'!B:B),"")</f>
        <v>0</v>
      </c>
      <c r="AC290" s="9">
        <f>IF(C290="","","Catalog, Search")</f>
        <v>0</v>
      </c>
      <c r="AD290" s="9">
        <f>IF(C290="","",IF(OR(F290="",J290="",M290="",S290="",Y290=""),"Manual Review","Ready"))</f>
        <v>0</v>
      </c>
      <c r="AE290" s="9">
        <f>IF(C290="","",TEXTJOIN("; ",TRUE,IF(F290="","Missing url_key",""),IF(J290="","Missing classification",""),IF(M290="","Missing j_colour",""),IF(S290="","Missing hsn_code",""),IF(Y290="","Missing tax_class_id","")))</f>
        <v>0</v>
      </c>
    </row>
    <row r="291" spans="1:31">
      <c r="A291" s="9">
        <f>IF('01_Input_Raw_Products'!B291&lt;&gt;"",20,"")</f>
        <v>0</v>
      </c>
      <c r="B291" s="9" cm="1">
        <f t="array" ref="B291">IF('01_Input_Raw_Products'!M291&lt;&gt;"",'01_Input_Raw_Products'!M291,IFERROR(_xlfn.XLOOKUP('01_Input_Raw_Products'!F291,'10_Master_Gem_Types'!A:A,'10_Master_Gem_Types'!K:K),""))</f>
        <v>0</v>
      </c>
      <c r="C291" s="9">
        <f>'01_Input_Raw_Products'!B291</f>
        <v>0</v>
      </c>
      <c r="D291" s="9">
        <f>IF(C291="","",TEXT(I291,"0.00")&amp;" Ct "&amp;IF('01_Input_Raw_Products'!F291&lt;&gt;"",'01_Input_Raw_Products'!F291,'01_Input_Raw_Products'!D291)&amp;" "&amp;'01_Input_Raw_Products'!I291)</f>
        <v>0</v>
      </c>
      <c r="E291" s="9">
        <f>IF(C291="","",D291&amp;" | GemPundit")</f>
        <v>0</v>
      </c>
      <c r="F291" s="9" cm="1">
        <f t="array" ref="F291">IF('01_Input_Raw_Products'!X291&lt;&gt;"",'01_Input_Raw_Products'!X291,IFERROR(_xlfn.XLOOKUP('01_Input_Raw_Products'!F291,'10_Master_Gem_Types'!A:A,'10_Master_Gem_Types'!O:O),LOWER(SUBSTITUTE(IF('01_Input_Raw_Products'!F291&lt;&gt;"",'01_Input_Raw_Products'!F291,'01_Input_Raw_Products'!D291)," ","-"))))</f>
        <v>0</v>
      </c>
      <c r="G291" s="9">
        <f>'01_Input_Raw_Products'!C291</f>
        <v>0</v>
      </c>
      <c r="H291" s="9" cm="1">
        <f t="array" ref="H291">IF('01_Input_Raw_Products'!H291&lt;&gt;"",'01_Input_Raw_Products'!H291,IFERROR(_xlfn.XLOOKUP('01_Input_Raw_Products'!F291,'10_Master_Gem_Types'!A:A,'10_Master_Gem_Types'!D:D),""))</f>
        <v>0</v>
      </c>
      <c r="I291" s="7">
        <f>IF('01_Input_Raw_Products'!N291&lt;&gt;"",'01_Input_Raw_Products'!N291,IF('01_Input_Raw_Products'!O291&lt;&gt;"",'01_Input_Raw_Products'!O291*0.91,""))</f>
        <v>0</v>
      </c>
      <c r="J291" s="9" cm="1">
        <f t="array" ref="J291">IFERROR(_xlfn.XLOOKUP('01_Input_Raw_Products'!F291,'10_Master_Gem_Types'!A:A,'10_Master_Gem_Types'!N:N),"")</f>
        <v>0</v>
      </c>
      <c r="K291" s="9" cm="1">
        <f t="array" ref="K291">IF('01_Input_Raw_Products'!J291&lt;&gt;"",'01_Input_Raw_Products'!J291,IFERROR(_xlfn.XLOOKUP('01_Input_Raw_Products'!F291,'10_Master_Gem_Types'!A:A,'10_Master_Gem_Types'!E:E),""))</f>
        <v>0</v>
      </c>
      <c r="L291" s="9">
        <f>'01_Input_Raw_Products'!P291</f>
        <v>0</v>
      </c>
      <c r="M291" s="9" cm="1">
        <f t="array" ref="M291">IFERROR(_xlfn.XLOOKUP('01_Input_Raw_Products'!K291,'12_Color_Mapping'!A:A,'12_Color_Mapping'!B:B),IFERROR(_xlfn.XLOOKUP('01_Input_Raw_Products'!F291,'10_Master_Gem_Types'!A:A,'10_Master_Gem_Types'!F:F),""))</f>
        <v>0</v>
      </c>
      <c r="N291" s="9">
        <f>IF(C291="","",IF('01_Input_Raw_Products'!F291&lt;&gt;"",'01_Input_Raw_Products'!F291,'01_Input_Raw_Products'!D291))</f>
        <v>0</v>
      </c>
      <c r="O291" s="9">
        <f>IF(C291="","","Catalog Automation")</f>
        <v>0</v>
      </c>
      <c r="P291" s="9">
        <f>'01_Input_Raw_Products'!U291</f>
        <v>0</v>
      </c>
      <c r="Q291" s="7">
        <f>IF('01_Input_Raw_Products'!O291&lt;&gt;"",'01_Input_Raw_Products'!O291,IF('01_Input_Raw_Products'!N291&lt;&gt;"",'01_Input_Raw_Products'!N291*1.1,""))</f>
        <v>0</v>
      </c>
      <c r="R291" s="9">
        <f>'01_Input_Raw_Products'!S291</f>
        <v>0</v>
      </c>
      <c r="S291" s="9" cm="1">
        <f t="array" ref="S291">IFERROR(_xlfn.XLOOKUP('01_Input_Raw_Products'!F291,'10_Master_Gem_Types'!A:A,'10_Master_Gem_Types'!H:H),"")</f>
        <v>0</v>
      </c>
      <c r="T291" s="8">
        <f>'01_Input_Raw_Products'!Q291</f>
        <v>0</v>
      </c>
      <c r="U291" s="8">
        <f>'01_Input_Raw_Products'!R291</f>
        <v>0</v>
      </c>
      <c r="V291" s="7">
        <f>I291</f>
        <v>0</v>
      </c>
      <c r="W291" s="9" cm="1">
        <f t="array" ref="W291">IF('01_Input_Raw_Products'!G291&lt;&gt;"",'01_Input_Raw_Products'!G291,IFERROR(_xlfn.XLOOKUP('01_Input_Raw_Products'!F291,'10_Master_Gem_Types'!A:A,'10_Master_Gem_Types'!L:L),""))</f>
        <v>0</v>
      </c>
      <c r="X291" s="9" cm="1">
        <f t="array" ref="X291">IFERROR(_xlfn.XLOOKUP('01_Input_Raw_Products'!F291,'10_Master_Gem_Types'!A:A,'10_Master_Gem_Types'!J:J),"")</f>
        <v>0</v>
      </c>
      <c r="Y291" s="9" cm="1">
        <f t="array" ref="Y291">IFERROR(_xlfn.XLOOKUP('01_Input_Raw_Products'!F291,'10_Master_Gem_Types'!A:A,'10_Master_Gem_Types'!I:I),"")</f>
        <v>0</v>
      </c>
      <c r="Z291" s="9" cm="1">
        <f t="array" ref="Z291">IFERROR(_xlfn.XLOOKUP('01_Input_Raw_Products'!L291,'13_Certification_Stickers'!A:A,'13_Certification_Stickers'!C:C),"")</f>
        <v>0</v>
      </c>
      <c r="AA291" s="9" cm="1">
        <f t="array" ref="AA291">IFERROR(_xlfn.XLOOKUP('01_Input_Raw_Products'!S291,'14_Shipping_Rules'!A:A,'14_Shipping_Rules'!B:B),"")</f>
        <v>0</v>
      </c>
      <c r="AB291" s="9" cm="1">
        <f t="array" ref="AB291">IFERROR(_xlfn.XLOOKUP('01_Input_Raw_Products'!D291,'16_Astro_Flags'!A:A,'16_Astro_Flags'!B:B),"")</f>
        <v>0</v>
      </c>
      <c r="AC291" s="9">
        <f>IF(C291="","","Catalog, Search")</f>
        <v>0</v>
      </c>
      <c r="AD291" s="9">
        <f>IF(C291="","",IF(OR(F291="",J291="",M291="",S291="",Y291=""),"Manual Review","Ready"))</f>
        <v>0</v>
      </c>
      <c r="AE291" s="9">
        <f>IF(C291="","",TEXTJOIN("; ",TRUE,IF(F291="","Missing url_key",""),IF(J291="","Missing classification",""),IF(M291="","Missing j_colour",""),IF(S291="","Missing hsn_code",""),IF(Y291="","Missing tax_class_id","")))</f>
        <v>0</v>
      </c>
    </row>
    <row r="292" spans="1:31">
      <c r="A292" s="9">
        <f>IF('01_Input_Raw_Products'!B292&lt;&gt;"",20,"")</f>
        <v>0</v>
      </c>
      <c r="B292" s="9" cm="1">
        <f t="array" ref="B292">IF('01_Input_Raw_Products'!M292&lt;&gt;"",'01_Input_Raw_Products'!M292,IFERROR(_xlfn.XLOOKUP('01_Input_Raw_Products'!F292,'10_Master_Gem_Types'!A:A,'10_Master_Gem_Types'!K:K),""))</f>
        <v>0</v>
      </c>
      <c r="C292" s="9">
        <f>'01_Input_Raw_Products'!B292</f>
        <v>0</v>
      </c>
      <c r="D292" s="9">
        <f>IF(C292="","",TEXT(I292,"0.00")&amp;" Ct "&amp;IF('01_Input_Raw_Products'!F292&lt;&gt;"",'01_Input_Raw_Products'!F292,'01_Input_Raw_Products'!D292)&amp;" "&amp;'01_Input_Raw_Products'!I292)</f>
        <v>0</v>
      </c>
      <c r="E292" s="9">
        <f>IF(C292="","",D292&amp;" | GemPundit")</f>
        <v>0</v>
      </c>
      <c r="F292" s="9" cm="1">
        <f t="array" ref="F292">IF('01_Input_Raw_Products'!X292&lt;&gt;"",'01_Input_Raw_Products'!X292,IFERROR(_xlfn.XLOOKUP('01_Input_Raw_Products'!F292,'10_Master_Gem_Types'!A:A,'10_Master_Gem_Types'!O:O),LOWER(SUBSTITUTE(IF('01_Input_Raw_Products'!F292&lt;&gt;"",'01_Input_Raw_Products'!F292,'01_Input_Raw_Products'!D292)," ","-"))))</f>
        <v>0</v>
      </c>
      <c r="G292" s="9">
        <f>'01_Input_Raw_Products'!C292</f>
        <v>0</v>
      </c>
      <c r="H292" s="9" cm="1">
        <f t="array" ref="H292">IF('01_Input_Raw_Products'!H292&lt;&gt;"",'01_Input_Raw_Products'!H292,IFERROR(_xlfn.XLOOKUP('01_Input_Raw_Products'!F292,'10_Master_Gem_Types'!A:A,'10_Master_Gem_Types'!D:D),""))</f>
        <v>0</v>
      </c>
      <c r="I292" s="7">
        <f>IF('01_Input_Raw_Products'!N292&lt;&gt;"",'01_Input_Raw_Products'!N292,IF('01_Input_Raw_Products'!O292&lt;&gt;"",'01_Input_Raw_Products'!O292*0.91,""))</f>
        <v>0</v>
      </c>
      <c r="J292" s="9" cm="1">
        <f t="array" ref="J292">IFERROR(_xlfn.XLOOKUP('01_Input_Raw_Products'!F292,'10_Master_Gem_Types'!A:A,'10_Master_Gem_Types'!N:N),"")</f>
        <v>0</v>
      </c>
      <c r="K292" s="9" cm="1">
        <f t="array" ref="K292">IF('01_Input_Raw_Products'!J292&lt;&gt;"",'01_Input_Raw_Products'!J292,IFERROR(_xlfn.XLOOKUP('01_Input_Raw_Products'!F292,'10_Master_Gem_Types'!A:A,'10_Master_Gem_Types'!E:E),""))</f>
        <v>0</v>
      </c>
      <c r="L292" s="9">
        <f>'01_Input_Raw_Products'!P292</f>
        <v>0</v>
      </c>
      <c r="M292" s="9" cm="1">
        <f t="array" ref="M292">IFERROR(_xlfn.XLOOKUP('01_Input_Raw_Products'!K292,'12_Color_Mapping'!A:A,'12_Color_Mapping'!B:B),IFERROR(_xlfn.XLOOKUP('01_Input_Raw_Products'!F292,'10_Master_Gem_Types'!A:A,'10_Master_Gem_Types'!F:F),""))</f>
        <v>0</v>
      </c>
      <c r="N292" s="9">
        <f>IF(C292="","",IF('01_Input_Raw_Products'!F292&lt;&gt;"",'01_Input_Raw_Products'!F292,'01_Input_Raw_Products'!D292))</f>
        <v>0</v>
      </c>
      <c r="O292" s="9">
        <f>IF(C292="","","Catalog Automation")</f>
        <v>0</v>
      </c>
      <c r="P292" s="9">
        <f>'01_Input_Raw_Products'!U292</f>
        <v>0</v>
      </c>
      <c r="Q292" s="7">
        <f>IF('01_Input_Raw_Products'!O292&lt;&gt;"",'01_Input_Raw_Products'!O292,IF('01_Input_Raw_Products'!N292&lt;&gt;"",'01_Input_Raw_Products'!N292*1.1,""))</f>
        <v>0</v>
      </c>
      <c r="R292" s="9">
        <f>'01_Input_Raw_Products'!S292</f>
        <v>0</v>
      </c>
      <c r="S292" s="9" cm="1">
        <f t="array" ref="S292">IFERROR(_xlfn.XLOOKUP('01_Input_Raw_Products'!F292,'10_Master_Gem_Types'!A:A,'10_Master_Gem_Types'!H:H),"")</f>
        <v>0</v>
      </c>
      <c r="T292" s="8">
        <f>'01_Input_Raw_Products'!Q292</f>
        <v>0</v>
      </c>
      <c r="U292" s="8">
        <f>'01_Input_Raw_Products'!R292</f>
        <v>0</v>
      </c>
      <c r="V292" s="7">
        <f>I292</f>
        <v>0</v>
      </c>
      <c r="W292" s="9" cm="1">
        <f t="array" ref="W292">IF('01_Input_Raw_Products'!G292&lt;&gt;"",'01_Input_Raw_Products'!G292,IFERROR(_xlfn.XLOOKUP('01_Input_Raw_Products'!F292,'10_Master_Gem_Types'!A:A,'10_Master_Gem_Types'!L:L),""))</f>
        <v>0</v>
      </c>
      <c r="X292" s="9" cm="1">
        <f t="array" ref="X292">IFERROR(_xlfn.XLOOKUP('01_Input_Raw_Products'!F292,'10_Master_Gem_Types'!A:A,'10_Master_Gem_Types'!J:J),"")</f>
        <v>0</v>
      </c>
      <c r="Y292" s="9" cm="1">
        <f t="array" ref="Y292">IFERROR(_xlfn.XLOOKUP('01_Input_Raw_Products'!F292,'10_Master_Gem_Types'!A:A,'10_Master_Gem_Types'!I:I),"")</f>
        <v>0</v>
      </c>
      <c r="Z292" s="9" cm="1">
        <f t="array" ref="Z292">IFERROR(_xlfn.XLOOKUP('01_Input_Raw_Products'!L292,'13_Certification_Stickers'!A:A,'13_Certification_Stickers'!C:C),"")</f>
        <v>0</v>
      </c>
      <c r="AA292" s="9" cm="1">
        <f t="array" ref="AA292">IFERROR(_xlfn.XLOOKUP('01_Input_Raw_Products'!S292,'14_Shipping_Rules'!A:A,'14_Shipping_Rules'!B:B),"")</f>
        <v>0</v>
      </c>
      <c r="AB292" s="9" cm="1">
        <f t="array" ref="AB292">IFERROR(_xlfn.XLOOKUP('01_Input_Raw_Products'!D292,'16_Astro_Flags'!A:A,'16_Astro_Flags'!B:B),"")</f>
        <v>0</v>
      </c>
      <c r="AC292" s="9">
        <f>IF(C292="","","Catalog, Search")</f>
        <v>0</v>
      </c>
      <c r="AD292" s="9">
        <f>IF(C292="","",IF(OR(F292="",J292="",M292="",S292="",Y292=""),"Manual Review","Ready"))</f>
        <v>0</v>
      </c>
      <c r="AE292" s="9">
        <f>IF(C292="","",TEXTJOIN("; ",TRUE,IF(F292="","Missing url_key",""),IF(J292="","Missing classification",""),IF(M292="","Missing j_colour",""),IF(S292="","Missing hsn_code",""),IF(Y292="","Missing tax_class_id","")))</f>
        <v>0</v>
      </c>
    </row>
    <row r="293" spans="1:31">
      <c r="A293" s="9">
        <f>IF('01_Input_Raw_Products'!B293&lt;&gt;"",20,"")</f>
        <v>0</v>
      </c>
      <c r="B293" s="9" cm="1">
        <f t="array" ref="B293">IF('01_Input_Raw_Products'!M293&lt;&gt;"",'01_Input_Raw_Products'!M293,IFERROR(_xlfn.XLOOKUP('01_Input_Raw_Products'!F293,'10_Master_Gem_Types'!A:A,'10_Master_Gem_Types'!K:K),""))</f>
        <v>0</v>
      </c>
      <c r="C293" s="9">
        <f>'01_Input_Raw_Products'!B293</f>
        <v>0</v>
      </c>
      <c r="D293" s="9">
        <f>IF(C293="","",TEXT(I293,"0.00")&amp;" Ct "&amp;IF('01_Input_Raw_Products'!F293&lt;&gt;"",'01_Input_Raw_Products'!F293,'01_Input_Raw_Products'!D293)&amp;" "&amp;'01_Input_Raw_Products'!I293)</f>
        <v>0</v>
      </c>
      <c r="E293" s="9">
        <f>IF(C293="","",D293&amp;" | GemPundit")</f>
        <v>0</v>
      </c>
      <c r="F293" s="9" cm="1">
        <f t="array" ref="F293">IF('01_Input_Raw_Products'!X293&lt;&gt;"",'01_Input_Raw_Products'!X293,IFERROR(_xlfn.XLOOKUP('01_Input_Raw_Products'!F293,'10_Master_Gem_Types'!A:A,'10_Master_Gem_Types'!O:O),LOWER(SUBSTITUTE(IF('01_Input_Raw_Products'!F293&lt;&gt;"",'01_Input_Raw_Products'!F293,'01_Input_Raw_Products'!D293)," ","-"))))</f>
        <v>0</v>
      </c>
      <c r="G293" s="9">
        <f>'01_Input_Raw_Products'!C293</f>
        <v>0</v>
      </c>
      <c r="H293" s="9" cm="1">
        <f t="array" ref="H293">IF('01_Input_Raw_Products'!H293&lt;&gt;"",'01_Input_Raw_Products'!H293,IFERROR(_xlfn.XLOOKUP('01_Input_Raw_Products'!F293,'10_Master_Gem_Types'!A:A,'10_Master_Gem_Types'!D:D),""))</f>
        <v>0</v>
      </c>
      <c r="I293" s="7">
        <f>IF('01_Input_Raw_Products'!N293&lt;&gt;"",'01_Input_Raw_Products'!N293,IF('01_Input_Raw_Products'!O293&lt;&gt;"",'01_Input_Raw_Products'!O293*0.91,""))</f>
        <v>0</v>
      </c>
      <c r="J293" s="9" cm="1">
        <f t="array" ref="J293">IFERROR(_xlfn.XLOOKUP('01_Input_Raw_Products'!F293,'10_Master_Gem_Types'!A:A,'10_Master_Gem_Types'!N:N),"")</f>
        <v>0</v>
      </c>
      <c r="K293" s="9" cm="1">
        <f t="array" ref="K293">IF('01_Input_Raw_Products'!J293&lt;&gt;"",'01_Input_Raw_Products'!J293,IFERROR(_xlfn.XLOOKUP('01_Input_Raw_Products'!F293,'10_Master_Gem_Types'!A:A,'10_Master_Gem_Types'!E:E),""))</f>
        <v>0</v>
      </c>
      <c r="L293" s="9">
        <f>'01_Input_Raw_Products'!P293</f>
        <v>0</v>
      </c>
      <c r="M293" s="9" cm="1">
        <f t="array" ref="M293">IFERROR(_xlfn.XLOOKUP('01_Input_Raw_Products'!K293,'12_Color_Mapping'!A:A,'12_Color_Mapping'!B:B),IFERROR(_xlfn.XLOOKUP('01_Input_Raw_Products'!F293,'10_Master_Gem_Types'!A:A,'10_Master_Gem_Types'!F:F),""))</f>
        <v>0</v>
      </c>
      <c r="N293" s="9">
        <f>IF(C293="","",IF('01_Input_Raw_Products'!F293&lt;&gt;"",'01_Input_Raw_Products'!F293,'01_Input_Raw_Products'!D293))</f>
        <v>0</v>
      </c>
      <c r="O293" s="9">
        <f>IF(C293="","","Catalog Automation")</f>
        <v>0</v>
      </c>
      <c r="P293" s="9">
        <f>'01_Input_Raw_Products'!U293</f>
        <v>0</v>
      </c>
      <c r="Q293" s="7">
        <f>IF('01_Input_Raw_Products'!O293&lt;&gt;"",'01_Input_Raw_Products'!O293,IF('01_Input_Raw_Products'!N293&lt;&gt;"",'01_Input_Raw_Products'!N293*1.1,""))</f>
        <v>0</v>
      </c>
      <c r="R293" s="9">
        <f>'01_Input_Raw_Products'!S293</f>
        <v>0</v>
      </c>
      <c r="S293" s="9" cm="1">
        <f t="array" ref="S293">IFERROR(_xlfn.XLOOKUP('01_Input_Raw_Products'!F293,'10_Master_Gem_Types'!A:A,'10_Master_Gem_Types'!H:H),"")</f>
        <v>0</v>
      </c>
      <c r="T293" s="8">
        <f>'01_Input_Raw_Products'!Q293</f>
        <v>0</v>
      </c>
      <c r="U293" s="8">
        <f>'01_Input_Raw_Products'!R293</f>
        <v>0</v>
      </c>
      <c r="V293" s="7">
        <f>I293</f>
        <v>0</v>
      </c>
      <c r="W293" s="9" cm="1">
        <f t="array" ref="W293">IF('01_Input_Raw_Products'!G293&lt;&gt;"",'01_Input_Raw_Products'!G293,IFERROR(_xlfn.XLOOKUP('01_Input_Raw_Products'!F293,'10_Master_Gem_Types'!A:A,'10_Master_Gem_Types'!L:L),""))</f>
        <v>0</v>
      </c>
      <c r="X293" s="9" cm="1">
        <f t="array" ref="X293">IFERROR(_xlfn.XLOOKUP('01_Input_Raw_Products'!F293,'10_Master_Gem_Types'!A:A,'10_Master_Gem_Types'!J:J),"")</f>
        <v>0</v>
      </c>
      <c r="Y293" s="9" cm="1">
        <f t="array" ref="Y293">IFERROR(_xlfn.XLOOKUP('01_Input_Raw_Products'!F293,'10_Master_Gem_Types'!A:A,'10_Master_Gem_Types'!I:I),"")</f>
        <v>0</v>
      </c>
      <c r="Z293" s="9" cm="1">
        <f t="array" ref="Z293">IFERROR(_xlfn.XLOOKUP('01_Input_Raw_Products'!L293,'13_Certification_Stickers'!A:A,'13_Certification_Stickers'!C:C),"")</f>
        <v>0</v>
      </c>
      <c r="AA293" s="9" cm="1">
        <f t="array" ref="AA293">IFERROR(_xlfn.XLOOKUP('01_Input_Raw_Products'!S293,'14_Shipping_Rules'!A:A,'14_Shipping_Rules'!B:B),"")</f>
        <v>0</v>
      </c>
      <c r="AB293" s="9" cm="1">
        <f t="array" ref="AB293">IFERROR(_xlfn.XLOOKUP('01_Input_Raw_Products'!D293,'16_Astro_Flags'!A:A,'16_Astro_Flags'!B:B),"")</f>
        <v>0</v>
      </c>
      <c r="AC293" s="9">
        <f>IF(C293="","","Catalog, Search")</f>
        <v>0</v>
      </c>
      <c r="AD293" s="9">
        <f>IF(C293="","",IF(OR(F293="",J293="",M293="",S293="",Y293=""),"Manual Review","Ready"))</f>
        <v>0</v>
      </c>
      <c r="AE293" s="9">
        <f>IF(C293="","",TEXTJOIN("; ",TRUE,IF(F293="","Missing url_key",""),IF(J293="","Missing classification",""),IF(M293="","Missing j_colour",""),IF(S293="","Missing hsn_code",""),IF(Y293="","Missing tax_class_id","")))</f>
        <v>0</v>
      </c>
    </row>
    <row r="294" spans="1:31">
      <c r="A294" s="9">
        <f>IF('01_Input_Raw_Products'!B294&lt;&gt;"",20,"")</f>
        <v>0</v>
      </c>
      <c r="B294" s="9" cm="1">
        <f t="array" ref="B294">IF('01_Input_Raw_Products'!M294&lt;&gt;"",'01_Input_Raw_Products'!M294,IFERROR(_xlfn.XLOOKUP('01_Input_Raw_Products'!F294,'10_Master_Gem_Types'!A:A,'10_Master_Gem_Types'!K:K),""))</f>
        <v>0</v>
      </c>
      <c r="C294" s="9">
        <f>'01_Input_Raw_Products'!B294</f>
        <v>0</v>
      </c>
      <c r="D294" s="9">
        <f>IF(C294="","",TEXT(I294,"0.00")&amp;" Ct "&amp;IF('01_Input_Raw_Products'!F294&lt;&gt;"",'01_Input_Raw_Products'!F294,'01_Input_Raw_Products'!D294)&amp;" "&amp;'01_Input_Raw_Products'!I294)</f>
        <v>0</v>
      </c>
      <c r="E294" s="9">
        <f>IF(C294="","",D294&amp;" | GemPundit")</f>
        <v>0</v>
      </c>
      <c r="F294" s="9" cm="1">
        <f t="array" ref="F294">IF('01_Input_Raw_Products'!X294&lt;&gt;"",'01_Input_Raw_Products'!X294,IFERROR(_xlfn.XLOOKUP('01_Input_Raw_Products'!F294,'10_Master_Gem_Types'!A:A,'10_Master_Gem_Types'!O:O),LOWER(SUBSTITUTE(IF('01_Input_Raw_Products'!F294&lt;&gt;"",'01_Input_Raw_Products'!F294,'01_Input_Raw_Products'!D294)," ","-"))))</f>
        <v>0</v>
      </c>
      <c r="G294" s="9">
        <f>'01_Input_Raw_Products'!C294</f>
        <v>0</v>
      </c>
      <c r="H294" s="9" cm="1">
        <f t="array" ref="H294">IF('01_Input_Raw_Products'!H294&lt;&gt;"",'01_Input_Raw_Products'!H294,IFERROR(_xlfn.XLOOKUP('01_Input_Raw_Products'!F294,'10_Master_Gem_Types'!A:A,'10_Master_Gem_Types'!D:D),""))</f>
        <v>0</v>
      </c>
      <c r="I294" s="7">
        <f>IF('01_Input_Raw_Products'!N294&lt;&gt;"",'01_Input_Raw_Products'!N294,IF('01_Input_Raw_Products'!O294&lt;&gt;"",'01_Input_Raw_Products'!O294*0.91,""))</f>
        <v>0</v>
      </c>
      <c r="J294" s="9" cm="1">
        <f t="array" ref="J294">IFERROR(_xlfn.XLOOKUP('01_Input_Raw_Products'!F294,'10_Master_Gem_Types'!A:A,'10_Master_Gem_Types'!N:N),"")</f>
        <v>0</v>
      </c>
      <c r="K294" s="9" cm="1">
        <f t="array" ref="K294">IF('01_Input_Raw_Products'!J294&lt;&gt;"",'01_Input_Raw_Products'!J294,IFERROR(_xlfn.XLOOKUP('01_Input_Raw_Products'!F294,'10_Master_Gem_Types'!A:A,'10_Master_Gem_Types'!E:E),""))</f>
        <v>0</v>
      </c>
      <c r="L294" s="9">
        <f>'01_Input_Raw_Products'!P294</f>
        <v>0</v>
      </c>
      <c r="M294" s="9" cm="1">
        <f t="array" ref="M294">IFERROR(_xlfn.XLOOKUP('01_Input_Raw_Products'!K294,'12_Color_Mapping'!A:A,'12_Color_Mapping'!B:B),IFERROR(_xlfn.XLOOKUP('01_Input_Raw_Products'!F294,'10_Master_Gem_Types'!A:A,'10_Master_Gem_Types'!F:F),""))</f>
        <v>0</v>
      </c>
      <c r="N294" s="9">
        <f>IF(C294="","",IF('01_Input_Raw_Products'!F294&lt;&gt;"",'01_Input_Raw_Products'!F294,'01_Input_Raw_Products'!D294))</f>
        <v>0</v>
      </c>
      <c r="O294" s="9">
        <f>IF(C294="","","Catalog Automation")</f>
        <v>0</v>
      </c>
      <c r="P294" s="9">
        <f>'01_Input_Raw_Products'!U294</f>
        <v>0</v>
      </c>
      <c r="Q294" s="7">
        <f>IF('01_Input_Raw_Products'!O294&lt;&gt;"",'01_Input_Raw_Products'!O294,IF('01_Input_Raw_Products'!N294&lt;&gt;"",'01_Input_Raw_Products'!N294*1.1,""))</f>
        <v>0</v>
      </c>
      <c r="R294" s="9">
        <f>'01_Input_Raw_Products'!S294</f>
        <v>0</v>
      </c>
      <c r="S294" s="9" cm="1">
        <f t="array" ref="S294">IFERROR(_xlfn.XLOOKUP('01_Input_Raw_Products'!F294,'10_Master_Gem_Types'!A:A,'10_Master_Gem_Types'!H:H),"")</f>
        <v>0</v>
      </c>
      <c r="T294" s="8">
        <f>'01_Input_Raw_Products'!Q294</f>
        <v>0</v>
      </c>
      <c r="U294" s="8">
        <f>'01_Input_Raw_Products'!R294</f>
        <v>0</v>
      </c>
      <c r="V294" s="7">
        <f>I294</f>
        <v>0</v>
      </c>
      <c r="W294" s="9" cm="1">
        <f t="array" ref="W294">IF('01_Input_Raw_Products'!G294&lt;&gt;"",'01_Input_Raw_Products'!G294,IFERROR(_xlfn.XLOOKUP('01_Input_Raw_Products'!F294,'10_Master_Gem_Types'!A:A,'10_Master_Gem_Types'!L:L),""))</f>
        <v>0</v>
      </c>
      <c r="X294" s="9" cm="1">
        <f t="array" ref="X294">IFERROR(_xlfn.XLOOKUP('01_Input_Raw_Products'!F294,'10_Master_Gem_Types'!A:A,'10_Master_Gem_Types'!J:J),"")</f>
        <v>0</v>
      </c>
      <c r="Y294" s="9" cm="1">
        <f t="array" ref="Y294">IFERROR(_xlfn.XLOOKUP('01_Input_Raw_Products'!F294,'10_Master_Gem_Types'!A:A,'10_Master_Gem_Types'!I:I),"")</f>
        <v>0</v>
      </c>
      <c r="Z294" s="9" cm="1">
        <f t="array" ref="Z294">IFERROR(_xlfn.XLOOKUP('01_Input_Raw_Products'!L294,'13_Certification_Stickers'!A:A,'13_Certification_Stickers'!C:C),"")</f>
        <v>0</v>
      </c>
      <c r="AA294" s="9" cm="1">
        <f t="array" ref="AA294">IFERROR(_xlfn.XLOOKUP('01_Input_Raw_Products'!S294,'14_Shipping_Rules'!A:A,'14_Shipping_Rules'!B:B),"")</f>
        <v>0</v>
      </c>
      <c r="AB294" s="9" cm="1">
        <f t="array" ref="AB294">IFERROR(_xlfn.XLOOKUP('01_Input_Raw_Products'!D294,'16_Astro_Flags'!A:A,'16_Astro_Flags'!B:B),"")</f>
        <v>0</v>
      </c>
      <c r="AC294" s="9">
        <f>IF(C294="","","Catalog, Search")</f>
        <v>0</v>
      </c>
      <c r="AD294" s="9">
        <f>IF(C294="","",IF(OR(F294="",J294="",M294="",S294="",Y294=""),"Manual Review","Ready"))</f>
        <v>0</v>
      </c>
      <c r="AE294" s="9">
        <f>IF(C294="","",TEXTJOIN("; ",TRUE,IF(F294="","Missing url_key",""),IF(J294="","Missing classification",""),IF(M294="","Missing j_colour",""),IF(S294="","Missing hsn_code",""),IF(Y294="","Missing tax_class_id","")))</f>
        <v>0</v>
      </c>
    </row>
    <row r="295" spans="1:31">
      <c r="A295" s="9">
        <f>IF('01_Input_Raw_Products'!B295&lt;&gt;"",20,"")</f>
        <v>0</v>
      </c>
      <c r="B295" s="9" cm="1">
        <f t="array" ref="B295">IF('01_Input_Raw_Products'!M295&lt;&gt;"",'01_Input_Raw_Products'!M295,IFERROR(_xlfn.XLOOKUP('01_Input_Raw_Products'!F295,'10_Master_Gem_Types'!A:A,'10_Master_Gem_Types'!K:K),""))</f>
        <v>0</v>
      </c>
      <c r="C295" s="9">
        <f>'01_Input_Raw_Products'!B295</f>
        <v>0</v>
      </c>
      <c r="D295" s="9">
        <f>IF(C295="","",TEXT(I295,"0.00")&amp;" Ct "&amp;IF('01_Input_Raw_Products'!F295&lt;&gt;"",'01_Input_Raw_Products'!F295,'01_Input_Raw_Products'!D295)&amp;" "&amp;'01_Input_Raw_Products'!I295)</f>
        <v>0</v>
      </c>
      <c r="E295" s="9">
        <f>IF(C295="","",D295&amp;" | GemPundit")</f>
        <v>0</v>
      </c>
      <c r="F295" s="9" cm="1">
        <f t="array" ref="F295">IF('01_Input_Raw_Products'!X295&lt;&gt;"",'01_Input_Raw_Products'!X295,IFERROR(_xlfn.XLOOKUP('01_Input_Raw_Products'!F295,'10_Master_Gem_Types'!A:A,'10_Master_Gem_Types'!O:O),LOWER(SUBSTITUTE(IF('01_Input_Raw_Products'!F295&lt;&gt;"",'01_Input_Raw_Products'!F295,'01_Input_Raw_Products'!D295)," ","-"))))</f>
        <v>0</v>
      </c>
      <c r="G295" s="9">
        <f>'01_Input_Raw_Products'!C295</f>
        <v>0</v>
      </c>
      <c r="H295" s="9" cm="1">
        <f t="array" ref="H295">IF('01_Input_Raw_Products'!H295&lt;&gt;"",'01_Input_Raw_Products'!H295,IFERROR(_xlfn.XLOOKUP('01_Input_Raw_Products'!F295,'10_Master_Gem_Types'!A:A,'10_Master_Gem_Types'!D:D),""))</f>
        <v>0</v>
      </c>
      <c r="I295" s="7">
        <f>IF('01_Input_Raw_Products'!N295&lt;&gt;"",'01_Input_Raw_Products'!N295,IF('01_Input_Raw_Products'!O295&lt;&gt;"",'01_Input_Raw_Products'!O295*0.91,""))</f>
        <v>0</v>
      </c>
      <c r="J295" s="9" cm="1">
        <f t="array" ref="J295">IFERROR(_xlfn.XLOOKUP('01_Input_Raw_Products'!F295,'10_Master_Gem_Types'!A:A,'10_Master_Gem_Types'!N:N),"")</f>
        <v>0</v>
      </c>
      <c r="K295" s="9" cm="1">
        <f t="array" ref="K295">IF('01_Input_Raw_Products'!J295&lt;&gt;"",'01_Input_Raw_Products'!J295,IFERROR(_xlfn.XLOOKUP('01_Input_Raw_Products'!F295,'10_Master_Gem_Types'!A:A,'10_Master_Gem_Types'!E:E),""))</f>
        <v>0</v>
      </c>
      <c r="L295" s="9">
        <f>'01_Input_Raw_Products'!P295</f>
        <v>0</v>
      </c>
      <c r="M295" s="9" cm="1">
        <f t="array" ref="M295">IFERROR(_xlfn.XLOOKUP('01_Input_Raw_Products'!K295,'12_Color_Mapping'!A:A,'12_Color_Mapping'!B:B),IFERROR(_xlfn.XLOOKUP('01_Input_Raw_Products'!F295,'10_Master_Gem_Types'!A:A,'10_Master_Gem_Types'!F:F),""))</f>
        <v>0</v>
      </c>
      <c r="N295" s="9">
        <f>IF(C295="","",IF('01_Input_Raw_Products'!F295&lt;&gt;"",'01_Input_Raw_Products'!F295,'01_Input_Raw_Products'!D295))</f>
        <v>0</v>
      </c>
      <c r="O295" s="9">
        <f>IF(C295="","","Catalog Automation")</f>
        <v>0</v>
      </c>
      <c r="P295" s="9">
        <f>'01_Input_Raw_Products'!U295</f>
        <v>0</v>
      </c>
      <c r="Q295" s="7">
        <f>IF('01_Input_Raw_Products'!O295&lt;&gt;"",'01_Input_Raw_Products'!O295,IF('01_Input_Raw_Products'!N295&lt;&gt;"",'01_Input_Raw_Products'!N295*1.1,""))</f>
        <v>0</v>
      </c>
      <c r="R295" s="9">
        <f>'01_Input_Raw_Products'!S295</f>
        <v>0</v>
      </c>
      <c r="S295" s="9" cm="1">
        <f t="array" ref="S295">IFERROR(_xlfn.XLOOKUP('01_Input_Raw_Products'!F295,'10_Master_Gem_Types'!A:A,'10_Master_Gem_Types'!H:H),"")</f>
        <v>0</v>
      </c>
      <c r="T295" s="8">
        <f>'01_Input_Raw_Products'!Q295</f>
        <v>0</v>
      </c>
      <c r="U295" s="8">
        <f>'01_Input_Raw_Products'!R295</f>
        <v>0</v>
      </c>
      <c r="V295" s="7">
        <f>I295</f>
        <v>0</v>
      </c>
      <c r="W295" s="9" cm="1">
        <f t="array" ref="W295">IF('01_Input_Raw_Products'!G295&lt;&gt;"",'01_Input_Raw_Products'!G295,IFERROR(_xlfn.XLOOKUP('01_Input_Raw_Products'!F295,'10_Master_Gem_Types'!A:A,'10_Master_Gem_Types'!L:L),""))</f>
        <v>0</v>
      </c>
      <c r="X295" s="9" cm="1">
        <f t="array" ref="X295">IFERROR(_xlfn.XLOOKUP('01_Input_Raw_Products'!F295,'10_Master_Gem_Types'!A:A,'10_Master_Gem_Types'!J:J),"")</f>
        <v>0</v>
      </c>
      <c r="Y295" s="9" cm="1">
        <f t="array" ref="Y295">IFERROR(_xlfn.XLOOKUP('01_Input_Raw_Products'!F295,'10_Master_Gem_Types'!A:A,'10_Master_Gem_Types'!I:I),"")</f>
        <v>0</v>
      </c>
      <c r="Z295" s="9" cm="1">
        <f t="array" ref="Z295">IFERROR(_xlfn.XLOOKUP('01_Input_Raw_Products'!L295,'13_Certification_Stickers'!A:A,'13_Certification_Stickers'!C:C),"")</f>
        <v>0</v>
      </c>
      <c r="AA295" s="9" cm="1">
        <f t="array" ref="AA295">IFERROR(_xlfn.XLOOKUP('01_Input_Raw_Products'!S295,'14_Shipping_Rules'!A:A,'14_Shipping_Rules'!B:B),"")</f>
        <v>0</v>
      </c>
      <c r="AB295" s="9" cm="1">
        <f t="array" ref="AB295">IFERROR(_xlfn.XLOOKUP('01_Input_Raw_Products'!D295,'16_Astro_Flags'!A:A,'16_Astro_Flags'!B:B),"")</f>
        <v>0</v>
      </c>
      <c r="AC295" s="9">
        <f>IF(C295="","","Catalog, Search")</f>
        <v>0</v>
      </c>
      <c r="AD295" s="9">
        <f>IF(C295="","",IF(OR(F295="",J295="",M295="",S295="",Y295=""),"Manual Review","Ready"))</f>
        <v>0</v>
      </c>
      <c r="AE295" s="9">
        <f>IF(C295="","",TEXTJOIN("; ",TRUE,IF(F295="","Missing url_key",""),IF(J295="","Missing classification",""),IF(M295="","Missing j_colour",""),IF(S295="","Missing hsn_code",""),IF(Y295="","Missing tax_class_id","")))</f>
        <v>0</v>
      </c>
    </row>
    <row r="296" spans="1:31">
      <c r="A296" s="9">
        <f>IF('01_Input_Raw_Products'!B296&lt;&gt;"",20,"")</f>
        <v>0</v>
      </c>
      <c r="B296" s="9" cm="1">
        <f t="array" ref="B296">IF('01_Input_Raw_Products'!M296&lt;&gt;"",'01_Input_Raw_Products'!M296,IFERROR(_xlfn.XLOOKUP('01_Input_Raw_Products'!F296,'10_Master_Gem_Types'!A:A,'10_Master_Gem_Types'!K:K),""))</f>
        <v>0</v>
      </c>
      <c r="C296" s="9">
        <f>'01_Input_Raw_Products'!B296</f>
        <v>0</v>
      </c>
      <c r="D296" s="9">
        <f>IF(C296="","",TEXT(I296,"0.00")&amp;" Ct "&amp;IF('01_Input_Raw_Products'!F296&lt;&gt;"",'01_Input_Raw_Products'!F296,'01_Input_Raw_Products'!D296)&amp;" "&amp;'01_Input_Raw_Products'!I296)</f>
        <v>0</v>
      </c>
      <c r="E296" s="9">
        <f>IF(C296="","",D296&amp;" | GemPundit")</f>
        <v>0</v>
      </c>
      <c r="F296" s="9" cm="1">
        <f t="array" ref="F296">IF('01_Input_Raw_Products'!X296&lt;&gt;"",'01_Input_Raw_Products'!X296,IFERROR(_xlfn.XLOOKUP('01_Input_Raw_Products'!F296,'10_Master_Gem_Types'!A:A,'10_Master_Gem_Types'!O:O),LOWER(SUBSTITUTE(IF('01_Input_Raw_Products'!F296&lt;&gt;"",'01_Input_Raw_Products'!F296,'01_Input_Raw_Products'!D296)," ","-"))))</f>
        <v>0</v>
      </c>
      <c r="G296" s="9">
        <f>'01_Input_Raw_Products'!C296</f>
        <v>0</v>
      </c>
      <c r="H296" s="9" cm="1">
        <f t="array" ref="H296">IF('01_Input_Raw_Products'!H296&lt;&gt;"",'01_Input_Raw_Products'!H296,IFERROR(_xlfn.XLOOKUP('01_Input_Raw_Products'!F296,'10_Master_Gem_Types'!A:A,'10_Master_Gem_Types'!D:D),""))</f>
        <v>0</v>
      </c>
      <c r="I296" s="7">
        <f>IF('01_Input_Raw_Products'!N296&lt;&gt;"",'01_Input_Raw_Products'!N296,IF('01_Input_Raw_Products'!O296&lt;&gt;"",'01_Input_Raw_Products'!O296*0.91,""))</f>
        <v>0</v>
      </c>
      <c r="J296" s="9" cm="1">
        <f t="array" ref="J296">IFERROR(_xlfn.XLOOKUP('01_Input_Raw_Products'!F296,'10_Master_Gem_Types'!A:A,'10_Master_Gem_Types'!N:N),"")</f>
        <v>0</v>
      </c>
      <c r="K296" s="9" cm="1">
        <f t="array" ref="K296">IF('01_Input_Raw_Products'!J296&lt;&gt;"",'01_Input_Raw_Products'!J296,IFERROR(_xlfn.XLOOKUP('01_Input_Raw_Products'!F296,'10_Master_Gem_Types'!A:A,'10_Master_Gem_Types'!E:E),""))</f>
        <v>0</v>
      </c>
      <c r="L296" s="9">
        <f>'01_Input_Raw_Products'!P296</f>
        <v>0</v>
      </c>
      <c r="M296" s="9" cm="1">
        <f t="array" ref="M296">IFERROR(_xlfn.XLOOKUP('01_Input_Raw_Products'!K296,'12_Color_Mapping'!A:A,'12_Color_Mapping'!B:B),IFERROR(_xlfn.XLOOKUP('01_Input_Raw_Products'!F296,'10_Master_Gem_Types'!A:A,'10_Master_Gem_Types'!F:F),""))</f>
        <v>0</v>
      </c>
      <c r="N296" s="9">
        <f>IF(C296="","",IF('01_Input_Raw_Products'!F296&lt;&gt;"",'01_Input_Raw_Products'!F296,'01_Input_Raw_Products'!D296))</f>
        <v>0</v>
      </c>
      <c r="O296" s="9">
        <f>IF(C296="","","Catalog Automation")</f>
        <v>0</v>
      </c>
      <c r="P296" s="9">
        <f>'01_Input_Raw_Products'!U296</f>
        <v>0</v>
      </c>
      <c r="Q296" s="7">
        <f>IF('01_Input_Raw_Products'!O296&lt;&gt;"",'01_Input_Raw_Products'!O296,IF('01_Input_Raw_Products'!N296&lt;&gt;"",'01_Input_Raw_Products'!N296*1.1,""))</f>
        <v>0</v>
      </c>
      <c r="R296" s="9">
        <f>'01_Input_Raw_Products'!S296</f>
        <v>0</v>
      </c>
      <c r="S296" s="9" cm="1">
        <f t="array" ref="S296">IFERROR(_xlfn.XLOOKUP('01_Input_Raw_Products'!F296,'10_Master_Gem_Types'!A:A,'10_Master_Gem_Types'!H:H),"")</f>
        <v>0</v>
      </c>
      <c r="T296" s="8">
        <f>'01_Input_Raw_Products'!Q296</f>
        <v>0</v>
      </c>
      <c r="U296" s="8">
        <f>'01_Input_Raw_Products'!R296</f>
        <v>0</v>
      </c>
      <c r="V296" s="7">
        <f>I296</f>
        <v>0</v>
      </c>
      <c r="W296" s="9" cm="1">
        <f t="array" ref="W296">IF('01_Input_Raw_Products'!G296&lt;&gt;"",'01_Input_Raw_Products'!G296,IFERROR(_xlfn.XLOOKUP('01_Input_Raw_Products'!F296,'10_Master_Gem_Types'!A:A,'10_Master_Gem_Types'!L:L),""))</f>
        <v>0</v>
      </c>
      <c r="X296" s="9" cm="1">
        <f t="array" ref="X296">IFERROR(_xlfn.XLOOKUP('01_Input_Raw_Products'!F296,'10_Master_Gem_Types'!A:A,'10_Master_Gem_Types'!J:J),"")</f>
        <v>0</v>
      </c>
      <c r="Y296" s="9" cm="1">
        <f t="array" ref="Y296">IFERROR(_xlfn.XLOOKUP('01_Input_Raw_Products'!F296,'10_Master_Gem_Types'!A:A,'10_Master_Gem_Types'!I:I),"")</f>
        <v>0</v>
      </c>
      <c r="Z296" s="9" cm="1">
        <f t="array" ref="Z296">IFERROR(_xlfn.XLOOKUP('01_Input_Raw_Products'!L296,'13_Certification_Stickers'!A:A,'13_Certification_Stickers'!C:C),"")</f>
        <v>0</v>
      </c>
      <c r="AA296" s="9" cm="1">
        <f t="array" ref="AA296">IFERROR(_xlfn.XLOOKUP('01_Input_Raw_Products'!S296,'14_Shipping_Rules'!A:A,'14_Shipping_Rules'!B:B),"")</f>
        <v>0</v>
      </c>
      <c r="AB296" s="9" cm="1">
        <f t="array" ref="AB296">IFERROR(_xlfn.XLOOKUP('01_Input_Raw_Products'!D296,'16_Astro_Flags'!A:A,'16_Astro_Flags'!B:B),"")</f>
        <v>0</v>
      </c>
      <c r="AC296" s="9">
        <f>IF(C296="","","Catalog, Search")</f>
        <v>0</v>
      </c>
      <c r="AD296" s="9">
        <f>IF(C296="","",IF(OR(F296="",J296="",M296="",S296="",Y296=""),"Manual Review","Ready"))</f>
        <v>0</v>
      </c>
      <c r="AE296" s="9">
        <f>IF(C296="","",TEXTJOIN("; ",TRUE,IF(F296="","Missing url_key",""),IF(J296="","Missing classification",""),IF(M296="","Missing j_colour",""),IF(S296="","Missing hsn_code",""),IF(Y296="","Missing tax_class_id","")))</f>
        <v>0</v>
      </c>
    </row>
    <row r="297" spans="1:31">
      <c r="A297" s="9">
        <f>IF('01_Input_Raw_Products'!B297&lt;&gt;"",20,"")</f>
        <v>0</v>
      </c>
      <c r="B297" s="9" cm="1">
        <f t="array" ref="B297">IF('01_Input_Raw_Products'!M297&lt;&gt;"",'01_Input_Raw_Products'!M297,IFERROR(_xlfn.XLOOKUP('01_Input_Raw_Products'!F297,'10_Master_Gem_Types'!A:A,'10_Master_Gem_Types'!K:K),""))</f>
        <v>0</v>
      </c>
      <c r="C297" s="9">
        <f>'01_Input_Raw_Products'!B297</f>
        <v>0</v>
      </c>
      <c r="D297" s="9">
        <f>IF(C297="","",TEXT(I297,"0.00")&amp;" Ct "&amp;IF('01_Input_Raw_Products'!F297&lt;&gt;"",'01_Input_Raw_Products'!F297,'01_Input_Raw_Products'!D297)&amp;" "&amp;'01_Input_Raw_Products'!I297)</f>
        <v>0</v>
      </c>
      <c r="E297" s="9">
        <f>IF(C297="","",D297&amp;" | GemPundit")</f>
        <v>0</v>
      </c>
      <c r="F297" s="9" cm="1">
        <f t="array" ref="F297">IF('01_Input_Raw_Products'!X297&lt;&gt;"",'01_Input_Raw_Products'!X297,IFERROR(_xlfn.XLOOKUP('01_Input_Raw_Products'!F297,'10_Master_Gem_Types'!A:A,'10_Master_Gem_Types'!O:O),LOWER(SUBSTITUTE(IF('01_Input_Raw_Products'!F297&lt;&gt;"",'01_Input_Raw_Products'!F297,'01_Input_Raw_Products'!D297)," ","-"))))</f>
        <v>0</v>
      </c>
      <c r="G297" s="9">
        <f>'01_Input_Raw_Products'!C297</f>
        <v>0</v>
      </c>
      <c r="H297" s="9" cm="1">
        <f t="array" ref="H297">IF('01_Input_Raw_Products'!H297&lt;&gt;"",'01_Input_Raw_Products'!H297,IFERROR(_xlfn.XLOOKUP('01_Input_Raw_Products'!F297,'10_Master_Gem_Types'!A:A,'10_Master_Gem_Types'!D:D),""))</f>
        <v>0</v>
      </c>
      <c r="I297" s="7">
        <f>IF('01_Input_Raw_Products'!N297&lt;&gt;"",'01_Input_Raw_Products'!N297,IF('01_Input_Raw_Products'!O297&lt;&gt;"",'01_Input_Raw_Products'!O297*0.91,""))</f>
        <v>0</v>
      </c>
      <c r="J297" s="9" cm="1">
        <f t="array" ref="J297">IFERROR(_xlfn.XLOOKUP('01_Input_Raw_Products'!F297,'10_Master_Gem_Types'!A:A,'10_Master_Gem_Types'!N:N),"")</f>
        <v>0</v>
      </c>
      <c r="K297" s="9" cm="1">
        <f t="array" ref="K297">IF('01_Input_Raw_Products'!J297&lt;&gt;"",'01_Input_Raw_Products'!J297,IFERROR(_xlfn.XLOOKUP('01_Input_Raw_Products'!F297,'10_Master_Gem_Types'!A:A,'10_Master_Gem_Types'!E:E),""))</f>
        <v>0</v>
      </c>
      <c r="L297" s="9">
        <f>'01_Input_Raw_Products'!P297</f>
        <v>0</v>
      </c>
      <c r="M297" s="9" cm="1">
        <f t="array" ref="M297">IFERROR(_xlfn.XLOOKUP('01_Input_Raw_Products'!K297,'12_Color_Mapping'!A:A,'12_Color_Mapping'!B:B),IFERROR(_xlfn.XLOOKUP('01_Input_Raw_Products'!F297,'10_Master_Gem_Types'!A:A,'10_Master_Gem_Types'!F:F),""))</f>
        <v>0</v>
      </c>
      <c r="N297" s="9">
        <f>IF(C297="","",IF('01_Input_Raw_Products'!F297&lt;&gt;"",'01_Input_Raw_Products'!F297,'01_Input_Raw_Products'!D297))</f>
        <v>0</v>
      </c>
      <c r="O297" s="9">
        <f>IF(C297="","","Catalog Automation")</f>
        <v>0</v>
      </c>
      <c r="P297" s="9">
        <f>'01_Input_Raw_Products'!U297</f>
        <v>0</v>
      </c>
      <c r="Q297" s="7">
        <f>IF('01_Input_Raw_Products'!O297&lt;&gt;"",'01_Input_Raw_Products'!O297,IF('01_Input_Raw_Products'!N297&lt;&gt;"",'01_Input_Raw_Products'!N297*1.1,""))</f>
        <v>0</v>
      </c>
      <c r="R297" s="9">
        <f>'01_Input_Raw_Products'!S297</f>
        <v>0</v>
      </c>
      <c r="S297" s="9" cm="1">
        <f t="array" ref="S297">IFERROR(_xlfn.XLOOKUP('01_Input_Raw_Products'!F297,'10_Master_Gem_Types'!A:A,'10_Master_Gem_Types'!H:H),"")</f>
        <v>0</v>
      </c>
      <c r="T297" s="8">
        <f>'01_Input_Raw_Products'!Q297</f>
        <v>0</v>
      </c>
      <c r="U297" s="8">
        <f>'01_Input_Raw_Products'!R297</f>
        <v>0</v>
      </c>
      <c r="V297" s="7">
        <f>I297</f>
        <v>0</v>
      </c>
      <c r="W297" s="9" cm="1">
        <f t="array" ref="W297">IF('01_Input_Raw_Products'!G297&lt;&gt;"",'01_Input_Raw_Products'!G297,IFERROR(_xlfn.XLOOKUP('01_Input_Raw_Products'!F297,'10_Master_Gem_Types'!A:A,'10_Master_Gem_Types'!L:L),""))</f>
        <v>0</v>
      </c>
      <c r="X297" s="9" cm="1">
        <f t="array" ref="X297">IFERROR(_xlfn.XLOOKUP('01_Input_Raw_Products'!F297,'10_Master_Gem_Types'!A:A,'10_Master_Gem_Types'!J:J),"")</f>
        <v>0</v>
      </c>
      <c r="Y297" s="9" cm="1">
        <f t="array" ref="Y297">IFERROR(_xlfn.XLOOKUP('01_Input_Raw_Products'!F297,'10_Master_Gem_Types'!A:A,'10_Master_Gem_Types'!I:I),"")</f>
        <v>0</v>
      </c>
      <c r="Z297" s="9" cm="1">
        <f t="array" ref="Z297">IFERROR(_xlfn.XLOOKUP('01_Input_Raw_Products'!L297,'13_Certification_Stickers'!A:A,'13_Certification_Stickers'!C:C),"")</f>
        <v>0</v>
      </c>
      <c r="AA297" s="9" cm="1">
        <f t="array" ref="AA297">IFERROR(_xlfn.XLOOKUP('01_Input_Raw_Products'!S297,'14_Shipping_Rules'!A:A,'14_Shipping_Rules'!B:B),"")</f>
        <v>0</v>
      </c>
      <c r="AB297" s="9" cm="1">
        <f t="array" ref="AB297">IFERROR(_xlfn.XLOOKUP('01_Input_Raw_Products'!D297,'16_Astro_Flags'!A:A,'16_Astro_Flags'!B:B),"")</f>
        <v>0</v>
      </c>
      <c r="AC297" s="9">
        <f>IF(C297="","","Catalog, Search")</f>
        <v>0</v>
      </c>
      <c r="AD297" s="9">
        <f>IF(C297="","",IF(OR(F297="",J297="",M297="",S297="",Y297=""),"Manual Review","Ready"))</f>
        <v>0</v>
      </c>
      <c r="AE297" s="9">
        <f>IF(C297="","",TEXTJOIN("; ",TRUE,IF(F297="","Missing url_key",""),IF(J297="","Missing classification",""),IF(M297="","Missing j_colour",""),IF(S297="","Missing hsn_code",""),IF(Y297="","Missing tax_class_id","")))</f>
        <v>0</v>
      </c>
    </row>
    <row r="298" spans="1:31">
      <c r="A298" s="9">
        <f>IF('01_Input_Raw_Products'!B298&lt;&gt;"",20,"")</f>
        <v>0</v>
      </c>
      <c r="B298" s="9" cm="1">
        <f t="array" ref="B298">IF('01_Input_Raw_Products'!M298&lt;&gt;"",'01_Input_Raw_Products'!M298,IFERROR(_xlfn.XLOOKUP('01_Input_Raw_Products'!F298,'10_Master_Gem_Types'!A:A,'10_Master_Gem_Types'!K:K),""))</f>
        <v>0</v>
      </c>
      <c r="C298" s="9">
        <f>'01_Input_Raw_Products'!B298</f>
        <v>0</v>
      </c>
      <c r="D298" s="9">
        <f>IF(C298="","",TEXT(I298,"0.00")&amp;" Ct "&amp;IF('01_Input_Raw_Products'!F298&lt;&gt;"",'01_Input_Raw_Products'!F298,'01_Input_Raw_Products'!D298)&amp;" "&amp;'01_Input_Raw_Products'!I298)</f>
        <v>0</v>
      </c>
      <c r="E298" s="9">
        <f>IF(C298="","",D298&amp;" | GemPundit")</f>
        <v>0</v>
      </c>
      <c r="F298" s="9" cm="1">
        <f t="array" ref="F298">IF('01_Input_Raw_Products'!X298&lt;&gt;"",'01_Input_Raw_Products'!X298,IFERROR(_xlfn.XLOOKUP('01_Input_Raw_Products'!F298,'10_Master_Gem_Types'!A:A,'10_Master_Gem_Types'!O:O),LOWER(SUBSTITUTE(IF('01_Input_Raw_Products'!F298&lt;&gt;"",'01_Input_Raw_Products'!F298,'01_Input_Raw_Products'!D298)," ","-"))))</f>
        <v>0</v>
      </c>
      <c r="G298" s="9">
        <f>'01_Input_Raw_Products'!C298</f>
        <v>0</v>
      </c>
      <c r="H298" s="9" cm="1">
        <f t="array" ref="H298">IF('01_Input_Raw_Products'!H298&lt;&gt;"",'01_Input_Raw_Products'!H298,IFERROR(_xlfn.XLOOKUP('01_Input_Raw_Products'!F298,'10_Master_Gem_Types'!A:A,'10_Master_Gem_Types'!D:D),""))</f>
        <v>0</v>
      </c>
      <c r="I298" s="7">
        <f>IF('01_Input_Raw_Products'!N298&lt;&gt;"",'01_Input_Raw_Products'!N298,IF('01_Input_Raw_Products'!O298&lt;&gt;"",'01_Input_Raw_Products'!O298*0.91,""))</f>
        <v>0</v>
      </c>
      <c r="J298" s="9" cm="1">
        <f t="array" ref="J298">IFERROR(_xlfn.XLOOKUP('01_Input_Raw_Products'!F298,'10_Master_Gem_Types'!A:A,'10_Master_Gem_Types'!N:N),"")</f>
        <v>0</v>
      </c>
      <c r="K298" s="9" cm="1">
        <f t="array" ref="K298">IF('01_Input_Raw_Products'!J298&lt;&gt;"",'01_Input_Raw_Products'!J298,IFERROR(_xlfn.XLOOKUP('01_Input_Raw_Products'!F298,'10_Master_Gem_Types'!A:A,'10_Master_Gem_Types'!E:E),""))</f>
        <v>0</v>
      </c>
      <c r="L298" s="9">
        <f>'01_Input_Raw_Products'!P298</f>
        <v>0</v>
      </c>
      <c r="M298" s="9" cm="1">
        <f t="array" ref="M298">IFERROR(_xlfn.XLOOKUP('01_Input_Raw_Products'!K298,'12_Color_Mapping'!A:A,'12_Color_Mapping'!B:B),IFERROR(_xlfn.XLOOKUP('01_Input_Raw_Products'!F298,'10_Master_Gem_Types'!A:A,'10_Master_Gem_Types'!F:F),""))</f>
        <v>0</v>
      </c>
      <c r="N298" s="9">
        <f>IF(C298="","",IF('01_Input_Raw_Products'!F298&lt;&gt;"",'01_Input_Raw_Products'!F298,'01_Input_Raw_Products'!D298))</f>
        <v>0</v>
      </c>
      <c r="O298" s="9">
        <f>IF(C298="","","Catalog Automation")</f>
        <v>0</v>
      </c>
      <c r="P298" s="9">
        <f>'01_Input_Raw_Products'!U298</f>
        <v>0</v>
      </c>
      <c r="Q298" s="7">
        <f>IF('01_Input_Raw_Products'!O298&lt;&gt;"",'01_Input_Raw_Products'!O298,IF('01_Input_Raw_Products'!N298&lt;&gt;"",'01_Input_Raw_Products'!N298*1.1,""))</f>
        <v>0</v>
      </c>
      <c r="R298" s="9">
        <f>'01_Input_Raw_Products'!S298</f>
        <v>0</v>
      </c>
      <c r="S298" s="9" cm="1">
        <f t="array" ref="S298">IFERROR(_xlfn.XLOOKUP('01_Input_Raw_Products'!F298,'10_Master_Gem_Types'!A:A,'10_Master_Gem_Types'!H:H),"")</f>
        <v>0</v>
      </c>
      <c r="T298" s="8">
        <f>'01_Input_Raw_Products'!Q298</f>
        <v>0</v>
      </c>
      <c r="U298" s="8">
        <f>'01_Input_Raw_Products'!R298</f>
        <v>0</v>
      </c>
      <c r="V298" s="7">
        <f>I298</f>
        <v>0</v>
      </c>
      <c r="W298" s="9" cm="1">
        <f t="array" ref="W298">IF('01_Input_Raw_Products'!G298&lt;&gt;"",'01_Input_Raw_Products'!G298,IFERROR(_xlfn.XLOOKUP('01_Input_Raw_Products'!F298,'10_Master_Gem_Types'!A:A,'10_Master_Gem_Types'!L:L),""))</f>
        <v>0</v>
      </c>
      <c r="X298" s="9" cm="1">
        <f t="array" ref="X298">IFERROR(_xlfn.XLOOKUP('01_Input_Raw_Products'!F298,'10_Master_Gem_Types'!A:A,'10_Master_Gem_Types'!J:J),"")</f>
        <v>0</v>
      </c>
      <c r="Y298" s="9" cm="1">
        <f t="array" ref="Y298">IFERROR(_xlfn.XLOOKUP('01_Input_Raw_Products'!F298,'10_Master_Gem_Types'!A:A,'10_Master_Gem_Types'!I:I),"")</f>
        <v>0</v>
      </c>
      <c r="Z298" s="9" cm="1">
        <f t="array" ref="Z298">IFERROR(_xlfn.XLOOKUP('01_Input_Raw_Products'!L298,'13_Certification_Stickers'!A:A,'13_Certification_Stickers'!C:C),"")</f>
        <v>0</v>
      </c>
      <c r="AA298" s="9" cm="1">
        <f t="array" ref="AA298">IFERROR(_xlfn.XLOOKUP('01_Input_Raw_Products'!S298,'14_Shipping_Rules'!A:A,'14_Shipping_Rules'!B:B),"")</f>
        <v>0</v>
      </c>
      <c r="AB298" s="9" cm="1">
        <f t="array" ref="AB298">IFERROR(_xlfn.XLOOKUP('01_Input_Raw_Products'!D298,'16_Astro_Flags'!A:A,'16_Astro_Flags'!B:B),"")</f>
        <v>0</v>
      </c>
      <c r="AC298" s="9">
        <f>IF(C298="","","Catalog, Search")</f>
        <v>0</v>
      </c>
      <c r="AD298" s="9">
        <f>IF(C298="","",IF(OR(F298="",J298="",M298="",S298="",Y298=""),"Manual Review","Ready"))</f>
        <v>0</v>
      </c>
      <c r="AE298" s="9">
        <f>IF(C298="","",TEXTJOIN("; ",TRUE,IF(F298="","Missing url_key",""),IF(J298="","Missing classification",""),IF(M298="","Missing j_colour",""),IF(S298="","Missing hsn_code",""),IF(Y298="","Missing tax_class_id","")))</f>
        <v>0</v>
      </c>
    </row>
    <row r="299" spans="1:31">
      <c r="A299" s="9">
        <f>IF('01_Input_Raw_Products'!B299&lt;&gt;"",20,"")</f>
        <v>0</v>
      </c>
      <c r="B299" s="9" cm="1">
        <f t="array" ref="B299">IF('01_Input_Raw_Products'!M299&lt;&gt;"",'01_Input_Raw_Products'!M299,IFERROR(_xlfn.XLOOKUP('01_Input_Raw_Products'!F299,'10_Master_Gem_Types'!A:A,'10_Master_Gem_Types'!K:K),""))</f>
        <v>0</v>
      </c>
      <c r="C299" s="9">
        <f>'01_Input_Raw_Products'!B299</f>
        <v>0</v>
      </c>
      <c r="D299" s="9">
        <f>IF(C299="","",TEXT(I299,"0.00")&amp;" Ct "&amp;IF('01_Input_Raw_Products'!F299&lt;&gt;"",'01_Input_Raw_Products'!F299,'01_Input_Raw_Products'!D299)&amp;" "&amp;'01_Input_Raw_Products'!I299)</f>
        <v>0</v>
      </c>
      <c r="E299" s="9">
        <f>IF(C299="","",D299&amp;" | GemPundit")</f>
        <v>0</v>
      </c>
      <c r="F299" s="9" cm="1">
        <f t="array" ref="F299">IF('01_Input_Raw_Products'!X299&lt;&gt;"",'01_Input_Raw_Products'!X299,IFERROR(_xlfn.XLOOKUP('01_Input_Raw_Products'!F299,'10_Master_Gem_Types'!A:A,'10_Master_Gem_Types'!O:O),LOWER(SUBSTITUTE(IF('01_Input_Raw_Products'!F299&lt;&gt;"",'01_Input_Raw_Products'!F299,'01_Input_Raw_Products'!D299)," ","-"))))</f>
        <v>0</v>
      </c>
      <c r="G299" s="9">
        <f>'01_Input_Raw_Products'!C299</f>
        <v>0</v>
      </c>
      <c r="H299" s="9" cm="1">
        <f t="array" ref="H299">IF('01_Input_Raw_Products'!H299&lt;&gt;"",'01_Input_Raw_Products'!H299,IFERROR(_xlfn.XLOOKUP('01_Input_Raw_Products'!F299,'10_Master_Gem_Types'!A:A,'10_Master_Gem_Types'!D:D),""))</f>
        <v>0</v>
      </c>
      <c r="I299" s="7">
        <f>IF('01_Input_Raw_Products'!N299&lt;&gt;"",'01_Input_Raw_Products'!N299,IF('01_Input_Raw_Products'!O299&lt;&gt;"",'01_Input_Raw_Products'!O299*0.91,""))</f>
        <v>0</v>
      </c>
      <c r="J299" s="9" cm="1">
        <f t="array" ref="J299">IFERROR(_xlfn.XLOOKUP('01_Input_Raw_Products'!F299,'10_Master_Gem_Types'!A:A,'10_Master_Gem_Types'!N:N),"")</f>
        <v>0</v>
      </c>
      <c r="K299" s="9" cm="1">
        <f t="array" ref="K299">IF('01_Input_Raw_Products'!J299&lt;&gt;"",'01_Input_Raw_Products'!J299,IFERROR(_xlfn.XLOOKUP('01_Input_Raw_Products'!F299,'10_Master_Gem_Types'!A:A,'10_Master_Gem_Types'!E:E),""))</f>
        <v>0</v>
      </c>
      <c r="L299" s="9">
        <f>'01_Input_Raw_Products'!P299</f>
        <v>0</v>
      </c>
      <c r="M299" s="9" cm="1">
        <f t="array" ref="M299">IFERROR(_xlfn.XLOOKUP('01_Input_Raw_Products'!K299,'12_Color_Mapping'!A:A,'12_Color_Mapping'!B:B),IFERROR(_xlfn.XLOOKUP('01_Input_Raw_Products'!F299,'10_Master_Gem_Types'!A:A,'10_Master_Gem_Types'!F:F),""))</f>
        <v>0</v>
      </c>
      <c r="N299" s="9">
        <f>IF(C299="","",IF('01_Input_Raw_Products'!F299&lt;&gt;"",'01_Input_Raw_Products'!F299,'01_Input_Raw_Products'!D299))</f>
        <v>0</v>
      </c>
      <c r="O299" s="9">
        <f>IF(C299="","","Catalog Automation")</f>
        <v>0</v>
      </c>
      <c r="P299" s="9">
        <f>'01_Input_Raw_Products'!U299</f>
        <v>0</v>
      </c>
      <c r="Q299" s="7">
        <f>IF('01_Input_Raw_Products'!O299&lt;&gt;"",'01_Input_Raw_Products'!O299,IF('01_Input_Raw_Products'!N299&lt;&gt;"",'01_Input_Raw_Products'!N299*1.1,""))</f>
        <v>0</v>
      </c>
      <c r="R299" s="9">
        <f>'01_Input_Raw_Products'!S299</f>
        <v>0</v>
      </c>
      <c r="S299" s="9" cm="1">
        <f t="array" ref="S299">IFERROR(_xlfn.XLOOKUP('01_Input_Raw_Products'!F299,'10_Master_Gem_Types'!A:A,'10_Master_Gem_Types'!H:H),"")</f>
        <v>0</v>
      </c>
      <c r="T299" s="8">
        <f>'01_Input_Raw_Products'!Q299</f>
        <v>0</v>
      </c>
      <c r="U299" s="8">
        <f>'01_Input_Raw_Products'!R299</f>
        <v>0</v>
      </c>
      <c r="V299" s="7">
        <f>I299</f>
        <v>0</v>
      </c>
      <c r="W299" s="9" cm="1">
        <f t="array" ref="W299">IF('01_Input_Raw_Products'!G299&lt;&gt;"",'01_Input_Raw_Products'!G299,IFERROR(_xlfn.XLOOKUP('01_Input_Raw_Products'!F299,'10_Master_Gem_Types'!A:A,'10_Master_Gem_Types'!L:L),""))</f>
        <v>0</v>
      </c>
      <c r="X299" s="9" cm="1">
        <f t="array" ref="X299">IFERROR(_xlfn.XLOOKUP('01_Input_Raw_Products'!F299,'10_Master_Gem_Types'!A:A,'10_Master_Gem_Types'!J:J),"")</f>
        <v>0</v>
      </c>
      <c r="Y299" s="9" cm="1">
        <f t="array" ref="Y299">IFERROR(_xlfn.XLOOKUP('01_Input_Raw_Products'!F299,'10_Master_Gem_Types'!A:A,'10_Master_Gem_Types'!I:I),"")</f>
        <v>0</v>
      </c>
      <c r="Z299" s="9" cm="1">
        <f t="array" ref="Z299">IFERROR(_xlfn.XLOOKUP('01_Input_Raw_Products'!L299,'13_Certification_Stickers'!A:A,'13_Certification_Stickers'!C:C),"")</f>
        <v>0</v>
      </c>
      <c r="AA299" s="9" cm="1">
        <f t="array" ref="AA299">IFERROR(_xlfn.XLOOKUP('01_Input_Raw_Products'!S299,'14_Shipping_Rules'!A:A,'14_Shipping_Rules'!B:B),"")</f>
        <v>0</v>
      </c>
      <c r="AB299" s="9" cm="1">
        <f t="array" ref="AB299">IFERROR(_xlfn.XLOOKUP('01_Input_Raw_Products'!D299,'16_Astro_Flags'!A:A,'16_Astro_Flags'!B:B),"")</f>
        <v>0</v>
      </c>
      <c r="AC299" s="9">
        <f>IF(C299="","","Catalog, Search")</f>
        <v>0</v>
      </c>
      <c r="AD299" s="9">
        <f>IF(C299="","",IF(OR(F299="",J299="",M299="",S299="",Y299=""),"Manual Review","Ready"))</f>
        <v>0</v>
      </c>
      <c r="AE299" s="9">
        <f>IF(C299="","",TEXTJOIN("; ",TRUE,IF(F299="","Missing url_key",""),IF(J299="","Missing classification",""),IF(M299="","Missing j_colour",""),IF(S299="","Missing hsn_code",""),IF(Y299="","Missing tax_class_id","")))</f>
        <v>0</v>
      </c>
    </row>
    <row r="300" spans="1:31">
      <c r="A300" s="9">
        <f>IF('01_Input_Raw_Products'!B300&lt;&gt;"",20,"")</f>
        <v>0</v>
      </c>
      <c r="B300" s="9" cm="1">
        <f t="array" ref="B300">IF('01_Input_Raw_Products'!M300&lt;&gt;"",'01_Input_Raw_Products'!M300,IFERROR(_xlfn.XLOOKUP('01_Input_Raw_Products'!F300,'10_Master_Gem_Types'!A:A,'10_Master_Gem_Types'!K:K),""))</f>
        <v>0</v>
      </c>
      <c r="C300" s="9">
        <f>'01_Input_Raw_Products'!B300</f>
        <v>0</v>
      </c>
      <c r="D300" s="9">
        <f>IF(C300="","",TEXT(I300,"0.00")&amp;" Ct "&amp;IF('01_Input_Raw_Products'!F300&lt;&gt;"",'01_Input_Raw_Products'!F300,'01_Input_Raw_Products'!D300)&amp;" "&amp;'01_Input_Raw_Products'!I300)</f>
        <v>0</v>
      </c>
      <c r="E300" s="9">
        <f>IF(C300="","",D300&amp;" | GemPundit")</f>
        <v>0</v>
      </c>
      <c r="F300" s="9" cm="1">
        <f t="array" ref="F300">IF('01_Input_Raw_Products'!X300&lt;&gt;"",'01_Input_Raw_Products'!X300,IFERROR(_xlfn.XLOOKUP('01_Input_Raw_Products'!F300,'10_Master_Gem_Types'!A:A,'10_Master_Gem_Types'!O:O),LOWER(SUBSTITUTE(IF('01_Input_Raw_Products'!F300&lt;&gt;"",'01_Input_Raw_Products'!F300,'01_Input_Raw_Products'!D300)," ","-"))))</f>
        <v>0</v>
      </c>
      <c r="G300" s="9">
        <f>'01_Input_Raw_Products'!C300</f>
        <v>0</v>
      </c>
      <c r="H300" s="9" cm="1">
        <f t="array" ref="H300">IF('01_Input_Raw_Products'!H300&lt;&gt;"",'01_Input_Raw_Products'!H300,IFERROR(_xlfn.XLOOKUP('01_Input_Raw_Products'!F300,'10_Master_Gem_Types'!A:A,'10_Master_Gem_Types'!D:D),""))</f>
        <v>0</v>
      </c>
      <c r="I300" s="7">
        <f>IF('01_Input_Raw_Products'!N300&lt;&gt;"",'01_Input_Raw_Products'!N300,IF('01_Input_Raw_Products'!O300&lt;&gt;"",'01_Input_Raw_Products'!O300*0.91,""))</f>
        <v>0</v>
      </c>
      <c r="J300" s="9" cm="1">
        <f t="array" ref="J300">IFERROR(_xlfn.XLOOKUP('01_Input_Raw_Products'!F300,'10_Master_Gem_Types'!A:A,'10_Master_Gem_Types'!N:N),"")</f>
        <v>0</v>
      </c>
      <c r="K300" s="9" cm="1">
        <f t="array" ref="K300">IF('01_Input_Raw_Products'!J300&lt;&gt;"",'01_Input_Raw_Products'!J300,IFERROR(_xlfn.XLOOKUP('01_Input_Raw_Products'!F300,'10_Master_Gem_Types'!A:A,'10_Master_Gem_Types'!E:E),""))</f>
        <v>0</v>
      </c>
      <c r="L300" s="9">
        <f>'01_Input_Raw_Products'!P300</f>
        <v>0</v>
      </c>
      <c r="M300" s="9" cm="1">
        <f t="array" ref="M300">IFERROR(_xlfn.XLOOKUP('01_Input_Raw_Products'!K300,'12_Color_Mapping'!A:A,'12_Color_Mapping'!B:B),IFERROR(_xlfn.XLOOKUP('01_Input_Raw_Products'!F300,'10_Master_Gem_Types'!A:A,'10_Master_Gem_Types'!F:F),""))</f>
        <v>0</v>
      </c>
      <c r="N300" s="9">
        <f>IF(C300="","",IF('01_Input_Raw_Products'!F300&lt;&gt;"",'01_Input_Raw_Products'!F300,'01_Input_Raw_Products'!D300))</f>
        <v>0</v>
      </c>
      <c r="O300" s="9">
        <f>IF(C300="","","Catalog Automation")</f>
        <v>0</v>
      </c>
      <c r="P300" s="9">
        <f>'01_Input_Raw_Products'!U300</f>
        <v>0</v>
      </c>
      <c r="Q300" s="7">
        <f>IF('01_Input_Raw_Products'!O300&lt;&gt;"",'01_Input_Raw_Products'!O300,IF('01_Input_Raw_Products'!N300&lt;&gt;"",'01_Input_Raw_Products'!N300*1.1,""))</f>
        <v>0</v>
      </c>
      <c r="R300" s="9">
        <f>'01_Input_Raw_Products'!S300</f>
        <v>0</v>
      </c>
      <c r="S300" s="9" cm="1">
        <f t="array" ref="S300">IFERROR(_xlfn.XLOOKUP('01_Input_Raw_Products'!F300,'10_Master_Gem_Types'!A:A,'10_Master_Gem_Types'!H:H),"")</f>
        <v>0</v>
      </c>
      <c r="T300" s="8">
        <f>'01_Input_Raw_Products'!Q300</f>
        <v>0</v>
      </c>
      <c r="U300" s="8">
        <f>'01_Input_Raw_Products'!R300</f>
        <v>0</v>
      </c>
      <c r="V300" s="7">
        <f>I300</f>
        <v>0</v>
      </c>
      <c r="W300" s="9" cm="1">
        <f t="array" ref="W300">IF('01_Input_Raw_Products'!G300&lt;&gt;"",'01_Input_Raw_Products'!G300,IFERROR(_xlfn.XLOOKUP('01_Input_Raw_Products'!F300,'10_Master_Gem_Types'!A:A,'10_Master_Gem_Types'!L:L),""))</f>
        <v>0</v>
      </c>
      <c r="X300" s="9" cm="1">
        <f t="array" ref="X300">IFERROR(_xlfn.XLOOKUP('01_Input_Raw_Products'!F300,'10_Master_Gem_Types'!A:A,'10_Master_Gem_Types'!J:J),"")</f>
        <v>0</v>
      </c>
      <c r="Y300" s="9" cm="1">
        <f t="array" ref="Y300">IFERROR(_xlfn.XLOOKUP('01_Input_Raw_Products'!F300,'10_Master_Gem_Types'!A:A,'10_Master_Gem_Types'!I:I),"")</f>
        <v>0</v>
      </c>
      <c r="Z300" s="9" cm="1">
        <f t="array" ref="Z300">IFERROR(_xlfn.XLOOKUP('01_Input_Raw_Products'!L300,'13_Certification_Stickers'!A:A,'13_Certification_Stickers'!C:C),"")</f>
        <v>0</v>
      </c>
      <c r="AA300" s="9" cm="1">
        <f t="array" ref="AA300">IFERROR(_xlfn.XLOOKUP('01_Input_Raw_Products'!S300,'14_Shipping_Rules'!A:A,'14_Shipping_Rules'!B:B),"")</f>
        <v>0</v>
      </c>
      <c r="AB300" s="9" cm="1">
        <f t="array" ref="AB300">IFERROR(_xlfn.XLOOKUP('01_Input_Raw_Products'!D300,'16_Astro_Flags'!A:A,'16_Astro_Flags'!B:B),"")</f>
        <v>0</v>
      </c>
      <c r="AC300" s="9">
        <f>IF(C300="","","Catalog, Search")</f>
        <v>0</v>
      </c>
      <c r="AD300" s="9">
        <f>IF(C300="","",IF(OR(F300="",J300="",M300="",S300="",Y300=""),"Manual Review","Ready"))</f>
        <v>0</v>
      </c>
      <c r="AE300" s="9">
        <f>IF(C300="","",TEXTJOIN("; ",TRUE,IF(F300="","Missing url_key",""),IF(J300="","Missing classification",""),IF(M300="","Missing j_colour",""),IF(S300="","Missing hsn_code",""),IF(Y300="","Missing tax_class_id","")))</f>
        <v>0</v>
      </c>
    </row>
    <row r="301" spans="1:31">
      <c r="A301" s="9">
        <f>IF('01_Input_Raw_Products'!B301&lt;&gt;"",20,"")</f>
        <v>0</v>
      </c>
      <c r="B301" s="9" cm="1">
        <f t="array" ref="B301">IF('01_Input_Raw_Products'!M301&lt;&gt;"",'01_Input_Raw_Products'!M301,IFERROR(_xlfn.XLOOKUP('01_Input_Raw_Products'!F301,'10_Master_Gem_Types'!A:A,'10_Master_Gem_Types'!K:K),""))</f>
        <v>0</v>
      </c>
      <c r="C301" s="9">
        <f>'01_Input_Raw_Products'!B301</f>
        <v>0</v>
      </c>
      <c r="D301" s="9">
        <f>IF(C301="","",TEXT(I301,"0.00")&amp;" Ct "&amp;IF('01_Input_Raw_Products'!F301&lt;&gt;"",'01_Input_Raw_Products'!F301,'01_Input_Raw_Products'!D301)&amp;" "&amp;'01_Input_Raw_Products'!I301)</f>
        <v>0</v>
      </c>
      <c r="E301" s="9">
        <f>IF(C301="","",D301&amp;" | GemPundit")</f>
        <v>0</v>
      </c>
      <c r="F301" s="9" cm="1">
        <f t="array" ref="F301">IF('01_Input_Raw_Products'!X301&lt;&gt;"",'01_Input_Raw_Products'!X301,IFERROR(_xlfn.XLOOKUP('01_Input_Raw_Products'!F301,'10_Master_Gem_Types'!A:A,'10_Master_Gem_Types'!O:O),LOWER(SUBSTITUTE(IF('01_Input_Raw_Products'!F301&lt;&gt;"",'01_Input_Raw_Products'!F301,'01_Input_Raw_Products'!D301)," ","-"))))</f>
        <v>0</v>
      </c>
      <c r="G301" s="9">
        <f>'01_Input_Raw_Products'!C301</f>
        <v>0</v>
      </c>
      <c r="H301" s="9" cm="1">
        <f t="array" ref="H301">IF('01_Input_Raw_Products'!H301&lt;&gt;"",'01_Input_Raw_Products'!H301,IFERROR(_xlfn.XLOOKUP('01_Input_Raw_Products'!F301,'10_Master_Gem_Types'!A:A,'10_Master_Gem_Types'!D:D),""))</f>
        <v>0</v>
      </c>
      <c r="I301" s="7">
        <f>IF('01_Input_Raw_Products'!N301&lt;&gt;"",'01_Input_Raw_Products'!N301,IF('01_Input_Raw_Products'!O301&lt;&gt;"",'01_Input_Raw_Products'!O301*0.91,""))</f>
        <v>0</v>
      </c>
      <c r="J301" s="9" cm="1">
        <f t="array" ref="J301">IFERROR(_xlfn.XLOOKUP('01_Input_Raw_Products'!F301,'10_Master_Gem_Types'!A:A,'10_Master_Gem_Types'!N:N),"")</f>
        <v>0</v>
      </c>
      <c r="K301" s="9" cm="1">
        <f t="array" ref="K301">IF('01_Input_Raw_Products'!J301&lt;&gt;"",'01_Input_Raw_Products'!J301,IFERROR(_xlfn.XLOOKUP('01_Input_Raw_Products'!F301,'10_Master_Gem_Types'!A:A,'10_Master_Gem_Types'!E:E),""))</f>
        <v>0</v>
      </c>
      <c r="L301" s="9">
        <f>'01_Input_Raw_Products'!P301</f>
        <v>0</v>
      </c>
      <c r="M301" s="9" cm="1">
        <f t="array" ref="M301">IFERROR(_xlfn.XLOOKUP('01_Input_Raw_Products'!K301,'12_Color_Mapping'!A:A,'12_Color_Mapping'!B:B),IFERROR(_xlfn.XLOOKUP('01_Input_Raw_Products'!F301,'10_Master_Gem_Types'!A:A,'10_Master_Gem_Types'!F:F),""))</f>
        <v>0</v>
      </c>
      <c r="N301" s="9">
        <f>IF(C301="","",IF('01_Input_Raw_Products'!F301&lt;&gt;"",'01_Input_Raw_Products'!F301,'01_Input_Raw_Products'!D301))</f>
        <v>0</v>
      </c>
      <c r="O301" s="9">
        <f>IF(C301="","","Catalog Automation")</f>
        <v>0</v>
      </c>
      <c r="P301" s="9">
        <f>'01_Input_Raw_Products'!U301</f>
        <v>0</v>
      </c>
      <c r="Q301" s="7">
        <f>IF('01_Input_Raw_Products'!O301&lt;&gt;"",'01_Input_Raw_Products'!O301,IF('01_Input_Raw_Products'!N301&lt;&gt;"",'01_Input_Raw_Products'!N301*1.1,""))</f>
        <v>0</v>
      </c>
      <c r="R301" s="9">
        <f>'01_Input_Raw_Products'!S301</f>
        <v>0</v>
      </c>
      <c r="S301" s="9" cm="1">
        <f t="array" ref="S301">IFERROR(_xlfn.XLOOKUP('01_Input_Raw_Products'!F301,'10_Master_Gem_Types'!A:A,'10_Master_Gem_Types'!H:H),"")</f>
        <v>0</v>
      </c>
      <c r="T301" s="8">
        <f>'01_Input_Raw_Products'!Q301</f>
        <v>0</v>
      </c>
      <c r="U301" s="8">
        <f>'01_Input_Raw_Products'!R301</f>
        <v>0</v>
      </c>
      <c r="V301" s="7">
        <f>I301</f>
        <v>0</v>
      </c>
      <c r="W301" s="9" cm="1">
        <f t="array" ref="W301">IF('01_Input_Raw_Products'!G301&lt;&gt;"",'01_Input_Raw_Products'!G301,IFERROR(_xlfn.XLOOKUP('01_Input_Raw_Products'!F301,'10_Master_Gem_Types'!A:A,'10_Master_Gem_Types'!L:L),""))</f>
        <v>0</v>
      </c>
      <c r="X301" s="9" cm="1">
        <f t="array" ref="X301">IFERROR(_xlfn.XLOOKUP('01_Input_Raw_Products'!F301,'10_Master_Gem_Types'!A:A,'10_Master_Gem_Types'!J:J),"")</f>
        <v>0</v>
      </c>
      <c r="Y301" s="9" cm="1">
        <f t="array" ref="Y301">IFERROR(_xlfn.XLOOKUP('01_Input_Raw_Products'!F301,'10_Master_Gem_Types'!A:A,'10_Master_Gem_Types'!I:I),"")</f>
        <v>0</v>
      </c>
      <c r="Z301" s="9" cm="1">
        <f t="array" ref="Z301">IFERROR(_xlfn.XLOOKUP('01_Input_Raw_Products'!L301,'13_Certification_Stickers'!A:A,'13_Certification_Stickers'!C:C),"")</f>
        <v>0</v>
      </c>
      <c r="AA301" s="9" cm="1">
        <f t="array" ref="AA301">IFERROR(_xlfn.XLOOKUP('01_Input_Raw_Products'!S301,'14_Shipping_Rules'!A:A,'14_Shipping_Rules'!B:B),"")</f>
        <v>0</v>
      </c>
      <c r="AB301" s="9" cm="1">
        <f t="array" ref="AB301">IFERROR(_xlfn.XLOOKUP('01_Input_Raw_Products'!D301,'16_Astro_Flags'!A:A,'16_Astro_Flags'!B:B),"")</f>
        <v>0</v>
      </c>
      <c r="AC301" s="9">
        <f>IF(C301="","","Catalog, Search")</f>
        <v>0</v>
      </c>
      <c r="AD301" s="9">
        <f>IF(C301="","",IF(OR(F301="",J301="",M301="",S301="",Y301=""),"Manual Review","Ready"))</f>
        <v>0</v>
      </c>
      <c r="AE301" s="9">
        <f>IF(C301="","",TEXTJOIN("; ",TRUE,IF(F301="","Missing url_key",""),IF(J301="","Missing classification",""),IF(M301="","Missing j_colour",""),IF(S301="","Missing hsn_code",""),IF(Y301="","Missing tax_class_id","")))</f>
        <v>0</v>
      </c>
    </row>
    <row r="302" spans="1:31">
      <c r="A302" s="9">
        <f>IF('01_Input_Raw_Products'!B302&lt;&gt;"",20,"")</f>
        <v>0</v>
      </c>
      <c r="B302" s="9" cm="1">
        <f t="array" ref="B302">IF('01_Input_Raw_Products'!M302&lt;&gt;"",'01_Input_Raw_Products'!M302,IFERROR(_xlfn.XLOOKUP('01_Input_Raw_Products'!F302,'10_Master_Gem_Types'!A:A,'10_Master_Gem_Types'!K:K),""))</f>
        <v>0</v>
      </c>
      <c r="C302" s="9">
        <f>'01_Input_Raw_Products'!B302</f>
        <v>0</v>
      </c>
      <c r="D302" s="9">
        <f>IF(C302="","",TEXT(I302,"0.00")&amp;" Ct "&amp;IF('01_Input_Raw_Products'!F302&lt;&gt;"",'01_Input_Raw_Products'!F302,'01_Input_Raw_Products'!D302)&amp;" "&amp;'01_Input_Raw_Products'!I302)</f>
        <v>0</v>
      </c>
      <c r="E302" s="9">
        <f>IF(C302="","",D302&amp;" | GemPundit")</f>
        <v>0</v>
      </c>
      <c r="F302" s="9" cm="1">
        <f t="array" ref="F302">IF('01_Input_Raw_Products'!X302&lt;&gt;"",'01_Input_Raw_Products'!X302,IFERROR(_xlfn.XLOOKUP('01_Input_Raw_Products'!F302,'10_Master_Gem_Types'!A:A,'10_Master_Gem_Types'!O:O),LOWER(SUBSTITUTE(IF('01_Input_Raw_Products'!F302&lt;&gt;"",'01_Input_Raw_Products'!F302,'01_Input_Raw_Products'!D302)," ","-"))))</f>
        <v>0</v>
      </c>
      <c r="G302" s="9">
        <f>'01_Input_Raw_Products'!C302</f>
        <v>0</v>
      </c>
      <c r="H302" s="9" cm="1">
        <f t="array" ref="H302">IF('01_Input_Raw_Products'!H302&lt;&gt;"",'01_Input_Raw_Products'!H302,IFERROR(_xlfn.XLOOKUP('01_Input_Raw_Products'!F302,'10_Master_Gem_Types'!A:A,'10_Master_Gem_Types'!D:D),""))</f>
        <v>0</v>
      </c>
      <c r="I302" s="7">
        <f>IF('01_Input_Raw_Products'!N302&lt;&gt;"",'01_Input_Raw_Products'!N302,IF('01_Input_Raw_Products'!O302&lt;&gt;"",'01_Input_Raw_Products'!O302*0.91,""))</f>
        <v>0</v>
      </c>
      <c r="J302" s="9" cm="1">
        <f t="array" ref="J302">IFERROR(_xlfn.XLOOKUP('01_Input_Raw_Products'!F302,'10_Master_Gem_Types'!A:A,'10_Master_Gem_Types'!N:N),"")</f>
        <v>0</v>
      </c>
      <c r="K302" s="9" cm="1">
        <f t="array" ref="K302">IF('01_Input_Raw_Products'!J302&lt;&gt;"",'01_Input_Raw_Products'!J302,IFERROR(_xlfn.XLOOKUP('01_Input_Raw_Products'!F302,'10_Master_Gem_Types'!A:A,'10_Master_Gem_Types'!E:E),""))</f>
        <v>0</v>
      </c>
      <c r="L302" s="9">
        <f>'01_Input_Raw_Products'!P302</f>
        <v>0</v>
      </c>
      <c r="M302" s="9" cm="1">
        <f t="array" ref="M302">IFERROR(_xlfn.XLOOKUP('01_Input_Raw_Products'!K302,'12_Color_Mapping'!A:A,'12_Color_Mapping'!B:B),IFERROR(_xlfn.XLOOKUP('01_Input_Raw_Products'!F302,'10_Master_Gem_Types'!A:A,'10_Master_Gem_Types'!F:F),""))</f>
        <v>0</v>
      </c>
      <c r="N302" s="9">
        <f>IF(C302="","",IF('01_Input_Raw_Products'!F302&lt;&gt;"",'01_Input_Raw_Products'!F302,'01_Input_Raw_Products'!D302))</f>
        <v>0</v>
      </c>
      <c r="O302" s="9">
        <f>IF(C302="","","Catalog Automation")</f>
        <v>0</v>
      </c>
      <c r="P302" s="9">
        <f>'01_Input_Raw_Products'!U302</f>
        <v>0</v>
      </c>
      <c r="Q302" s="7">
        <f>IF('01_Input_Raw_Products'!O302&lt;&gt;"",'01_Input_Raw_Products'!O302,IF('01_Input_Raw_Products'!N302&lt;&gt;"",'01_Input_Raw_Products'!N302*1.1,""))</f>
        <v>0</v>
      </c>
      <c r="R302" s="9">
        <f>'01_Input_Raw_Products'!S302</f>
        <v>0</v>
      </c>
      <c r="S302" s="9" cm="1">
        <f t="array" ref="S302">IFERROR(_xlfn.XLOOKUP('01_Input_Raw_Products'!F302,'10_Master_Gem_Types'!A:A,'10_Master_Gem_Types'!H:H),"")</f>
        <v>0</v>
      </c>
      <c r="T302" s="8">
        <f>'01_Input_Raw_Products'!Q302</f>
        <v>0</v>
      </c>
      <c r="U302" s="8">
        <f>'01_Input_Raw_Products'!R302</f>
        <v>0</v>
      </c>
      <c r="V302" s="7">
        <f>I302</f>
        <v>0</v>
      </c>
      <c r="W302" s="9" cm="1">
        <f t="array" ref="W302">IF('01_Input_Raw_Products'!G302&lt;&gt;"",'01_Input_Raw_Products'!G302,IFERROR(_xlfn.XLOOKUP('01_Input_Raw_Products'!F302,'10_Master_Gem_Types'!A:A,'10_Master_Gem_Types'!L:L),""))</f>
        <v>0</v>
      </c>
      <c r="X302" s="9" cm="1">
        <f t="array" ref="X302">IFERROR(_xlfn.XLOOKUP('01_Input_Raw_Products'!F302,'10_Master_Gem_Types'!A:A,'10_Master_Gem_Types'!J:J),"")</f>
        <v>0</v>
      </c>
      <c r="Y302" s="9" cm="1">
        <f t="array" ref="Y302">IFERROR(_xlfn.XLOOKUP('01_Input_Raw_Products'!F302,'10_Master_Gem_Types'!A:A,'10_Master_Gem_Types'!I:I),"")</f>
        <v>0</v>
      </c>
      <c r="Z302" s="9" cm="1">
        <f t="array" ref="Z302">IFERROR(_xlfn.XLOOKUP('01_Input_Raw_Products'!L302,'13_Certification_Stickers'!A:A,'13_Certification_Stickers'!C:C),"")</f>
        <v>0</v>
      </c>
      <c r="AA302" s="9" cm="1">
        <f t="array" ref="AA302">IFERROR(_xlfn.XLOOKUP('01_Input_Raw_Products'!S302,'14_Shipping_Rules'!A:A,'14_Shipping_Rules'!B:B),"")</f>
        <v>0</v>
      </c>
      <c r="AB302" s="9" cm="1">
        <f t="array" ref="AB302">IFERROR(_xlfn.XLOOKUP('01_Input_Raw_Products'!D302,'16_Astro_Flags'!A:A,'16_Astro_Flags'!B:B),"")</f>
        <v>0</v>
      </c>
      <c r="AC302" s="9">
        <f>IF(C302="","","Catalog, Search")</f>
        <v>0</v>
      </c>
      <c r="AD302" s="9">
        <f>IF(C302="","",IF(OR(F302="",J302="",M302="",S302="",Y302=""),"Manual Review","Ready"))</f>
        <v>0</v>
      </c>
      <c r="AE302" s="9">
        <f>IF(C302="","",TEXTJOIN("; ",TRUE,IF(F302="","Missing url_key",""),IF(J302="","Missing classification",""),IF(M302="","Missing j_colour",""),IF(S302="","Missing hsn_code",""),IF(Y302="","Missing tax_class_id","")))</f>
        <v>0</v>
      </c>
    </row>
    <row r="303" spans="1:31">
      <c r="A303" s="9">
        <f>IF('01_Input_Raw_Products'!B303&lt;&gt;"",20,"")</f>
        <v>0</v>
      </c>
      <c r="B303" s="9" cm="1">
        <f t="array" ref="B303">IF('01_Input_Raw_Products'!M303&lt;&gt;"",'01_Input_Raw_Products'!M303,IFERROR(_xlfn.XLOOKUP('01_Input_Raw_Products'!F303,'10_Master_Gem_Types'!A:A,'10_Master_Gem_Types'!K:K),""))</f>
        <v>0</v>
      </c>
      <c r="C303" s="9">
        <f>'01_Input_Raw_Products'!B303</f>
        <v>0</v>
      </c>
      <c r="D303" s="9">
        <f>IF(C303="","",TEXT(I303,"0.00")&amp;" Ct "&amp;IF('01_Input_Raw_Products'!F303&lt;&gt;"",'01_Input_Raw_Products'!F303,'01_Input_Raw_Products'!D303)&amp;" "&amp;'01_Input_Raw_Products'!I303)</f>
        <v>0</v>
      </c>
      <c r="E303" s="9">
        <f>IF(C303="","",D303&amp;" | GemPundit")</f>
        <v>0</v>
      </c>
      <c r="F303" s="9" cm="1">
        <f t="array" ref="F303">IF('01_Input_Raw_Products'!X303&lt;&gt;"",'01_Input_Raw_Products'!X303,IFERROR(_xlfn.XLOOKUP('01_Input_Raw_Products'!F303,'10_Master_Gem_Types'!A:A,'10_Master_Gem_Types'!O:O),LOWER(SUBSTITUTE(IF('01_Input_Raw_Products'!F303&lt;&gt;"",'01_Input_Raw_Products'!F303,'01_Input_Raw_Products'!D303)," ","-"))))</f>
        <v>0</v>
      </c>
      <c r="G303" s="9">
        <f>'01_Input_Raw_Products'!C303</f>
        <v>0</v>
      </c>
      <c r="H303" s="9" cm="1">
        <f t="array" ref="H303">IF('01_Input_Raw_Products'!H303&lt;&gt;"",'01_Input_Raw_Products'!H303,IFERROR(_xlfn.XLOOKUP('01_Input_Raw_Products'!F303,'10_Master_Gem_Types'!A:A,'10_Master_Gem_Types'!D:D),""))</f>
        <v>0</v>
      </c>
      <c r="I303" s="7">
        <f>IF('01_Input_Raw_Products'!N303&lt;&gt;"",'01_Input_Raw_Products'!N303,IF('01_Input_Raw_Products'!O303&lt;&gt;"",'01_Input_Raw_Products'!O303*0.91,""))</f>
        <v>0</v>
      </c>
      <c r="J303" s="9" cm="1">
        <f t="array" ref="J303">IFERROR(_xlfn.XLOOKUP('01_Input_Raw_Products'!F303,'10_Master_Gem_Types'!A:A,'10_Master_Gem_Types'!N:N),"")</f>
        <v>0</v>
      </c>
      <c r="K303" s="9" cm="1">
        <f t="array" ref="K303">IF('01_Input_Raw_Products'!J303&lt;&gt;"",'01_Input_Raw_Products'!J303,IFERROR(_xlfn.XLOOKUP('01_Input_Raw_Products'!F303,'10_Master_Gem_Types'!A:A,'10_Master_Gem_Types'!E:E),""))</f>
        <v>0</v>
      </c>
      <c r="L303" s="9">
        <f>'01_Input_Raw_Products'!P303</f>
        <v>0</v>
      </c>
      <c r="M303" s="9" cm="1">
        <f t="array" ref="M303">IFERROR(_xlfn.XLOOKUP('01_Input_Raw_Products'!K303,'12_Color_Mapping'!A:A,'12_Color_Mapping'!B:B),IFERROR(_xlfn.XLOOKUP('01_Input_Raw_Products'!F303,'10_Master_Gem_Types'!A:A,'10_Master_Gem_Types'!F:F),""))</f>
        <v>0</v>
      </c>
      <c r="N303" s="9">
        <f>IF(C303="","",IF('01_Input_Raw_Products'!F303&lt;&gt;"",'01_Input_Raw_Products'!F303,'01_Input_Raw_Products'!D303))</f>
        <v>0</v>
      </c>
      <c r="O303" s="9">
        <f>IF(C303="","","Catalog Automation")</f>
        <v>0</v>
      </c>
      <c r="P303" s="9">
        <f>'01_Input_Raw_Products'!U303</f>
        <v>0</v>
      </c>
      <c r="Q303" s="7">
        <f>IF('01_Input_Raw_Products'!O303&lt;&gt;"",'01_Input_Raw_Products'!O303,IF('01_Input_Raw_Products'!N303&lt;&gt;"",'01_Input_Raw_Products'!N303*1.1,""))</f>
        <v>0</v>
      </c>
      <c r="R303" s="9">
        <f>'01_Input_Raw_Products'!S303</f>
        <v>0</v>
      </c>
      <c r="S303" s="9" cm="1">
        <f t="array" ref="S303">IFERROR(_xlfn.XLOOKUP('01_Input_Raw_Products'!F303,'10_Master_Gem_Types'!A:A,'10_Master_Gem_Types'!H:H),"")</f>
        <v>0</v>
      </c>
      <c r="T303" s="8">
        <f>'01_Input_Raw_Products'!Q303</f>
        <v>0</v>
      </c>
      <c r="U303" s="8">
        <f>'01_Input_Raw_Products'!R303</f>
        <v>0</v>
      </c>
      <c r="V303" s="7">
        <f>I303</f>
        <v>0</v>
      </c>
      <c r="W303" s="9" cm="1">
        <f t="array" ref="W303">IF('01_Input_Raw_Products'!G303&lt;&gt;"",'01_Input_Raw_Products'!G303,IFERROR(_xlfn.XLOOKUP('01_Input_Raw_Products'!F303,'10_Master_Gem_Types'!A:A,'10_Master_Gem_Types'!L:L),""))</f>
        <v>0</v>
      </c>
      <c r="X303" s="9" cm="1">
        <f t="array" ref="X303">IFERROR(_xlfn.XLOOKUP('01_Input_Raw_Products'!F303,'10_Master_Gem_Types'!A:A,'10_Master_Gem_Types'!J:J),"")</f>
        <v>0</v>
      </c>
      <c r="Y303" s="9" cm="1">
        <f t="array" ref="Y303">IFERROR(_xlfn.XLOOKUP('01_Input_Raw_Products'!F303,'10_Master_Gem_Types'!A:A,'10_Master_Gem_Types'!I:I),"")</f>
        <v>0</v>
      </c>
      <c r="Z303" s="9" cm="1">
        <f t="array" ref="Z303">IFERROR(_xlfn.XLOOKUP('01_Input_Raw_Products'!L303,'13_Certification_Stickers'!A:A,'13_Certification_Stickers'!C:C),"")</f>
        <v>0</v>
      </c>
      <c r="AA303" s="9" cm="1">
        <f t="array" ref="AA303">IFERROR(_xlfn.XLOOKUP('01_Input_Raw_Products'!S303,'14_Shipping_Rules'!A:A,'14_Shipping_Rules'!B:B),"")</f>
        <v>0</v>
      </c>
      <c r="AB303" s="9" cm="1">
        <f t="array" ref="AB303">IFERROR(_xlfn.XLOOKUP('01_Input_Raw_Products'!D303,'16_Astro_Flags'!A:A,'16_Astro_Flags'!B:B),"")</f>
        <v>0</v>
      </c>
      <c r="AC303" s="9">
        <f>IF(C303="","","Catalog, Search")</f>
        <v>0</v>
      </c>
      <c r="AD303" s="9">
        <f>IF(C303="","",IF(OR(F303="",J303="",M303="",S303="",Y303=""),"Manual Review","Ready"))</f>
        <v>0</v>
      </c>
      <c r="AE303" s="9">
        <f>IF(C303="","",TEXTJOIN("; ",TRUE,IF(F303="","Missing url_key",""),IF(J303="","Missing classification",""),IF(M303="","Missing j_colour",""),IF(S303="","Missing hsn_code",""),IF(Y303="","Missing tax_class_id","")))</f>
        <v>0</v>
      </c>
    </row>
    <row r="304" spans="1:31">
      <c r="A304" s="9">
        <f>IF('01_Input_Raw_Products'!B304&lt;&gt;"",20,"")</f>
        <v>0</v>
      </c>
      <c r="B304" s="9" cm="1">
        <f t="array" ref="B304">IF('01_Input_Raw_Products'!M304&lt;&gt;"",'01_Input_Raw_Products'!M304,IFERROR(_xlfn.XLOOKUP('01_Input_Raw_Products'!F304,'10_Master_Gem_Types'!A:A,'10_Master_Gem_Types'!K:K),""))</f>
        <v>0</v>
      </c>
      <c r="C304" s="9">
        <f>'01_Input_Raw_Products'!B304</f>
        <v>0</v>
      </c>
      <c r="D304" s="9">
        <f>IF(C304="","",TEXT(I304,"0.00")&amp;" Ct "&amp;IF('01_Input_Raw_Products'!F304&lt;&gt;"",'01_Input_Raw_Products'!F304,'01_Input_Raw_Products'!D304)&amp;" "&amp;'01_Input_Raw_Products'!I304)</f>
        <v>0</v>
      </c>
      <c r="E304" s="9">
        <f>IF(C304="","",D304&amp;" | GemPundit")</f>
        <v>0</v>
      </c>
      <c r="F304" s="9" cm="1">
        <f t="array" ref="F304">IF('01_Input_Raw_Products'!X304&lt;&gt;"",'01_Input_Raw_Products'!X304,IFERROR(_xlfn.XLOOKUP('01_Input_Raw_Products'!F304,'10_Master_Gem_Types'!A:A,'10_Master_Gem_Types'!O:O),LOWER(SUBSTITUTE(IF('01_Input_Raw_Products'!F304&lt;&gt;"",'01_Input_Raw_Products'!F304,'01_Input_Raw_Products'!D304)," ","-"))))</f>
        <v>0</v>
      </c>
      <c r="G304" s="9">
        <f>'01_Input_Raw_Products'!C304</f>
        <v>0</v>
      </c>
      <c r="H304" s="9" cm="1">
        <f t="array" ref="H304">IF('01_Input_Raw_Products'!H304&lt;&gt;"",'01_Input_Raw_Products'!H304,IFERROR(_xlfn.XLOOKUP('01_Input_Raw_Products'!F304,'10_Master_Gem_Types'!A:A,'10_Master_Gem_Types'!D:D),""))</f>
        <v>0</v>
      </c>
      <c r="I304" s="7">
        <f>IF('01_Input_Raw_Products'!N304&lt;&gt;"",'01_Input_Raw_Products'!N304,IF('01_Input_Raw_Products'!O304&lt;&gt;"",'01_Input_Raw_Products'!O304*0.91,""))</f>
        <v>0</v>
      </c>
      <c r="J304" s="9" cm="1">
        <f t="array" ref="J304">IFERROR(_xlfn.XLOOKUP('01_Input_Raw_Products'!F304,'10_Master_Gem_Types'!A:A,'10_Master_Gem_Types'!N:N),"")</f>
        <v>0</v>
      </c>
      <c r="K304" s="9" cm="1">
        <f t="array" ref="K304">IF('01_Input_Raw_Products'!J304&lt;&gt;"",'01_Input_Raw_Products'!J304,IFERROR(_xlfn.XLOOKUP('01_Input_Raw_Products'!F304,'10_Master_Gem_Types'!A:A,'10_Master_Gem_Types'!E:E),""))</f>
        <v>0</v>
      </c>
      <c r="L304" s="9">
        <f>'01_Input_Raw_Products'!P304</f>
        <v>0</v>
      </c>
      <c r="M304" s="9" cm="1">
        <f t="array" ref="M304">IFERROR(_xlfn.XLOOKUP('01_Input_Raw_Products'!K304,'12_Color_Mapping'!A:A,'12_Color_Mapping'!B:B),IFERROR(_xlfn.XLOOKUP('01_Input_Raw_Products'!F304,'10_Master_Gem_Types'!A:A,'10_Master_Gem_Types'!F:F),""))</f>
        <v>0</v>
      </c>
      <c r="N304" s="9">
        <f>IF(C304="","",IF('01_Input_Raw_Products'!F304&lt;&gt;"",'01_Input_Raw_Products'!F304,'01_Input_Raw_Products'!D304))</f>
        <v>0</v>
      </c>
      <c r="O304" s="9">
        <f>IF(C304="","","Catalog Automation")</f>
        <v>0</v>
      </c>
      <c r="P304" s="9">
        <f>'01_Input_Raw_Products'!U304</f>
        <v>0</v>
      </c>
      <c r="Q304" s="7">
        <f>IF('01_Input_Raw_Products'!O304&lt;&gt;"",'01_Input_Raw_Products'!O304,IF('01_Input_Raw_Products'!N304&lt;&gt;"",'01_Input_Raw_Products'!N304*1.1,""))</f>
        <v>0</v>
      </c>
      <c r="R304" s="9">
        <f>'01_Input_Raw_Products'!S304</f>
        <v>0</v>
      </c>
      <c r="S304" s="9" cm="1">
        <f t="array" ref="S304">IFERROR(_xlfn.XLOOKUP('01_Input_Raw_Products'!F304,'10_Master_Gem_Types'!A:A,'10_Master_Gem_Types'!H:H),"")</f>
        <v>0</v>
      </c>
      <c r="T304" s="8">
        <f>'01_Input_Raw_Products'!Q304</f>
        <v>0</v>
      </c>
      <c r="U304" s="8">
        <f>'01_Input_Raw_Products'!R304</f>
        <v>0</v>
      </c>
      <c r="V304" s="7">
        <f>I304</f>
        <v>0</v>
      </c>
      <c r="W304" s="9" cm="1">
        <f t="array" ref="W304">IF('01_Input_Raw_Products'!G304&lt;&gt;"",'01_Input_Raw_Products'!G304,IFERROR(_xlfn.XLOOKUP('01_Input_Raw_Products'!F304,'10_Master_Gem_Types'!A:A,'10_Master_Gem_Types'!L:L),""))</f>
        <v>0</v>
      </c>
      <c r="X304" s="9" cm="1">
        <f t="array" ref="X304">IFERROR(_xlfn.XLOOKUP('01_Input_Raw_Products'!F304,'10_Master_Gem_Types'!A:A,'10_Master_Gem_Types'!J:J),"")</f>
        <v>0</v>
      </c>
      <c r="Y304" s="9" cm="1">
        <f t="array" ref="Y304">IFERROR(_xlfn.XLOOKUP('01_Input_Raw_Products'!F304,'10_Master_Gem_Types'!A:A,'10_Master_Gem_Types'!I:I),"")</f>
        <v>0</v>
      </c>
      <c r="Z304" s="9" cm="1">
        <f t="array" ref="Z304">IFERROR(_xlfn.XLOOKUP('01_Input_Raw_Products'!L304,'13_Certification_Stickers'!A:A,'13_Certification_Stickers'!C:C),"")</f>
        <v>0</v>
      </c>
      <c r="AA304" s="9" cm="1">
        <f t="array" ref="AA304">IFERROR(_xlfn.XLOOKUP('01_Input_Raw_Products'!S304,'14_Shipping_Rules'!A:A,'14_Shipping_Rules'!B:B),"")</f>
        <v>0</v>
      </c>
      <c r="AB304" s="9" cm="1">
        <f t="array" ref="AB304">IFERROR(_xlfn.XLOOKUP('01_Input_Raw_Products'!D304,'16_Astro_Flags'!A:A,'16_Astro_Flags'!B:B),"")</f>
        <v>0</v>
      </c>
      <c r="AC304" s="9">
        <f>IF(C304="","","Catalog, Search")</f>
        <v>0</v>
      </c>
      <c r="AD304" s="9">
        <f>IF(C304="","",IF(OR(F304="",J304="",M304="",S304="",Y304=""),"Manual Review","Ready"))</f>
        <v>0</v>
      </c>
      <c r="AE304" s="9">
        <f>IF(C304="","",TEXTJOIN("; ",TRUE,IF(F304="","Missing url_key",""),IF(J304="","Missing classification",""),IF(M304="","Missing j_colour",""),IF(S304="","Missing hsn_code",""),IF(Y304="","Missing tax_class_id","")))</f>
        <v>0</v>
      </c>
    </row>
    <row r="305" spans="1:31">
      <c r="A305" s="9">
        <f>IF('01_Input_Raw_Products'!B305&lt;&gt;"",20,"")</f>
        <v>0</v>
      </c>
      <c r="B305" s="9" cm="1">
        <f t="array" ref="B305">IF('01_Input_Raw_Products'!M305&lt;&gt;"",'01_Input_Raw_Products'!M305,IFERROR(_xlfn.XLOOKUP('01_Input_Raw_Products'!F305,'10_Master_Gem_Types'!A:A,'10_Master_Gem_Types'!K:K),""))</f>
        <v>0</v>
      </c>
      <c r="C305" s="9">
        <f>'01_Input_Raw_Products'!B305</f>
        <v>0</v>
      </c>
      <c r="D305" s="9">
        <f>IF(C305="","",TEXT(I305,"0.00")&amp;" Ct "&amp;IF('01_Input_Raw_Products'!F305&lt;&gt;"",'01_Input_Raw_Products'!F305,'01_Input_Raw_Products'!D305)&amp;" "&amp;'01_Input_Raw_Products'!I305)</f>
        <v>0</v>
      </c>
      <c r="E305" s="9">
        <f>IF(C305="","",D305&amp;" | GemPundit")</f>
        <v>0</v>
      </c>
      <c r="F305" s="9" cm="1">
        <f t="array" ref="F305">IF('01_Input_Raw_Products'!X305&lt;&gt;"",'01_Input_Raw_Products'!X305,IFERROR(_xlfn.XLOOKUP('01_Input_Raw_Products'!F305,'10_Master_Gem_Types'!A:A,'10_Master_Gem_Types'!O:O),LOWER(SUBSTITUTE(IF('01_Input_Raw_Products'!F305&lt;&gt;"",'01_Input_Raw_Products'!F305,'01_Input_Raw_Products'!D305)," ","-"))))</f>
        <v>0</v>
      </c>
      <c r="G305" s="9">
        <f>'01_Input_Raw_Products'!C305</f>
        <v>0</v>
      </c>
      <c r="H305" s="9" cm="1">
        <f t="array" ref="H305">IF('01_Input_Raw_Products'!H305&lt;&gt;"",'01_Input_Raw_Products'!H305,IFERROR(_xlfn.XLOOKUP('01_Input_Raw_Products'!F305,'10_Master_Gem_Types'!A:A,'10_Master_Gem_Types'!D:D),""))</f>
        <v>0</v>
      </c>
      <c r="I305" s="7">
        <f>IF('01_Input_Raw_Products'!N305&lt;&gt;"",'01_Input_Raw_Products'!N305,IF('01_Input_Raw_Products'!O305&lt;&gt;"",'01_Input_Raw_Products'!O305*0.91,""))</f>
        <v>0</v>
      </c>
      <c r="J305" s="9" cm="1">
        <f t="array" ref="J305">IFERROR(_xlfn.XLOOKUP('01_Input_Raw_Products'!F305,'10_Master_Gem_Types'!A:A,'10_Master_Gem_Types'!N:N),"")</f>
        <v>0</v>
      </c>
      <c r="K305" s="9" cm="1">
        <f t="array" ref="K305">IF('01_Input_Raw_Products'!J305&lt;&gt;"",'01_Input_Raw_Products'!J305,IFERROR(_xlfn.XLOOKUP('01_Input_Raw_Products'!F305,'10_Master_Gem_Types'!A:A,'10_Master_Gem_Types'!E:E),""))</f>
        <v>0</v>
      </c>
      <c r="L305" s="9">
        <f>'01_Input_Raw_Products'!P305</f>
        <v>0</v>
      </c>
      <c r="M305" s="9" cm="1">
        <f t="array" ref="M305">IFERROR(_xlfn.XLOOKUP('01_Input_Raw_Products'!K305,'12_Color_Mapping'!A:A,'12_Color_Mapping'!B:B),IFERROR(_xlfn.XLOOKUP('01_Input_Raw_Products'!F305,'10_Master_Gem_Types'!A:A,'10_Master_Gem_Types'!F:F),""))</f>
        <v>0</v>
      </c>
      <c r="N305" s="9">
        <f>IF(C305="","",IF('01_Input_Raw_Products'!F305&lt;&gt;"",'01_Input_Raw_Products'!F305,'01_Input_Raw_Products'!D305))</f>
        <v>0</v>
      </c>
      <c r="O305" s="9">
        <f>IF(C305="","","Catalog Automation")</f>
        <v>0</v>
      </c>
      <c r="P305" s="9">
        <f>'01_Input_Raw_Products'!U305</f>
        <v>0</v>
      </c>
      <c r="Q305" s="7">
        <f>IF('01_Input_Raw_Products'!O305&lt;&gt;"",'01_Input_Raw_Products'!O305,IF('01_Input_Raw_Products'!N305&lt;&gt;"",'01_Input_Raw_Products'!N305*1.1,""))</f>
        <v>0</v>
      </c>
      <c r="R305" s="9">
        <f>'01_Input_Raw_Products'!S305</f>
        <v>0</v>
      </c>
      <c r="S305" s="9" cm="1">
        <f t="array" ref="S305">IFERROR(_xlfn.XLOOKUP('01_Input_Raw_Products'!F305,'10_Master_Gem_Types'!A:A,'10_Master_Gem_Types'!H:H),"")</f>
        <v>0</v>
      </c>
      <c r="T305" s="8">
        <f>'01_Input_Raw_Products'!Q305</f>
        <v>0</v>
      </c>
      <c r="U305" s="8">
        <f>'01_Input_Raw_Products'!R305</f>
        <v>0</v>
      </c>
      <c r="V305" s="7">
        <f>I305</f>
        <v>0</v>
      </c>
      <c r="W305" s="9" cm="1">
        <f t="array" ref="W305">IF('01_Input_Raw_Products'!G305&lt;&gt;"",'01_Input_Raw_Products'!G305,IFERROR(_xlfn.XLOOKUP('01_Input_Raw_Products'!F305,'10_Master_Gem_Types'!A:A,'10_Master_Gem_Types'!L:L),""))</f>
        <v>0</v>
      </c>
      <c r="X305" s="9" cm="1">
        <f t="array" ref="X305">IFERROR(_xlfn.XLOOKUP('01_Input_Raw_Products'!F305,'10_Master_Gem_Types'!A:A,'10_Master_Gem_Types'!J:J),"")</f>
        <v>0</v>
      </c>
      <c r="Y305" s="9" cm="1">
        <f t="array" ref="Y305">IFERROR(_xlfn.XLOOKUP('01_Input_Raw_Products'!F305,'10_Master_Gem_Types'!A:A,'10_Master_Gem_Types'!I:I),"")</f>
        <v>0</v>
      </c>
      <c r="Z305" s="9" cm="1">
        <f t="array" ref="Z305">IFERROR(_xlfn.XLOOKUP('01_Input_Raw_Products'!L305,'13_Certification_Stickers'!A:A,'13_Certification_Stickers'!C:C),"")</f>
        <v>0</v>
      </c>
      <c r="AA305" s="9" cm="1">
        <f t="array" ref="AA305">IFERROR(_xlfn.XLOOKUP('01_Input_Raw_Products'!S305,'14_Shipping_Rules'!A:A,'14_Shipping_Rules'!B:B),"")</f>
        <v>0</v>
      </c>
      <c r="AB305" s="9" cm="1">
        <f t="array" ref="AB305">IFERROR(_xlfn.XLOOKUP('01_Input_Raw_Products'!D305,'16_Astro_Flags'!A:A,'16_Astro_Flags'!B:B),"")</f>
        <v>0</v>
      </c>
      <c r="AC305" s="9">
        <f>IF(C305="","","Catalog, Search")</f>
        <v>0</v>
      </c>
      <c r="AD305" s="9">
        <f>IF(C305="","",IF(OR(F305="",J305="",M305="",S305="",Y305=""),"Manual Review","Ready"))</f>
        <v>0</v>
      </c>
      <c r="AE305" s="9">
        <f>IF(C305="","",TEXTJOIN("; ",TRUE,IF(F305="","Missing url_key",""),IF(J305="","Missing classification",""),IF(M305="","Missing j_colour",""),IF(S305="","Missing hsn_code",""),IF(Y305="","Missing tax_class_id","")))</f>
        <v>0</v>
      </c>
    </row>
    <row r="306" spans="1:31">
      <c r="A306" s="9">
        <f>IF('01_Input_Raw_Products'!B306&lt;&gt;"",20,"")</f>
        <v>0</v>
      </c>
      <c r="B306" s="9" cm="1">
        <f t="array" ref="B306">IF('01_Input_Raw_Products'!M306&lt;&gt;"",'01_Input_Raw_Products'!M306,IFERROR(_xlfn.XLOOKUP('01_Input_Raw_Products'!F306,'10_Master_Gem_Types'!A:A,'10_Master_Gem_Types'!K:K),""))</f>
        <v>0</v>
      </c>
      <c r="C306" s="9">
        <f>'01_Input_Raw_Products'!B306</f>
        <v>0</v>
      </c>
      <c r="D306" s="9">
        <f>IF(C306="","",TEXT(I306,"0.00")&amp;" Ct "&amp;IF('01_Input_Raw_Products'!F306&lt;&gt;"",'01_Input_Raw_Products'!F306,'01_Input_Raw_Products'!D306)&amp;" "&amp;'01_Input_Raw_Products'!I306)</f>
        <v>0</v>
      </c>
      <c r="E306" s="9">
        <f>IF(C306="","",D306&amp;" | GemPundit")</f>
        <v>0</v>
      </c>
      <c r="F306" s="9" cm="1">
        <f t="array" ref="F306">IF('01_Input_Raw_Products'!X306&lt;&gt;"",'01_Input_Raw_Products'!X306,IFERROR(_xlfn.XLOOKUP('01_Input_Raw_Products'!F306,'10_Master_Gem_Types'!A:A,'10_Master_Gem_Types'!O:O),LOWER(SUBSTITUTE(IF('01_Input_Raw_Products'!F306&lt;&gt;"",'01_Input_Raw_Products'!F306,'01_Input_Raw_Products'!D306)," ","-"))))</f>
        <v>0</v>
      </c>
      <c r="G306" s="9">
        <f>'01_Input_Raw_Products'!C306</f>
        <v>0</v>
      </c>
      <c r="H306" s="9" cm="1">
        <f t="array" ref="H306">IF('01_Input_Raw_Products'!H306&lt;&gt;"",'01_Input_Raw_Products'!H306,IFERROR(_xlfn.XLOOKUP('01_Input_Raw_Products'!F306,'10_Master_Gem_Types'!A:A,'10_Master_Gem_Types'!D:D),""))</f>
        <v>0</v>
      </c>
      <c r="I306" s="7">
        <f>IF('01_Input_Raw_Products'!N306&lt;&gt;"",'01_Input_Raw_Products'!N306,IF('01_Input_Raw_Products'!O306&lt;&gt;"",'01_Input_Raw_Products'!O306*0.91,""))</f>
        <v>0</v>
      </c>
      <c r="J306" s="9" cm="1">
        <f t="array" ref="J306">IFERROR(_xlfn.XLOOKUP('01_Input_Raw_Products'!F306,'10_Master_Gem_Types'!A:A,'10_Master_Gem_Types'!N:N),"")</f>
        <v>0</v>
      </c>
      <c r="K306" s="9" cm="1">
        <f t="array" ref="K306">IF('01_Input_Raw_Products'!J306&lt;&gt;"",'01_Input_Raw_Products'!J306,IFERROR(_xlfn.XLOOKUP('01_Input_Raw_Products'!F306,'10_Master_Gem_Types'!A:A,'10_Master_Gem_Types'!E:E),""))</f>
        <v>0</v>
      </c>
      <c r="L306" s="9">
        <f>'01_Input_Raw_Products'!P306</f>
        <v>0</v>
      </c>
      <c r="M306" s="9" cm="1">
        <f t="array" ref="M306">IFERROR(_xlfn.XLOOKUP('01_Input_Raw_Products'!K306,'12_Color_Mapping'!A:A,'12_Color_Mapping'!B:B),IFERROR(_xlfn.XLOOKUP('01_Input_Raw_Products'!F306,'10_Master_Gem_Types'!A:A,'10_Master_Gem_Types'!F:F),""))</f>
        <v>0</v>
      </c>
      <c r="N306" s="9">
        <f>IF(C306="","",IF('01_Input_Raw_Products'!F306&lt;&gt;"",'01_Input_Raw_Products'!F306,'01_Input_Raw_Products'!D306))</f>
        <v>0</v>
      </c>
      <c r="O306" s="9">
        <f>IF(C306="","","Catalog Automation")</f>
        <v>0</v>
      </c>
      <c r="P306" s="9">
        <f>'01_Input_Raw_Products'!U306</f>
        <v>0</v>
      </c>
      <c r="Q306" s="7">
        <f>IF('01_Input_Raw_Products'!O306&lt;&gt;"",'01_Input_Raw_Products'!O306,IF('01_Input_Raw_Products'!N306&lt;&gt;"",'01_Input_Raw_Products'!N306*1.1,""))</f>
        <v>0</v>
      </c>
      <c r="R306" s="9">
        <f>'01_Input_Raw_Products'!S306</f>
        <v>0</v>
      </c>
      <c r="S306" s="9" cm="1">
        <f t="array" ref="S306">IFERROR(_xlfn.XLOOKUP('01_Input_Raw_Products'!F306,'10_Master_Gem_Types'!A:A,'10_Master_Gem_Types'!H:H),"")</f>
        <v>0</v>
      </c>
      <c r="T306" s="8">
        <f>'01_Input_Raw_Products'!Q306</f>
        <v>0</v>
      </c>
      <c r="U306" s="8">
        <f>'01_Input_Raw_Products'!R306</f>
        <v>0</v>
      </c>
      <c r="V306" s="7">
        <f>I306</f>
        <v>0</v>
      </c>
      <c r="W306" s="9" cm="1">
        <f t="array" ref="W306">IF('01_Input_Raw_Products'!G306&lt;&gt;"",'01_Input_Raw_Products'!G306,IFERROR(_xlfn.XLOOKUP('01_Input_Raw_Products'!F306,'10_Master_Gem_Types'!A:A,'10_Master_Gem_Types'!L:L),""))</f>
        <v>0</v>
      </c>
      <c r="X306" s="9" cm="1">
        <f t="array" ref="X306">IFERROR(_xlfn.XLOOKUP('01_Input_Raw_Products'!F306,'10_Master_Gem_Types'!A:A,'10_Master_Gem_Types'!J:J),"")</f>
        <v>0</v>
      </c>
      <c r="Y306" s="9" cm="1">
        <f t="array" ref="Y306">IFERROR(_xlfn.XLOOKUP('01_Input_Raw_Products'!F306,'10_Master_Gem_Types'!A:A,'10_Master_Gem_Types'!I:I),"")</f>
        <v>0</v>
      </c>
      <c r="Z306" s="9" cm="1">
        <f t="array" ref="Z306">IFERROR(_xlfn.XLOOKUP('01_Input_Raw_Products'!L306,'13_Certification_Stickers'!A:A,'13_Certification_Stickers'!C:C),"")</f>
        <v>0</v>
      </c>
      <c r="AA306" s="9" cm="1">
        <f t="array" ref="AA306">IFERROR(_xlfn.XLOOKUP('01_Input_Raw_Products'!S306,'14_Shipping_Rules'!A:A,'14_Shipping_Rules'!B:B),"")</f>
        <v>0</v>
      </c>
      <c r="AB306" s="9" cm="1">
        <f t="array" ref="AB306">IFERROR(_xlfn.XLOOKUP('01_Input_Raw_Products'!D306,'16_Astro_Flags'!A:A,'16_Astro_Flags'!B:B),"")</f>
        <v>0</v>
      </c>
      <c r="AC306" s="9">
        <f>IF(C306="","","Catalog, Search")</f>
        <v>0</v>
      </c>
      <c r="AD306" s="9">
        <f>IF(C306="","",IF(OR(F306="",J306="",M306="",S306="",Y306=""),"Manual Review","Ready"))</f>
        <v>0</v>
      </c>
      <c r="AE306" s="9">
        <f>IF(C306="","",TEXTJOIN("; ",TRUE,IF(F306="","Missing url_key",""),IF(J306="","Missing classification",""),IF(M306="","Missing j_colour",""),IF(S306="","Missing hsn_code",""),IF(Y306="","Missing tax_class_id","")))</f>
        <v>0</v>
      </c>
    </row>
    <row r="307" spans="1:31">
      <c r="A307" s="9">
        <f>IF('01_Input_Raw_Products'!B307&lt;&gt;"",20,"")</f>
        <v>0</v>
      </c>
      <c r="B307" s="9" cm="1">
        <f t="array" ref="B307">IF('01_Input_Raw_Products'!M307&lt;&gt;"",'01_Input_Raw_Products'!M307,IFERROR(_xlfn.XLOOKUP('01_Input_Raw_Products'!F307,'10_Master_Gem_Types'!A:A,'10_Master_Gem_Types'!K:K),""))</f>
        <v>0</v>
      </c>
      <c r="C307" s="9">
        <f>'01_Input_Raw_Products'!B307</f>
        <v>0</v>
      </c>
      <c r="D307" s="9">
        <f>IF(C307="","",TEXT(I307,"0.00")&amp;" Ct "&amp;IF('01_Input_Raw_Products'!F307&lt;&gt;"",'01_Input_Raw_Products'!F307,'01_Input_Raw_Products'!D307)&amp;" "&amp;'01_Input_Raw_Products'!I307)</f>
        <v>0</v>
      </c>
      <c r="E307" s="9">
        <f>IF(C307="","",D307&amp;" | GemPundit")</f>
        <v>0</v>
      </c>
      <c r="F307" s="9" cm="1">
        <f t="array" ref="F307">IF('01_Input_Raw_Products'!X307&lt;&gt;"",'01_Input_Raw_Products'!X307,IFERROR(_xlfn.XLOOKUP('01_Input_Raw_Products'!F307,'10_Master_Gem_Types'!A:A,'10_Master_Gem_Types'!O:O),LOWER(SUBSTITUTE(IF('01_Input_Raw_Products'!F307&lt;&gt;"",'01_Input_Raw_Products'!F307,'01_Input_Raw_Products'!D307)," ","-"))))</f>
        <v>0</v>
      </c>
      <c r="G307" s="9">
        <f>'01_Input_Raw_Products'!C307</f>
        <v>0</v>
      </c>
      <c r="H307" s="9" cm="1">
        <f t="array" ref="H307">IF('01_Input_Raw_Products'!H307&lt;&gt;"",'01_Input_Raw_Products'!H307,IFERROR(_xlfn.XLOOKUP('01_Input_Raw_Products'!F307,'10_Master_Gem_Types'!A:A,'10_Master_Gem_Types'!D:D),""))</f>
        <v>0</v>
      </c>
      <c r="I307" s="7">
        <f>IF('01_Input_Raw_Products'!N307&lt;&gt;"",'01_Input_Raw_Products'!N307,IF('01_Input_Raw_Products'!O307&lt;&gt;"",'01_Input_Raw_Products'!O307*0.91,""))</f>
        <v>0</v>
      </c>
      <c r="J307" s="9" cm="1">
        <f t="array" ref="J307">IFERROR(_xlfn.XLOOKUP('01_Input_Raw_Products'!F307,'10_Master_Gem_Types'!A:A,'10_Master_Gem_Types'!N:N),"")</f>
        <v>0</v>
      </c>
      <c r="K307" s="9" cm="1">
        <f t="array" ref="K307">IF('01_Input_Raw_Products'!J307&lt;&gt;"",'01_Input_Raw_Products'!J307,IFERROR(_xlfn.XLOOKUP('01_Input_Raw_Products'!F307,'10_Master_Gem_Types'!A:A,'10_Master_Gem_Types'!E:E),""))</f>
        <v>0</v>
      </c>
      <c r="L307" s="9">
        <f>'01_Input_Raw_Products'!P307</f>
        <v>0</v>
      </c>
      <c r="M307" s="9" cm="1">
        <f t="array" ref="M307">IFERROR(_xlfn.XLOOKUP('01_Input_Raw_Products'!K307,'12_Color_Mapping'!A:A,'12_Color_Mapping'!B:B),IFERROR(_xlfn.XLOOKUP('01_Input_Raw_Products'!F307,'10_Master_Gem_Types'!A:A,'10_Master_Gem_Types'!F:F),""))</f>
        <v>0</v>
      </c>
      <c r="N307" s="9">
        <f>IF(C307="","",IF('01_Input_Raw_Products'!F307&lt;&gt;"",'01_Input_Raw_Products'!F307,'01_Input_Raw_Products'!D307))</f>
        <v>0</v>
      </c>
      <c r="O307" s="9">
        <f>IF(C307="","","Catalog Automation")</f>
        <v>0</v>
      </c>
      <c r="P307" s="9">
        <f>'01_Input_Raw_Products'!U307</f>
        <v>0</v>
      </c>
      <c r="Q307" s="7">
        <f>IF('01_Input_Raw_Products'!O307&lt;&gt;"",'01_Input_Raw_Products'!O307,IF('01_Input_Raw_Products'!N307&lt;&gt;"",'01_Input_Raw_Products'!N307*1.1,""))</f>
        <v>0</v>
      </c>
      <c r="R307" s="9">
        <f>'01_Input_Raw_Products'!S307</f>
        <v>0</v>
      </c>
      <c r="S307" s="9" cm="1">
        <f t="array" ref="S307">IFERROR(_xlfn.XLOOKUP('01_Input_Raw_Products'!F307,'10_Master_Gem_Types'!A:A,'10_Master_Gem_Types'!H:H),"")</f>
        <v>0</v>
      </c>
      <c r="T307" s="8">
        <f>'01_Input_Raw_Products'!Q307</f>
        <v>0</v>
      </c>
      <c r="U307" s="8">
        <f>'01_Input_Raw_Products'!R307</f>
        <v>0</v>
      </c>
      <c r="V307" s="7">
        <f>I307</f>
        <v>0</v>
      </c>
      <c r="W307" s="9" cm="1">
        <f t="array" ref="W307">IF('01_Input_Raw_Products'!G307&lt;&gt;"",'01_Input_Raw_Products'!G307,IFERROR(_xlfn.XLOOKUP('01_Input_Raw_Products'!F307,'10_Master_Gem_Types'!A:A,'10_Master_Gem_Types'!L:L),""))</f>
        <v>0</v>
      </c>
      <c r="X307" s="9" cm="1">
        <f t="array" ref="X307">IFERROR(_xlfn.XLOOKUP('01_Input_Raw_Products'!F307,'10_Master_Gem_Types'!A:A,'10_Master_Gem_Types'!J:J),"")</f>
        <v>0</v>
      </c>
      <c r="Y307" s="9" cm="1">
        <f t="array" ref="Y307">IFERROR(_xlfn.XLOOKUP('01_Input_Raw_Products'!F307,'10_Master_Gem_Types'!A:A,'10_Master_Gem_Types'!I:I),"")</f>
        <v>0</v>
      </c>
      <c r="Z307" s="9" cm="1">
        <f t="array" ref="Z307">IFERROR(_xlfn.XLOOKUP('01_Input_Raw_Products'!L307,'13_Certification_Stickers'!A:A,'13_Certification_Stickers'!C:C),"")</f>
        <v>0</v>
      </c>
      <c r="AA307" s="9" cm="1">
        <f t="array" ref="AA307">IFERROR(_xlfn.XLOOKUP('01_Input_Raw_Products'!S307,'14_Shipping_Rules'!A:A,'14_Shipping_Rules'!B:B),"")</f>
        <v>0</v>
      </c>
      <c r="AB307" s="9" cm="1">
        <f t="array" ref="AB307">IFERROR(_xlfn.XLOOKUP('01_Input_Raw_Products'!D307,'16_Astro_Flags'!A:A,'16_Astro_Flags'!B:B),"")</f>
        <v>0</v>
      </c>
      <c r="AC307" s="9">
        <f>IF(C307="","","Catalog, Search")</f>
        <v>0</v>
      </c>
      <c r="AD307" s="9">
        <f>IF(C307="","",IF(OR(F307="",J307="",M307="",S307="",Y307=""),"Manual Review","Ready"))</f>
        <v>0</v>
      </c>
      <c r="AE307" s="9">
        <f>IF(C307="","",TEXTJOIN("; ",TRUE,IF(F307="","Missing url_key",""),IF(J307="","Missing classification",""),IF(M307="","Missing j_colour",""),IF(S307="","Missing hsn_code",""),IF(Y307="","Missing tax_class_id","")))</f>
        <v>0</v>
      </c>
    </row>
    <row r="308" spans="1:31">
      <c r="A308" s="9">
        <f>IF('01_Input_Raw_Products'!B308&lt;&gt;"",20,"")</f>
        <v>0</v>
      </c>
      <c r="B308" s="9" cm="1">
        <f t="array" ref="B308">IF('01_Input_Raw_Products'!M308&lt;&gt;"",'01_Input_Raw_Products'!M308,IFERROR(_xlfn.XLOOKUP('01_Input_Raw_Products'!F308,'10_Master_Gem_Types'!A:A,'10_Master_Gem_Types'!K:K),""))</f>
        <v>0</v>
      </c>
      <c r="C308" s="9">
        <f>'01_Input_Raw_Products'!B308</f>
        <v>0</v>
      </c>
      <c r="D308" s="9">
        <f>IF(C308="","",TEXT(I308,"0.00")&amp;" Ct "&amp;IF('01_Input_Raw_Products'!F308&lt;&gt;"",'01_Input_Raw_Products'!F308,'01_Input_Raw_Products'!D308)&amp;" "&amp;'01_Input_Raw_Products'!I308)</f>
        <v>0</v>
      </c>
      <c r="E308" s="9">
        <f>IF(C308="","",D308&amp;" | GemPundit")</f>
        <v>0</v>
      </c>
      <c r="F308" s="9" cm="1">
        <f t="array" ref="F308">IF('01_Input_Raw_Products'!X308&lt;&gt;"",'01_Input_Raw_Products'!X308,IFERROR(_xlfn.XLOOKUP('01_Input_Raw_Products'!F308,'10_Master_Gem_Types'!A:A,'10_Master_Gem_Types'!O:O),LOWER(SUBSTITUTE(IF('01_Input_Raw_Products'!F308&lt;&gt;"",'01_Input_Raw_Products'!F308,'01_Input_Raw_Products'!D308)," ","-"))))</f>
        <v>0</v>
      </c>
      <c r="G308" s="9">
        <f>'01_Input_Raw_Products'!C308</f>
        <v>0</v>
      </c>
      <c r="H308" s="9" cm="1">
        <f t="array" ref="H308">IF('01_Input_Raw_Products'!H308&lt;&gt;"",'01_Input_Raw_Products'!H308,IFERROR(_xlfn.XLOOKUP('01_Input_Raw_Products'!F308,'10_Master_Gem_Types'!A:A,'10_Master_Gem_Types'!D:D),""))</f>
        <v>0</v>
      </c>
      <c r="I308" s="7">
        <f>IF('01_Input_Raw_Products'!N308&lt;&gt;"",'01_Input_Raw_Products'!N308,IF('01_Input_Raw_Products'!O308&lt;&gt;"",'01_Input_Raw_Products'!O308*0.91,""))</f>
        <v>0</v>
      </c>
      <c r="J308" s="9" cm="1">
        <f t="array" ref="J308">IFERROR(_xlfn.XLOOKUP('01_Input_Raw_Products'!F308,'10_Master_Gem_Types'!A:A,'10_Master_Gem_Types'!N:N),"")</f>
        <v>0</v>
      </c>
      <c r="K308" s="9" cm="1">
        <f t="array" ref="K308">IF('01_Input_Raw_Products'!J308&lt;&gt;"",'01_Input_Raw_Products'!J308,IFERROR(_xlfn.XLOOKUP('01_Input_Raw_Products'!F308,'10_Master_Gem_Types'!A:A,'10_Master_Gem_Types'!E:E),""))</f>
        <v>0</v>
      </c>
      <c r="L308" s="9">
        <f>'01_Input_Raw_Products'!P308</f>
        <v>0</v>
      </c>
      <c r="M308" s="9" cm="1">
        <f t="array" ref="M308">IFERROR(_xlfn.XLOOKUP('01_Input_Raw_Products'!K308,'12_Color_Mapping'!A:A,'12_Color_Mapping'!B:B),IFERROR(_xlfn.XLOOKUP('01_Input_Raw_Products'!F308,'10_Master_Gem_Types'!A:A,'10_Master_Gem_Types'!F:F),""))</f>
        <v>0</v>
      </c>
      <c r="N308" s="9">
        <f>IF(C308="","",IF('01_Input_Raw_Products'!F308&lt;&gt;"",'01_Input_Raw_Products'!F308,'01_Input_Raw_Products'!D308))</f>
        <v>0</v>
      </c>
      <c r="O308" s="9">
        <f>IF(C308="","","Catalog Automation")</f>
        <v>0</v>
      </c>
      <c r="P308" s="9">
        <f>'01_Input_Raw_Products'!U308</f>
        <v>0</v>
      </c>
      <c r="Q308" s="7">
        <f>IF('01_Input_Raw_Products'!O308&lt;&gt;"",'01_Input_Raw_Products'!O308,IF('01_Input_Raw_Products'!N308&lt;&gt;"",'01_Input_Raw_Products'!N308*1.1,""))</f>
        <v>0</v>
      </c>
      <c r="R308" s="9">
        <f>'01_Input_Raw_Products'!S308</f>
        <v>0</v>
      </c>
      <c r="S308" s="9" cm="1">
        <f t="array" ref="S308">IFERROR(_xlfn.XLOOKUP('01_Input_Raw_Products'!F308,'10_Master_Gem_Types'!A:A,'10_Master_Gem_Types'!H:H),"")</f>
        <v>0</v>
      </c>
      <c r="T308" s="8">
        <f>'01_Input_Raw_Products'!Q308</f>
        <v>0</v>
      </c>
      <c r="U308" s="8">
        <f>'01_Input_Raw_Products'!R308</f>
        <v>0</v>
      </c>
      <c r="V308" s="7">
        <f>I308</f>
        <v>0</v>
      </c>
      <c r="W308" s="9" cm="1">
        <f t="array" ref="W308">IF('01_Input_Raw_Products'!G308&lt;&gt;"",'01_Input_Raw_Products'!G308,IFERROR(_xlfn.XLOOKUP('01_Input_Raw_Products'!F308,'10_Master_Gem_Types'!A:A,'10_Master_Gem_Types'!L:L),""))</f>
        <v>0</v>
      </c>
      <c r="X308" s="9" cm="1">
        <f t="array" ref="X308">IFERROR(_xlfn.XLOOKUP('01_Input_Raw_Products'!F308,'10_Master_Gem_Types'!A:A,'10_Master_Gem_Types'!J:J),"")</f>
        <v>0</v>
      </c>
      <c r="Y308" s="9" cm="1">
        <f t="array" ref="Y308">IFERROR(_xlfn.XLOOKUP('01_Input_Raw_Products'!F308,'10_Master_Gem_Types'!A:A,'10_Master_Gem_Types'!I:I),"")</f>
        <v>0</v>
      </c>
      <c r="Z308" s="9" cm="1">
        <f t="array" ref="Z308">IFERROR(_xlfn.XLOOKUP('01_Input_Raw_Products'!L308,'13_Certification_Stickers'!A:A,'13_Certification_Stickers'!C:C),"")</f>
        <v>0</v>
      </c>
      <c r="AA308" s="9" cm="1">
        <f t="array" ref="AA308">IFERROR(_xlfn.XLOOKUP('01_Input_Raw_Products'!S308,'14_Shipping_Rules'!A:A,'14_Shipping_Rules'!B:B),"")</f>
        <v>0</v>
      </c>
      <c r="AB308" s="9" cm="1">
        <f t="array" ref="AB308">IFERROR(_xlfn.XLOOKUP('01_Input_Raw_Products'!D308,'16_Astro_Flags'!A:A,'16_Astro_Flags'!B:B),"")</f>
        <v>0</v>
      </c>
      <c r="AC308" s="9">
        <f>IF(C308="","","Catalog, Search")</f>
        <v>0</v>
      </c>
      <c r="AD308" s="9">
        <f>IF(C308="","",IF(OR(F308="",J308="",M308="",S308="",Y308=""),"Manual Review","Ready"))</f>
        <v>0</v>
      </c>
      <c r="AE308" s="9">
        <f>IF(C308="","",TEXTJOIN("; ",TRUE,IF(F308="","Missing url_key",""),IF(J308="","Missing classification",""),IF(M308="","Missing j_colour",""),IF(S308="","Missing hsn_code",""),IF(Y308="","Missing tax_class_id","")))</f>
        <v>0</v>
      </c>
    </row>
    <row r="309" spans="1:31">
      <c r="A309" s="9">
        <f>IF('01_Input_Raw_Products'!B309&lt;&gt;"",20,"")</f>
        <v>0</v>
      </c>
      <c r="B309" s="9" cm="1">
        <f t="array" ref="B309">IF('01_Input_Raw_Products'!M309&lt;&gt;"",'01_Input_Raw_Products'!M309,IFERROR(_xlfn.XLOOKUP('01_Input_Raw_Products'!F309,'10_Master_Gem_Types'!A:A,'10_Master_Gem_Types'!K:K),""))</f>
        <v>0</v>
      </c>
      <c r="C309" s="9">
        <f>'01_Input_Raw_Products'!B309</f>
        <v>0</v>
      </c>
      <c r="D309" s="9">
        <f>IF(C309="","",TEXT(I309,"0.00")&amp;" Ct "&amp;IF('01_Input_Raw_Products'!F309&lt;&gt;"",'01_Input_Raw_Products'!F309,'01_Input_Raw_Products'!D309)&amp;" "&amp;'01_Input_Raw_Products'!I309)</f>
        <v>0</v>
      </c>
      <c r="E309" s="9">
        <f>IF(C309="","",D309&amp;" | GemPundit")</f>
        <v>0</v>
      </c>
      <c r="F309" s="9" cm="1">
        <f t="array" ref="F309">IF('01_Input_Raw_Products'!X309&lt;&gt;"",'01_Input_Raw_Products'!X309,IFERROR(_xlfn.XLOOKUP('01_Input_Raw_Products'!F309,'10_Master_Gem_Types'!A:A,'10_Master_Gem_Types'!O:O),LOWER(SUBSTITUTE(IF('01_Input_Raw_Products'!F309&lt;&gt;"",'01_Input_Raw_Products'!F309,'01_Input_Raw_Products'!D309)," ","-"))))</f>
        <v>0</v>
      </c>
      <c r="G309" s="9">
        <f>'01_Input_Raw_Products'!C309</f>
        <v>0</v>
      </c>
      <c r="H309" s="9" cm="1">
        <f t="array" ref="H309">IF('01_Input_Raw_Products'!H309&lt;&gt;"",'01_Input_Raw_Products'!H309,IFERROR(_xlfn.XLOOKUP('01_Input_Raw_Products'!F309,'10_Master_Gem_Types'!A:A,'10_Master_Gem_Types'!D:D),""))</f>
        <v>0</v>
      </c>
      <c r="I309" s="7">
        <f>IF('01_Input_Raw_Products'!N309&lt;&gt;"",'01_Input_Raw_Products'!N309,IF('01_Input_Raw_Products'!O309&lt;&gt;"",'01_Input_Raw_Products'!O309*0.91,""))</f>
        <v>0</v>
      </c>
      <c r="J309" s="9" cm="1">
        <f t="array" ref="J309">IFERROR(_xlfn.XLOOKUP('01_Input_Raw_Products'!F309,'10_Master_Gem_Types'!A:A,'10_Master_Gem_Types'!N:N),"")</f>
        <v>0</v>
      </c>
      <c r="K309" s="9" cm="1">
        <f t="array" ref="K309">IF('01_Input_Raw_Products'!J309&lt;&gt;"",'01_Input_Raw_Products'!J309,IFERROR(_xlfn.XLOOKUP('01_Input_Raw_Products'!F309,'10_Master_Gem_Types'!A:A,'10_Master_Gem_Types'!E:E),""))</f>
        <v>0</v>
      </c>
      <c r="L309" s="9">
        <f>'01_Input_Raw_Products'!P309</f>
        <v>0</v>
      </c>
      <c r="M309" s="9" cm="1">
        <f t="array" ref="M309">IFERROR(_xlfn.XLOOKUP('01_Input_Raw_Products'!K309,'12_Color_Mapping'!A:A,'12_Color_Mapping'!B:B),IFERROR(_xlfn.XLOOKUP('01_Input_Raw_Products'!F309,'10_Master_Gem_Types'!A:A,'10_Master_Gem_Types'!F:F),""))</f>
        <v>0</v>
      </c>
      <c r="N309" s="9">
        <f>IF(C309="","",IF('01_Input_Raw_Products'!F309&lt;&gt;"",'01_Input_Raw_Products'!F309,'01_Input_Raw_Products'!D309))</f>
        <v>0</v>
      </c>
      <c r="O309" s="9">
        <f>IF(C309="","","Catalog Automation")</f>
        <v>0</v>
      </c>
      <c r="P309" s="9">
        <f>'01_Input_Raw_Products'!U309</f>
        <v>0</v>
      </c>
      <c r="Q309" s="7">
        <f>IF('01_Input_Raw_Products'!O309&lt;&gt;"",'01_Input_Raw_Products'!O309,IF('01_Input_Raw_Products'!N309&lt;&gt;"",'01_Input_Raw_Products'!N309*1.1,""))</f>
        <v>0</v>
      </c>
      <c r="R309" s="9">
        <f>'01_Input_Raw_Products'!S309</f>
        <v>0</v>
      </c>
      <c r="S309" s="9" cm="1">
        <f t="array" ref="S309">IFERROR(_xlfn.XLOOKUP('01_Input_Raw_Products'!F309,'10_Master_Gem_Types'!A:A,'10_Master_Gem_Types'!H:H),"")</f>
        <v>0</v>
      </c>
      <c r="T309" s="8">
        <f>'01_Input_Raw_Products'!Q309</f>
        <v>0</v>
      </c>
      <c r="U309" s="8">
        <f>'01_Input_Raw_Products'!R309</f>
        <v>0</v>
      </c>
      <c r="V309" s="7">
        <f>I309</f>
        <v>0</v>
      </c>
      <c r="W309" s="9" cm="1">
        <f t="array" ref="W309">IF('01_Input_Raw_Products'!G309&lt;&gt;"",'01_Input_Raw_Products'!G309,IFERROR(_xlfn.XLOOKUP('01_Input_Raw_Products'!F309,'10_Master_Gem_Types'!A:A,'10_Master_Gem_Types'!L:L),""))</f>
        <v>0</v>
      </c>
      <c r="X309" s="9" cm="1">
        <f t="array" ref="X309">IFERROR(_xlfn.XLOOKUP('01_Input_Raw_Products'!F309,'10_Master_Gem_Types'!A:A,'10_Master_Gem_Types'!J:J),"")</f>
        <v>0</v>
      </c>
      <c r="Y309" s="9" cm="1">
        <f t="array" ref="Y309">IFERROR(_xlfn.XLOOKUP('01_Input_Raw_Products'!F309,'10_Master_Gem_Types'!A:A,'10_Master_Gem_Types'!I:I),"")</f>
        <v>0</v>
      </c>
      <c r="Z309" s="9" cm="1">
        <f t="array" ref="Z309">IFERROR(_xlfn.XLOOKUP('01_Input_Raw_Products'!L309,'13_Certification_Stickers'!A:A,'13_Certification_Stickers'!C:C),"")</f>
        <v>0</v>
      </c>
      <c r="AA309" s="9" cm="1">
        <f t="array" ref="AA309">IFERROR(_xlfn.XLOOKUP('01_Input_Raw_Products'!S309,'14_Shipping_Rules'!A:A,'14_Shipping_Rules'!B:B),"")</f>
        <v>0</v>
      </c>
      <c r="AB309" s="9" cm="1">
        <f t="array" ref="AB309">IFERROR(_xlfn.XLOOKUP('01_Input_Raw_Products'!D309,'16_Astro_Flags'!A:A,'16_Astro_Flags'!B:B),"")</f>
        <v>0</v>
      </c>
      <c r="AC309" s="9">
        <f>IF(C309="","","Catalog, Search")</f>
        <v>0</v>
      </c>
      <c r="AD309" s="9">
        <f>IF(C309="","",IF(OR(F309="",J309="",M309="",S309="",Y309=""),"Manual Review","Ready"))</f>
        <v>0</v>
      </c>
      <c r="AE309" s="9">
        <f>IF(C309="","",TEXTJOIN("; ",TRUE,IF(F309="","Missing url_key",""),IF(J309="","Missing classification",""),IF(M309="","Missing j_colour",""),IF(S309="","Missing hsn_code",""),IF(Y309="","Missing tax_class_id","")))</f>
        <v>0</v>
      </c>
    </row>
    <row r="310" spans="1:31">
      <c r="A310" s="9">
        <f>IF('01_Input_Raw_Products'!B310&lt;&gt;"",20,"")</f>
        <v>0</v>
      </c>
      <c r="B310" s="9" cm="1">
        <f t="array" ref="B310">IF('01_Input_Raw_Products'!M310&lt;&gt;"",'01_Input_Raw_Products'!M310,IFERROR(_xlfn.XLOOKUP('01_Input_Raw_Products'!F310,'10_Master_Gem_Types'!A:A,'10_Master_Gem_Types'!K:K),""))</f>
        <v>0</v>
      </c>
      <c r="C310" s="9">
        <f>'01_Input_Raw_Products'!B310</f>
        <v>0</v>
      </c>
      <c r="D310" s="9">
        <f>IF(C310="","",TEXT(I310,"0.00")&amp;" Ct "&amp;IF('01_Input_Raw_Products'!F310&lt;&gt;"",'01_Input_Raw_Products'!F310,'01_Input_Raw_Products'!D310)&amp;" "&amp;'01_Input_Raw_Products'!I310)</f>
        <v>0</v>
      </c>
      <c r="E310" s="9">
        <f>IF(C310="","",D310&amp;" | GemPundit")</f>
        <v>0</v>
      </c>
      <c r="F310" s="9" cm="1">
        <f t="array" ref="F310">IF('01_Input_Raw_Products'!X310&lt;&gt;"",'01_Input_Raw_Products'!X310,IFERROR(_xlfn.XLOOKUP('01_Input_Raw_Products'!F310,'10_Master_Gem_Types'!A:A,'10_Master_Gem_Types'!O:O),LOWER(SUBSTITUTE(IF('01_Input_Raw_Products'!F310&lt;&gt;"",'01_Input_Raw_Products'!F310,'01_Input_Raw_Products'!D310)," ","-"))))</f>
        <v>0</v>
      </c>
      <c r="G310" s="9">
        <f>'01_Input_Raw_Products'!C310</f>
        <v>0</v>
      </c>
      <c r="H310" s="9" cm="1">
        <f t="array" ref="H310">IF('01_Input_Raw_Products'!H310&lt;&gt;"",'01_Input_Raw_Products'!H310,IFERROR(_xlfn.XLOOKUP('01_Input_Raw_Products'!F310,'10_Master_Gem_Types'!A:A,'10_Master_Gem_Types'!D:D),""))</f>
        <v>0</v>
      </c>
      <c r="I310" s="7">
        <f>IF('01_Input_Raw_Products'!N310&lt;&gt;"",'01_Input_Raw_Products'!N310,IF('01_Input_Raw_Products'!O310&lt;&gt;"",'01_Input_Raw_Products'!O310*0.91,""))</f>
        <v>0</v>
      </c>
      <c r="J310" s="9" cm="1">
        <f t="array" ref="J310">IFERROR(_xlfn.XLOOKUP('01_Input_Raw_Products'!F310,'10_Master_Gem_Types'!A:A,'10_Master_Gem_Types'!N:N),"")</f>
        <v>0</v>
      </c>
      <c r="K310" s="9" cm="1">
        <f t="array" ref="K310">IF('01_Input_Raw_Products'!J310&lt;&gt;"",'01_Input_Raw_Products'!J310,IFERROR(_xlfn.XLOOKUP('01_Input_Raw_Products'!F310,'10_Master_Gem_Types'!A:A,'10_Master_Gem_Types'!E:E),""))</f>
        <v>0</v>
      </c>
      <c r="L310" s="9">
        <f>'01_Input_Raw_Products'!P310</f>
        <v>0</v>
      </c>
      <c r="M310" s="9" cm="1">
        <f t="array" ref="M310">IFERROR(_xlfn.XLOOKUP('01_Input_Raw_Products'!K310,'12_Color_Mapping'!A:A,'12_Color_Mapping'!B:B),IFERROR(_xlfn.XLOOKUP('01_Input_Raw_Products'!F310,'10_Master_Gem_Types'!A:A,'10_Master_Gem_Types'!F:F),""))</f>
        <v>0</v>
      </c>
      <c r="N310" s="9">
        <f>IF(C310="","",IF('01_Input_Raw_Products'!F310&lt;&gt;"",'01_Input_Raw_Products'!F310,'01_Input_Raw_Products'!D310))</f>
        <v>0</v>
      </c>
      <c r="O310" s="9">
        <f>IF(C310="","","Catalog Automation")</f>
        <v>0</v>
      </c>
      <c r="P310" s="9">
        <f>'01_Input_Raw_Products'!U310</f>
        <v>0</v>
      </c>
      <c r="Q310" s="7">
        <f>IF('01_Input_Raw_Products'!O310&lt;&gt;"",'01_Input_Raw_Products'!O310,IF('01_Input_Raw_Products'!N310&lt;&gt;"",'01_Input_Raw_Products'!N310*1.1,""))</f>
        <v>0</v>
      </c>
      <c r="R310" s="9">
        <f>'01_Input_Raw_Products'!S310</f>
        <v>0</v>
      </c>
      <c r="S310" s="9" cm="1">
        <f t="array" ref="S310">IFERROR(_xlfn.XLOOKUP('01_Input_Raw_Products'!F310,'10_Master_Gem_Types'!A:A,'10_Master_Gem_Types'!H:H),"")</f>
        <v>0</v>
      </c>
      <c r="T310" s="8">
        <f>'01_Input_Raw_Products'!Q310</f>
        <v>0</v>
      </c>
      <c r="U310" s="8">
        <f>'01_Input_Raw_Products'!R310</f>
        <v>0</v>
      </c>
      <c r="V310" s="7">
        <f>I310</f>
        <v>0</v>
      </c>
      <c r="W310" s="9" cm="1">
        <f t="array" ref="W310">IF('01_Input_Raw_Products'!G310&lt;&gt;"",'01_Input_Raw_Products'!G310,IFERROR(_xlfn.XLOOKUP('01_Input_Raw_Products'!F310,'10_Master_Gem_Types'!A:A,'10_Master_Gem_Types'!L:L),""))</f>
        <v>0</v>
      </c>
      <c r="X310" s="9" cm="1">
        <f t="array" ref="X310">IFERROR(_xlfn.XLOOKUP('01_Input_Raw_Products'!F310,'10_Master_Gem_Types'!A:A,'10_Master_Gem_Types'!J:J),"")</f>
        <v>0</v>
      </c>
      <c r="Y310" s="9" cm="1">
        <f t="array" ref="Y310">IFERROR(_xlfn.XLOOKUP('01_Input_Raw_Products'!F310,'10_Master_Gem_Types'!A:A,'10_Master_Gem_Types'!I:I),"")</f>
        <v>0</v>
      </c>
      <c r="Z310" s="9" cm="1">
        <f t="array" ref="Z310">IFERROR(_xlfn.XLOOKUP('01_Input_Raw_Products'!L310,'13_Certification_Stickers'!A:A,'13_Certification_Stickers'!C:C),"")</f>
        <v>0</v>
      </c>
      <c r="AA310" s="9" cm="1">
        <f t="array" ref="AA310">IFERROR(_xlfn.XLOOKUP('01_Input_Raw_Products'!S310,'14_Shipping_Rules'!A:A,'14_Shipping_Rules'!B:B),"")</f>
        <v>0</v>
      </c>
      <c r="AB310" s="9" cm="1">
        <f t="array" ref="AB310">IFERROR(_xlfn.XLOOKUP('01_Input_Raw_Products'!D310,'16_Astro_Flags'!A:A,'16_Astro_Flags'!B:B),"")</f>
        <v>0</v>
      </c>
      <c r="AC310" s="9">
        <f>IF(C310="","","Catalog, Search")</f>
        <v>0</v>
      </c>
      <c r="AD310" s="9">
        <f>IF(C310="","",IF(OR(F310="",J310="",M310="",S310="",Y310=""),"Manual Review","Ready"))</f>
        <v>0</v>
      </c>
      <c r="AE310" s="9">
        <f>IF(C310="","",TEXTJOIN("; ",TRUE,IF(F310="","Missing url_key",""),IF(J310="","Missing classification",""),IF(M310="","Missing j_colour",""),IF(S310="","Missing hsn_code",""),IF(Y310="","Missing tax_class_id","")))</f>
        <v>0</v>
      </c>
    </row>
    <row r="311" spans="1:31">
      <c r="A311" s="9">
        <f>IF('01_Input_Raw_Products'!B311&lt;&gt;"",20,"")</f>
        <v>0</v>
      </c>
      <c r="B311" s="9" cm="1">
        <f t="array" ref="B311">IF('01_Input_Raw_Products'!M311&lt;&gt;"",'01_Input_Raw_Products'!M311,IFERROR(_xlfn.XLOOKUP('01_Input_Raw_Products'!F311,'10_Master_Gem_Types'!A:A,'10_Master_Gem_Types'!K:K),""))</f>
        <v>0</v>
      </c>
      <c r="C311" s="9">
        <f>'01_Input_Raw_Products'!B311</f>
        <v>0</v>
      </c>
      <c r="D311" s="9">
        <f>IF(C311="","",TEXT(I311,"0.00")&amp;" Ct "&amp;IF('01_Input_Raw_Products'!F311&lt;&gt;"",'01_Input_Raw_Products'!F311,'01_Input_Raw_Products'!D311)&amp;" "&amp;'01_Input_Raw_Products'!I311)</f>
        <v>0</v>
      </c>
      <c r="E311" s="9">
        <f>IF(C311="","",D311&amp;" | GemPundit")</f>
        <v>0</v>
      </c>
      <c r="F311" s="9" cm="1">
        <f t="array" ref="F311">IF('01_Input_Raw_Products'!X311&lt;&gt;"",'01_Input_Raw_Products'!X311,IFERROR(_xlfn.XLOOKUP('01_Input_Raw_Products'!F311,'10_Master_Gem_Types'!A:A,'10_Master_Gem_Types'!O:O),LOWER(SUBSTITUTE(IF('01_Input_Raw_Products'!F311&lt;&gt;"",'01_Input_Raw_Products'!F311,'01_Input_Raw_Products'!D311)," ","-"))))</f>
        <v>0</v>
      </c>
      <c r="G311" s="9">
        <f>'01_Input_Raw_Products'!C311</f>
        <v>0</v>
      </c>
      <c r="H311" s="9" cm="1">
        <f t="array" ref="H311">IF('01_Input_Raw_Products'!H311&lt;&gt;"",'01_Input_Raw_Products'!H311,IFERROR(_xlfn.XLOOKUP('01_Input_Raw_Products'!F311,'10_Master_Gem_Types'!A:A,'10_Master_Gem_Types'!D:D),""))</f>
        <v>0</v>
      </c>
      <c r="I311" s="7">
        <f>IF('01_Input_Raw_Products'!N311&lt;&gt;"",'01_Input_Raw_Products'!N311,IF('01_Input_Raw_Products'!O311&lt;&gt;"",'01_Input_Raw_Products'!O311*0.91,""))</f>
        <v>0</v>
      </c>
      <c r="J311" s="9" cm="1">
        <f t="array" ref="J311">IFERROR(_xlfn.XLOOKUP('01_Input_Raw_Products'!F311,'10_Master_Gem_Types'!A:A,'10_Master_Gem_Types'!N:N),"")</f>
        <v>0</v>
      </c>
      <c r="K311" s="9" cm="1">
        <f t="array" ref="K311">IF('01_Input_Raw_Products'!J311&lt;&gt;"",'01_Input_Raw_Products'!J311,IFERROR(_xlfn.XLOOKUP('01_Input_Raw_Products'!F311,'10_Master_Gem_Types'!A:A,'10_Master_Gem_Types'!E:E),""))</f>
        <v>0</v>
      </c>
      <c r="L311" s="9">
        <f>'01_Input_Raw_Products'!P311</f>
        <v>0</v>
      </c>
      <c r="M311" s="9" cm="1">
        <f t="array" ref="M311">IFERROR(_xlfn.XLOOKUP('01_Input_Raw_Products'!K311,'12_Color_Mapping'!A:A,'12_Color_Mapping'!B:B),IFERROR(_xlfn.XLOOKUP('01_Input_Raw_Products'!F311,'10_Master_Gem_Types'!A:A,'10_Master_Gem_Types'!F:F),""))</f>
        <v>0</v>
      </c>
      <c r="N311" s="9">
        <f>IF(C311="","",IF('01_Input_Raw_Products'!F311&lt;&gt;"",'01_Input_Raw_Products'!F311,'01_Input_Raw_Products'!D311))</f>
        <v>0</v>
      </c>
      <c r="O311" s="9">
        <f>IF(C311="","","Catalog Automation")</f>
        <v>0</v>
      </c>
      <c r="P311" s="9">
        <f>'01_Input_Raw_Products'!U311</f>
        <v>0</v>
      </c>
      <c r="Q311" s="7">
        <f>IF('01_Input_Raw_Products'!O311&lt;&gt;"",'01_Input_Raw_Products'!O311,IF('01_Input_Raw_Products'!N311&lt;&gt;"",'01_Input_Raw_Products'!N311*1.1,""))</f>
        <v>0</v>
      </c>
      <c r="R311" s="9">
        <f>'01_Input_Raw_Products'!S311</f>
        <v>0</v>
      </c>
      <c r="S311" s="9" cm="1">
        <f t="array" ref="S311">IFERROR(_xlfn.XLOOKUP('01_Input_Raw_Products'!F311,'10_Master_Gem_Types'!A:A,'10_Master_Gem_Types'!H:H),"")</f>
        <v>0</v>
      </c>
      <c r="T311" s="8">
        <f>'01_Input_Raw_Products'!Q311</f>
        <v>0</v>
      </c>
      <c r="U311" s="8">
        <f>'01_Input_Raw_Products'!R311</f>
        <v>0</v>
      </c>
      <c r="V311" s="7">
        <f>I311</f>
        <v>0</v>
      </c>
      <c r="W311" s="9" cm="1">
        <f t="array" ref="W311">IF('01_Input_Raw_Products'!G311&lt;&gt;"",'01_Input_Raw_Products'!G311,IFERROR(_xlfn.XLOOKUP('01_Input_Raw_Products'!F311,'10_Master_Gem_Types'!A:A,'10_Master_Gem_Types'!L:L),""))</f>
        <v>0</v>
      </c>
      <c r="X311" s="9" cm="1">
        <f t="array" ref="X311">IFERROR(_xlfn.XLOOKUP('01_Input_Raw_Products'!F311,'10_Master_Gem_Types'!A:A,'10_Master_Gem_Types'!J:J),"")</f>
        <v>0</v>
      </c>
      <c r="Y311" s="9" cm="1">
        <f t="array" ref="Y311">IFERROR(_xlfn.XLOOKUP('01_Input_Raw_Products'!F311,'10_Master_Gem_Types'!A:A,'10_Master_Gem_Types'!I:I),"")</f>
        <v>0</v>
      </c>
      <c r="Z311" s="9" cm="1">
        <f t="array" ref="Z311">IFERROR(_xlfn.XLOOKUP('01_Input_Raw_Products'!L311,'13_Certification_Stickers'!A:A,'13_Certification_Stickers'!C:C),"")</f>
        <v>0</v>
      </c>
      <c r="AA311" s="9" cm="1">
        <f t="array" ref="AA311">IFERROR(_xlfn.XLOOKUP('01_Input_Raw_Products'!S311,'14_Shipping_Rules'!A:A,'14_Shipping_Rules'!B:B),"")</f>
        <v>0</v>
      </c>
      <c r="AB311" s="9" cm="1">
        <f t="array" ref="AB311">IFERROR(_xlfn.XLOOKUP('01_Input_Raw_Products'!D311,'16_Astro_Flags'!A:A,'16_Astro_Flags'!B:B),"")</f>
        <v>0</v>
      </c>
      <c r="AC311" s="9">
        <f>IF(C311="","","Catalog, Search")</f>
        <v>0</v>
      </c>
      <c r="AD311" s="9">
        <f>IF(C311="","",IF(OR(F311="",J311="",M311="",S311="",Y311=""),"Manual Review","Ready"))</f>
        <v>0</v>
      </c>
      <c r="AE311" s="9">
        <f>IF(C311="","",TEXTJOIN("; ",TRUE,IF(F311="","Missing url_key",""),IF(J311="","Missing classification",""),IF(M311="","Missing j_colour",""),IF(S311="","Missing hsn_code",""),IF(Y311="","Missing tax_class_id","")))</f>
        <v>0</v>
      </c>
    </row>
    <row r="312" spans="1:31">
      <c r="A312" s="9">
        <f>IF('01_Input_Raw_Products'!B312&lt;&gt;"",20,"")</f>
        <v>0</v>
      </c>
      <c r="B312" s="9" cm="1">
        <f t="array" ref="B312">IF('01_Input_Raw_Products'!M312&lt;&gt;"",'01_Input_Raw_Products'!M312,IFERROR(_xlfn.XLOOKUP('01_Input_Raw_Products'!F312,'10_Master_Gem_Types'!A:A,'10_Master_Gem_Types'!K:K),""))</f>
        <v>0</v>
      </c>
      <c r="C312" s="9">
        <f>'01_Input_Raw_Products'!B312</f>
        <v>0</v>
      </c>
      <c r="D312" s="9">
        <f>IF(C312="","",TEXT(I312,"0.00")&amp;" Ct "&amp;IF('01_Input_Raw_Products'!F312&lt;&gt;"",'01_Input_Raw_Products'!F312,'01_Input_Raw_Products'!D312)&amp;" "&amp;'01_Input_Raw_Products'!I312)</f>
        <v>0</v>
      </c>
      <c r="E312" s="9">
        <f>IF(C312="","",D312&amp;" | GemPundit")</f>
        <v>0</v>
      </c>
      <c r="F312" s="9" cm="1">
        <f t="array" ref="F312">IF('01_Input_Raw_Products'!X312&lt;&gt;"",'01_Input_Raw_Products'!X312,IFERROR(_xlfn.XLOOKUP('01_Input_Raw_Products'!F312,'10_Master_Gem_Types'!A:A,'10_Master_Gem_Types'!O:O),LOWER(SUBSTITUTE(IF('01_Input_Raw_Products'!F312&lt;&gt;"",'01_Input_Raw_Products'!F312,'01_Input_Raw_Products'!D312)," ","-"))))</f>
        <v>0</v>
      </c>
      <c r="G312" s="9">
        <f>'01_Input_Raw_Products'!C312</f>
        <v>0</v>
      </c>
      <c r="H312" s="9" cm="1">
        <f t="array" ref="H312">IF('01_Input_Raw_Products'!H312&lt;&gt;"",'01_Input_Raw_Products'!H312,IFERROR(_xlfn.XLOOKUP('01_Input_Raw_Products'!F312,'10_Master_Gem_Types'!A:A,'10_Master_Gem_Types'!D:D),""))</f>
        <v>0</v>
      </c>
      <c r="I312" s="7">
        <f>IF('01_Input_Raw_Products'!N312&lt;&gt;"",'01_Input_Raw_Products'!N312,IF('01_Input_Raw_Products'!O312&lt;&gt;"",'01_Input_Raw_Products'!O312*0.91,""))</f>
        <v>0</v>
      </c>
      <c r="J312" s="9" cm="1">
        <f t="array" ref="J312">IFERROR(_xlfn.XLOOKUP('01_Input_Raw_Products'!F312,'10_Master_Gem_Types'!A:A,'10_Master_Gem_Types'!N:N),"")</f>
        <v>0</v>
      </c>
      <c r="K312" s="9" cm="1">
        <f t="array" ref="K312">IF('01_Input_Raw_Products'!J312&lt;&gt;"",'01_Input_Raw_Products'!J312,IFERROR(_xlfn.XLOOKUP('01_Input_Raw_Products'!F312,'10_Master_Gem_Types'!A:A,'10_Master_Gem_Types'!E:E),""))</f>
        <v>0</v>
      </c>
      <c r="L312" s="9">
        <f>'01_Input_Raw_Products'!P312</f>
        <v>0</v>
      </c>
      <c r="M312" s="9" cm="1">
        <f t="array" ref="M312">IFERROR(_xlfn.XLOOKUP('01_Input_Raw_Products'!K312,'12_Color_Mapping'!A:A,'12_Color_Mapping'!B:B),IFERROR(_xlfn.XLOOKUP('01_Input_Raw_Products'!F312,'10_Master_Gem_Types'!A:A,'10_Master_Gem_Types'!F:F),""))</f>
        <v>0</v>
      </c>
      <c r="N312" s="9">
        <f>IF(C312="","",IF('01_Input_Raw_Products'!F312&lt;&gt;"",'01_Input_Raw_Products'!F312,'01_Input_Raw_Products'!D312))</f>
        <v>0</v>
      </c>
      <c r="O312" s="9">
        <f>IF(C312="","","Catalog Automation")</f>
        <v>0</v>
      </c>
      <c r="P312" s="9">
        <f>'01_Input_Raw_Products'!U312</f>
        <v>0</v>
      </c>
      <c r="Q312" s="7">
        <f>IF('01_Input_Raw_Products'!O312&lt;&gt;"",'01_Input_Raw_Products'!O312,IF('01_Input_Raw_Products'!N312&lt;&gt;"",'01_Input_Raw_Products'!N312*1.1,""))</f>
        <v>0</v>
      </c>
      <c r="R312" s="9">
        <f>'01_Input_Raw_Products'!S312</f>
        <v>0</v>
      </c>
      <c r="S312" s="9" cm="1">
        <f t="array" ref="S312">IFERROR(_xlfn.XLOOKUP('01_Input_Raw_Products'!F312,'10_Master_Gem_Types'!A:A,'10_Master_Gem_Types'!H:H),"")</f>
        <v>0</v>
      </c>
      <c r="T312" s="8">
        <f>'01_Input_Raw_Products'!Q312</f>
        <v>0</v>
      </c>
      <c r="U312" s="8">
        <f>'01_Input_Raw_Products'!R312</f>
        <v>0</v>
      </c>
      <c r="V312" s="7">
        <f>I312</f>
        <v>0</v>
      </c>
      <c r="W312" s="9" cm="1">
        <f t="array" ref="W312">IF('01_Input_Raw_Products'!G312&lt;&gt;"",'01_Input_Raw_Products'!G312,IFERROR(_xlfn.XLOOKUP('01_Input_Raw_Products'!F312,'10_Master_Gem_Types'!A:A,'10_Master_Gem_Types'!L:L),""))</f>
        <v>0</v>
      </c>
      <c r="X312" s="9" cm="1">
        <f t="array" ref="X312">IFERROR(_xlfn.XLOOKUP('01_Input_Raw_Products'!F312,'10_Master_Gem_Types'!A:A,'10_Master_Gem_Types'!J:J),"")</f>
        <v>0</v>
      </c>
      <c r="Y312" s="9" cm="1">
        <f t="array" ref="Y312">IFERROR(_xlfn.XLOOKUP('01_Input_Raw_Products'!F312,'10_Master_Gem_Types'!A:A,'10_Master_Gem_Types'!I:I),"")</f>
        <v>0</v>
      </c>
      <c r="Z312" s="9" cm="1">
        <f t="array" ref="Z312">IFERROR(_xlfn.XLOOKUP('01_Input_Raw_Products'!L312,'13_Certification_Stickers'!A:A,'13_Certification_Stickers'!C:C),"")</f>
        <v>0</v>
      </c>
      <c r="AA312" s="9" cm="1">
        <f t="array" ref="AA312">IFERROR(_xlfn.XLOOKUP('01_Input_Raw_Products'!S312,'14_Shipping_Rules'!A:A,'14_Shipping_Rules'!B:B),"")</f>
        <v>0</v>
      </c>
      <c r="AB312" s="9" cm="1">
        <f t="array" ref="AB312">IFERROR(_xlfn.XLOOKUP('01_Input_Raw_Products'!D312,'16_Astro_Flags'!A:A,'16_Astro_Flags'!B:B),"")</f>
        <v>0</v>
      </c>
      <c r="AC312" s="9">
        <f>IF(C312="","","Catalog, Search")</f>
        <v>0</v>
      </c>
      <c r="AD312" s="9">
        <f>IF(C312="","",IF(OR(F312="",J312="",M312="",S312="",Y312=""),"Manual Review","Ready"))</f>
        <v>0</v>
      </c>
      <c r="AE312" s="9">
        <f>IF(C312="","",TEXTJOIN("; ",TRUE,IF(F312="","Missing url_key",""),IF(J312="","Missing classification",""),IF(M312="","Missing j_colour",""),IF(S312="","Missing hsn_code",""),IF(Y312="","Missing tax_class_id","")))</f>
        <v>0</v>
      </c>
    </row>
    <row r="313" spans="1:31">
      <c r="A313" s="9">
        <f>IF('01_Input_Raw_Products'!B313&lt;&gt;"",20,"")</f>
        <v>0</v>
      </c>
      <c r="B313" s="9" cm="1">
        <f t="array" ref="B313">IF('01_Input_Raw_Products'!M313&lt;&gt;"",'01_Input_Raw_Products'!M313,IFERROR(_xlfn.XLOOKUP('01_Input_Raw_Products'!F313,'10_Master_Gem_Types'!A:A,'10_Master_Gem_Types'!K:K),""))</f>
        <v>0</v>
      </c>
      <c r="C313" s="9">
        <f>'01_Input_Raw_Products'!B313</f>
        <v>0</v>
      </c>
      <c r="D313" s="9">
        <f>IF(C313="","",TEXT(I313,"0.00")&amp;" Ct "&amp;IF('01_Input_Raw_Products'!F313&lt;&gt;"",'01_Input_Raw_Products'!F313,'01_Input_Raw_Products'!D313)&amp;" "&amp;'01_Input_Raw_Products'!I313)</f>
        <v>0</v>
      </c>
      <c r="E313" s="9">
        <f>IF(C313="","",D313&amp;" | GemPundit")</f>
        <v>0</v>
      </c>
      <c r="F313" s="9" cm="1">
        <f t="array" ref="F313">IF('01_Input_Raw_Products'!X313&lt;&gt;"",'01_Input_Raw_Products'!X313,IFERROR(_xlfn.XLOOKUP('01_Input_Raw_Products'!F313,'10_Master_Gem_Types'!A:A,'10_Master_Gem_Types'!O:O),LOWER(SUBSTITUTE(IF('01_Input_Raw_Products'!F313&lt;&gt;"",'01_Input_Raw_Products'!F313,'01_Input_Raw_Products'!D313)," ","-"))))</f>
        <v>0</v>
      </c>
      <c r="G313" s="9">
        <f>'01_Input_Raw_Products'!C313</f>
        <v>0</v>
      </c>
      <c r="H313" s="9" cm="1">
        <f t="array" ref="H313">IF('01_Input_Raw_Products'!H313&lt;&gt;"",'01_Input_Raw_Products'!H313,IFERROR(_xlfn.XLOOKUP('01_Input_Raw_Products'!F313,'10_Master_Gem_Types'!A:A,'10_Master_Gem_Types'!D:D),""))</f>
        <v>0</v>
      </c>
      <c r="I313" s="7">
        <f>IF('01_Input_Raw_Products'!N313&lt;&gt;"",'01_Input_Raw_Products'!N313,IF('01_Input_Raw_Products'!O313&lt;&gt;"",'01_Input_Raw_Products'!O313*0.91,""))</f>
        <v>0</v>
      </c>
      <c r="J313" s="9" cm="1">
        <f t="array" ref="J313">IFERROR(_xlfn.XLOOKUP('01_Input_Raw_Products'!F313,'10_Master_Gem_Types'!A:A,'10_Master_Gem_Types'!N:N),"")</f>
        <v>0</v>
      </c>
      <c r="K313" s="9" cm="1">
        <f t="array" ref="K313">IF('01_Input_Raw_Products'!J313&lt;&gt;"",'01_Input_Raw_Products'!J313,IFERROR(_xlfn.XLOOKUP('01_Input_Raw_Products'!F313,'10_Master_Gem_Types'!A:A,'10_Master_Gem_Types'!E:E),""))</f>
        <v>0</v>
      </c>
      <c r="L313" s="9">
        <f>'01_Input_Raw_Products'!P313</f>
        <v>0</v>
      </c>
      <c r="M313" s="9" cm="1">
        <f t="array" ref="M313">IFERROR(_xlfn.XLOOKUP('01_Input_Raw_Products'!K313,'12_Color_Mapping'!A:A,'12_Color_Mapping'!B:B),IFERROR(_xlfn.XLOOKUP('01_Input_Raw_Products'!F313,'10_Master_Gem_Types'!A:A,'10_Master_Gem_Types'!F:F),""))</f>
        <v>0</v>
      </c>
      <c r="N313" s="9">
        <f>IF(C313="","",IF('01_Input_Raw_Products'!F313&lt;&gt;"",'01_Input_Raw_Products'!F313,'01_Input_Raw_Products'!D313))</f>
        <v>0</v>
      </c>
      <c r="O313" s="9">
        <f>IF(C313="","","Catalog Automation")</f>
        <v>0</v>
      </c>
      <c r="P313" s="9">
        <f>'01_Input_Raw_Products'!U313</f>
        <v>0</v>
      </c>
      <c r="Q313" s="7">
        <f>IF('01_Input_Raw_Products'!O313&lt;&gt;"",'01_Input_Raw_Products'!O313,IF('01_Input_Raw_Products'!N313&lt;&gt;"",'01_Input_Raw_Products'!N313*1.1,""))</f>
        <v>0</v>
      </c>
      <c r="R313" s="9">
        <f>'01_Input_Raw_Products'!S313</f>
        <v>0</v>
      </c>
      <c r="S313" s="9" cm="1">
        <f t="array" ref="S313">IFERROR(_xlfn.XLOOKUP('01_Input_Raw_Products'!F313,'10_Master_Gem_Types'!A:A,'10_Master_Gem_Types'!H:H),"")</f>
        <v>0</v>
      </c>
      <c r="T313" s="8">
        <f>'01_Input_Raw_Products'!Q313</f>
        <v>0</v>
      </c>
      <c r="U313" s="8">
        <f>'01_Input_Raw_Products'!R313</f>
        <v>0</v>
      </c>
      <c r="V313" s="7">
        <f>I313</f>
        <v>0</v>
      </c>
      <c r="W313" s="9" cm="1">
        <f t="array" ref="W313">IF('01_Input_Raw_Products'!G313&lt;&gt;"",'01_Input_Raw_Products'!G313,IFERROR(_xlfn.XLOOKUP('01_Input_Raw_Products'!F313,'10_Master_Gem_Types'!A:A,'10_Master_Gem_Types'!L:L),""))</f>
        <v>0</v>
      </c>
      <c r="X313" s="9" cm="1">
        <f t="array" ref="X313">IFERROR(_xlfn.XLOOKUP('01_Input_Raw_Products'!F313,'10_Master_Gem_Types'!A:A,'10_Master_Gem_Types'!J:J),"")</f>
        <v>0</v>
      </c>
      <c r="Y313" s="9" cm="1">
        <f t="array" ref="Y313">IFERROR(_xlfn.XLOOKUP('01_Input_Raw_Products'!F313,'10_Master_Gem_Types'!A:A,'10_Master_Gem_Types'!I:I),"")</f>
        <v>0</v>
      </c>
      <c r="Z313" s="9" cm="1">
        <f t="array" ref="Z313">IFERROR(_xlfn.XLOOKUP('01_Input_Raw_Products'!L313,'13_Certification_Stickers'!A:A,'13_Certification_Stickers'!C:C),"")</f>
        <v>0</v>
      </c>
      <c r="AA313" s="9" cm="1">
        <f t="array" ref="AA313">IFERROR(_xlfn.XLOOKUP('01_Input_Raw_Products'!S313,'14_Shipping_Rules'!A:A,'14_Shipping_Rules'!B:B),"")</f>
        <v>0</v>
      </c>
      <c r="AB313" s="9" cm="1">
        <f t="array" ref="AB313">IFERROR(_xlfn.XLOOKUP('01_Input_Raw_Products'!D313,'16_Astro_Flags'!A:A,'16_Astro_Flags'!B:B),"")</f>
        <v>0</v>
      </c>
      <c r="AC313" s="9">
        <f>IF(C313="","","Catalog, Search")</f>
        <v>0</v>
      </c>
      <c r="AD313" s="9">
        <f>IF(C313="","",IF(OR(F313="",J313="",M313="",S313="",Y313=""),"Manual Review","Ready"))</f>
        <v>0</v>
      </c>
      <c r="AE313" s="9">
        <f>IF(C313="","",TEXTJOIN("; ",TRUE,IF(F313="","Missing url_key",""),IF(J313="","Missing classification",""),IF(M313="","Missing j_colour",""),IF(S313="","Missing hsn_code",""),IF(Y313="","Missing tax_class_id","")))</f>
        <v>0</v>
      </c>
    </row>
    <row r="314" spans="1:31">
      <c r="A314" s="9">
        <f>IF('01_Input_Raw_Products'!B314&lt;&gt;"",20,"")</f>
        <v>0</v>
      </c>
      <c r="B314" s="9" cm="1">
        <f t="array" ref="B314">IF('01_Input_Raw_Products'!M314&lt;&gt;"",'01_Input_Raw_Products'!M314,IFERROR(_xlfn.XLOOKUP('01_Input_Raw_Products'!F314,'10_Master_Gem_Types'!A:A,'10_Master_Gem_Types'!K:K),""))</f>
        <v>0</v>
      </c>
      <c r="C314" s="9">
        <f>'01_Input_Raw_Products'!B314</f>
        <v>0</v>
      </c>
      <c r="D314" s="9">
        <f>IF(C314="","",TEXT(I314,"0.00")&amp;" Ct "&amp;IF('01_Input_Raw_Products'!F314&lt;&gt;"",'01_Input_Raw_Products'!F314,'01_Input_Raw_Products'!D314)&amp;" "&amp;'01_Input_Raw_Products'!I314)</f>
        <v>0</v>
      </c>
      <c r="E314" s="9">
        <f>IF(C314="","",D314&amp;" | GemPundit")</f>
        <v>0</v>
      </c>
      <c r="F314" s="9" cm="1">
        <f t="array" ref="F314">IF('01_Input_Raw_Products'!X314&lt;&gt;"",'01_Input_Raw_Products'!X314,IFERROR(_xlfn.XLOOKUP('01_Input_Raw_Products'!F314,'10_Master_Gem_Types'!A:A,'10_Master_Gem_Types'!O:O),LOWER(SUBSTITUTE(IF('01_Input_Raw_Products'!F314&lt;&gt;"",'01_Input_Raw_Products'!F314,'01_Input_Raw_Products'!D314)," ","-"))))</f>
        <v>0</v>
      </c>
      <c r="G314" s="9">
        <f>'01_Input_Raw_Products'!C314</f>
        <v>0</v>
      </c>
      <c r="H314" s="9" cm="1">
        <f t="array" ref="H314">IF('01_Input_Raw_Products'!H314&lt;&gt;"",'01_Input_Raw_Products'!H314,IFERROR(_xlfn.XLOOKUP('01_Input_Raw_Products'!F314,'10_Master_Gem_Types'!A:A,'10_Master_Gem_Types'!D:D),""))</f>
        <v>0</v>
      </c>
      <c r="I314" s="7">
        <f>IF('01_Input_Raw_Products'!N314&lt;&gt;"",'01_Input_Raw_Products'!N314,IF('01_Input_Raw_Products'!O314&lt;&gt;"",'01_Input_Raw_Products'!O314*0.91,""))</f>
        <v>0</v>
      </c>
      <c r="J314" s="9" cm="1">
        <f t="array" ref="J314">IFERROR(_xlfn.XLOOKUP('01_Input_Raw_Products'!F314,'10_Master_Gem_Types'!A:A,'10_Master_Gem_Types'!N:N),"")</f>
        <v>0</v>
      </c>
      <c r="K314" s="9" cm="1">
        <f t="array" ref="K314">IF('01_Input_Raw_Products'!J314&lt;&gt;"",'01_Input_Raw_Products'!J314,IFERROR(_xlfn.XLOOKUP('01_Input_Raw_Products'!F314,'10_Master_Gem_Types'!A:A,'10_Master_Gem_Types'!E:E),""))</f>
        <v>0</v>
      </c>
      <c r="L314" s="9">
        <f>'01_Input_Raw_Products'!P314</f>
        <v>0</v>
      </c>
      <c r="M314" s="9" cm="1">
        <f t="array" ref="M314">IFERROR(_xlfn.XLOOKUP('01_Input_Raw_Products'!K314,'12_Color_Mapping'!A:A,'12_Color_Mapping'!B:B),IFERROR(_xlfn.XLOOKUP('01_Input_Raw_Products'!F314,'10_Master_Gem_Types'!A:A,'10_Master_Gem_Types'!F:F),""))</f>
        <v>0</v>
      </c>
      <c r="N314" s="9">
        <f>IF(C314="","",IF('01_Input_Raw_Products'!F314&lt;&gt;"",'01_Input_Raw_Products'!F314,'01_Input_Raw_Products'!D314))</f>
        <v>0</v>
      </c>
      <c r="O314" s="9">
        <f>IF(C314="","","Catalog Automation")</f>
        <v>0</v>
      </c>
      <c r="P314" s="9">
        <f>'01_Input_Raw_Products'!U314</f>
        <v>0</v>
      </c>
      <c r="Q314" s="7">
        <f>IF('01_Input_Raw_Products'!O314&lt;&gt;"",'01_Input_Raw_Products'!O314,IF('01_Input_Raw_Products'!N314&lt;&gt;"",'01_Input_Raw_Products'!N314*1.1,""))</f>
        <v>0</v>
      </c>
      <c r="R314" s="9">
        <f>'01_Input_Raw_Products'!S314</f>
        <v>0</v>
      </c>
      <c r="S314" s="9" cm="1">
        <f t="array" ref="S314">IFERROR(_xlfn.XLOOKUP('01_Input_Raw_Products'!F314,'10_Master_Gem_Types'!A:A,'10_Master_Gem_Types'!H:H),"")</f>
        <v>0</v>
      </c>
      <c r="T314" s="8">
        <f>'01_Input_Raw_Products'!Q314</f>
        <v>0</v>
      </c>
      <c r="U314" s="8">
        <f>'01_Input_Raw_Products'!R314</f>
        <v>0</v>
      </c>
      <c r="V314" s="7">
        <f>I314</f>
        <v>0</v>
      </c>
      <c r="W314" s="9" cm="1">
        <f t="array" ref="W314">IF('01_Input_Raw_Products'!G314&lt;&gt;"",'01_Input_Raw_Products'!G314,IFERROR(_xlfn.XLOOKUP('01_Input_Raw_Products'!F314,'10_Master_Gem_Types'!A:A,'10_Master_Gem_Types'!L:L),""))</f>
        <v>0</v>
      </c>
      <c r="X314" s="9" cm="1">
        <f t="array" ref="X314">IFERROR(_xlfn.XLOOKUP('01_Input_Raw_Products'!F314,'10_Master_Gem_Types'!A:A,'10_Master_Gem_Types'!J:J),"")</f>
        <v>0</v>
      </c>
      <c r="Y314" s="9" cm="1">
        <f t="array" ref="Y314">IFERROR(_xlfn.XLOOKUP('01_Input_Raw_Products'!F314,'10_Master_Gem_Types'!A:A,'10_Master_Gem_Types'!I:I),"")</f>
        <v>0</v>
      </c>
      <c r="Z314" s="9" cm="1">
        <f t="array" ref="Z314">IFERROR(_xlfn.XLOOKUP('01_Input_Raw_Products'!L314,'13_Certification_Stickers'!A:A,'13_Certification_Stickers'!C:C),"")</f>
        <v>0</v>
      </c>
      <c r="AA314" s="9" cm="1">
        <f t="array" ref="AA314">IFERROR(_xlfn.XLOOKUP('01_Input_Raw_Products'!S314,'14_Shipping_Rules'!A:A,'14_Shipping_Rules'!B:B),"")</f>
        <v>0</v>
      </c>
      <c r="AB314" s="9" cm="1">
        <f t="array" ref="AB314">IFERROR(_xlfn.XLOOKUP('01_Input_Raw_Products'!D314,'16_Astro_Flags'!A:A,'16_Astro_Flags'!B:B),"")</f>
        <v>0</v>
      </c>
      <c r="AC314" s="9">
        <f>IF(C314="","","Catalog, Search")</f>
        <v>0</v>
      </c>
      <c r="AD314" s="9">
        <f>IF(C314="","",IF(OR(F314="",J314="",M314="",S314="",Y314=""),"Manual Review","Ready"))</f>
        <v>0</v>
      </c>
      <c r="AE314" s="9">
        <f>IF(C314="","",TEXTJOIN("; ",TRUE,IF(F314="","Missing url_key",""),IF(J314="","Missing classification",""),IF(M314="","Missing j_colour",""),IF(S314="","Missing hsn_code",""),IF(Y314="","Missing tax_class_id","")))</f>
        <v>0</v>
      </c>
    </row>
    <row r="315" spans="1:31">
      <c r="A315" s="9">
        <f>IF('01_Input_Raw_Products'!B315&lt;&gt;"",20,"")</f>
        <v>0</v>
      </c>
      <c r="B315" s="9" cm="1">
        <f t="array" ref="B315">IF('01_Input_Raw_Products'!M315&lt;&gt;"",'01_Input_Raw_Products'!M315,IFERROR(_xlfn.XLOOKUP('01_Input_Raw_Products'!F315,'10_Master_Gem_Types'!A:A,'10_Master_Gem_Types'!K:K),""))</f>
        <v>0</v>
      </c>
      <c r="C315" s="9">
        <f>'01_Input_Raw_Products'!B315</f>
        <v>0</v>
      </c>
      <c r="D315" s="9">
        <f>IF(C315="","",TEXT(I315,"0.00")&amp;" Ct "&amp;IF('01_Input_Raw_Products'!F315&lt;&gt;"",'01_Input_Raw_Products'!F315,'01_Input_Raw_Products'!D315)&amp;" "&amp;'01_Input_Raw_Products'!I315)</f>
        <v>0</v>
      </c>
      <c r="E315" s="9">
        <f>IF(C315="","",D315&amp;" | GemPundit")</f>
        <v>0</v>
      </c>
      <c r="F315" s="9" cm="1">
        <f t="array" ref="F315">IF('01_Input_Raw_Products'!X315&lt;&gt;"",'01_Input_Raw_Products'!X315,IFERROR(_xlfn.XLOOKUP('01_Input_Raw_Products'!F315,'10_Master_Gem_Types'!A:A,'10_Master_Gem_Types'!O:O),LOWER(SUBSTITUTE(IF('01_Input_Raw_Products'!F315&lt;&gt;"",'01_Input_Raw_Products'!F315,'01_Input_Raw_Products'!D315)," ","-"))))</f>
        <v>0</v>
      </c>
      <c r="G315" s="9">
        <f>'01_Input_Raw_Products'!C315</f>
        <v>0</v>
      </c>
      <c r="H315" s="9" cm="1">
        <f t="array" ref="H315">IF('01_Input_Raw_Products'!H315&lt;&gt;"",'01_Input_Raw_Products'!H315,IFERROR(_xlfn.XLOOKUP('01_Input_Raw_Products'!F315,'10_Master_Gem_Types'!A:A,'10_Master_Gem_Types'!D:D),""))</f>
        <v>0</v>
      </c>
      <c r="I315" s="7">
        <f>IF('01_Input_Raw_Products'!N315&lt;&gt;"",'01_Input_Raw_Products'!N315,IF('01_Input_Raw_Products'!O315&lt;&gt;"",'01_Input_Raw_Products'!O315*0.91,""))</f>
        <v>0</v>
      </c>
      <c r="J315" s="9" cm="1">
        <f t="array" ref="J315">IFERROR(_xlfn.XLOOKUP('01_Input_Raw_Products'!F315,'10_Master_Gem_Types'!A:A,'10_Master_Gem_Types'!N:N),"")</f>
        <v>0</v>
      </c>
      <c r="K315" s="9" cm="1">
        <f t="array" ref="K315">IF('01_Input_Raw_Products'!J315&lt;&gt;"",'01_Input_Raw_Products'!J315,IFERROR(_xlfn.XLOOKUP('01_Input_Raw_Products'!F315,'10_Master_Gem_Types'!A:A,'10_Master_Gem_Types'!E:E),""))</f>
        <v>0</v>
      </c>
      <c r="L315" s="9">
        <f>'01_Input_Raw_Products'!P315</f>
        <v>0</v>
      </c>
      <c r="M315" s="9" cm="1">
        <f t="array" ref="M315">IFERROR(_xlfn.XLOOKUP('01_Input_Raw_Products'!K315,'12_Color_Mapping'!A:A,'12_Color_Mapping'!B:B),IFERROR(_xlfn.XLOOKUP('01_Input_Raw_Products'!F315,'10_Master_Gem_Types'!A:A,'10_Master_Gem_Types'!F:F),""))</f>
        <v>0</v>
      </c>
      <c r="N315" s="9">
        <f>IF(C315="","",IF('01_Input_Raw_Products'!F315&lt;&gt;"",'01_Input_Raw_Products'!F315,'01_Input_Raw_Products'!D315))</f>
        <v>0</v>
      </c>
      <c r="O315" s="9">
        <f>IF(C315="","","Catalog Automation")</f>
        <v>0</v>
      </c>
      <c r="P315" s="9">
        <f>'01_Input_Raw_Products'!U315</f>
        <v>0</v>
      </c>
      <c r="Q315" s="7">
        <f>IF('01_Input_Raw_Products'!O315&lt;&gt;"",'01_Input_Raw_Products'!O315,IF('01_Input_Raw_Products'!N315&lt;&gt;"",'01_Input_Raw_Products'!N315*1.1,""))</f>
        <v>0</v>
      </c>
      <c r="R315" s="9">
        <f>'01_Input_Raw_Products'!S315</f>
        <v>0</v>
      </c>
      <c r="S315" s="9" cm="1">
        <f t="array" ref="S315">IFERROR(_xlfn.XLOOKUP('01_Input_Raw_Products'!F315,'10_Master_Gem_Types'!A:A,'10_Master_Gem_Types'!H:H),"")</f>
        <v>0</v>
      </c>
      <c r="T315" s="8">
        <f>'01_Input_Raw_Products'!Q315</f>
        <v>0</v>
      </c>
      <c r="U315" s="8">
        <f>'01_Input_Raw_Products'!R315</f>
        <v>0</v>
      </c>
      <c r="V315" s="7">
        <f>I315</f>
        <v>0</v>
      </c>
      <c r="W315" s="9" cm="1">
        <f t="array" ref="W315">IF('01_Input_Raw_Products'!G315&lt;&gt;"",'01_Input_Raw_Products'!G315,IFERROR(_xlfn.XLOOKUP('01_Input_Raw_Products'!F315,'10_Master_Gem_Types'!A:A,'10_Master_Gem_Types'!L:L),""))</f>
        <v>0</v>
      </c>
      <c r="X315" s="9" cm="1">
        <f t="array" ref="X315">IFERROR(_xlfn.XLOOKUP('01_Input_Raw_Products'!F315,'10_Master_Gem_Types'!A:A,'10_Master_Gem_Types'!J:J),"")</f>
        <v>0</v>
      </c>
      <c r="Y315" s="9" cm="1">
        <f t="array" ref="Y315">IFERROR(_xlfn.XLOOKUP('01_Input_Raw_Products'!F315,'10_Master_Gem_Types'!A:A,'10_Master_Gem_Types'!I:I),"")</f>
        <v>0</v>
      </c>
      <c r="Z315" s="9" cm="1">
        <f t="array" ref="Z315">IFERROR(_xlfn.XLOOKUP('01_Input_Raw_Products'!L315,'13_Certification_Stickers'!A:A,'13_Certification_Stickers'!C:C),"")</f>
        <v>0</v>
      </c>
      <c r="AA315" s="9" cm="1">
        <f t="array" ref="AA315">IFERROR(_xlfn.XLOOKUP('01_Input_Raw_Products'!S315,'14_Shipping_Rules'!A:A,'14_Shipping_Rules'!B:B),"")</f>
        <v>0</v>
      </c>
      <c r="AB315" s="9" cm="1">
        <f t="array" ref="AB315">IFERROR(_xlfn.XLOOKUP('01_Input_Raw_Products'!D315,'16_Astro_Flags'!A:A,'16_Astro_Flags'!B:B),"")</f>
        <v>0</v>
      </c>
      <c r="AC315" s="9">
        <f>IF(C315="","","Catalog, Search")</f>
        <v>0</v>
      </c>
      <c r="AD315" s="9">
        <f>IF(C315="","",IF(OR(F315="",J315="",M315="",S315="",Y315=""),"Manual Review","Ready"))</f>
        <v>0</v>
      </c>
      <c r="AE315" s="9">
        <f>IF(C315="","",TEXTJOIN("; ",TRUE,IF(F315="","Missing url_key",""),IF(J315="","Missing classification",""),IF(M315="","Missing j_colour",""),IF(S315="","Missing hsn_code",""),IF(Y315="","Missing tax_class_id","")))</f>
        <v>0</v>
      </c>
    </row>
    <row r="316" spans="1:31">
      <c r="A316" s="9">
        <f>IF('01_Input_Raw_Products'!B316&lt;&gt;"",20,"")</f>
        <v>0</v>
      </c>
      <c r="B316" s="9" cm="1">
        <f t="array" ref="B316">IF('01_Input_Raw_Products'!M316&lt;&gt;"",'01_Input_Raw_Products'!M316,IFERROR(_xlfn.XLOOKUP('01_Input_Raw_Products'!F316,'10_Master_Gem_Types'!A:A,'10_Master_Gem_Types'!K:K),""))</f>
        <v>0</v>
      </c>
      <c r="C316" s="9">
        <f>'01_Input_Raw_Products'!B316</f>
        <v>0</v>
      </c>
      <c r="D316" s="9">
        <f>IF(C316="","",TEXT(I316,"0.00")&amp;" Ct "&amp;IF('01_Input_Raw_Products'!F316&lt;&gt;"",'01_Input_Raw_Products'!F316,'01_Input_Raw_Products'!D316)&amp;" "&amp;'01_Input_Raw_Products'!I316)</f>
        <v>0</v>
      </c>
      <c r="E316" s="9">
        <f>IF(C316="","",D316&amp;" | GemPundit")</f>
        <v>0</v>
      </c>
      <c r="F316" s="9" cm="1">
        <f t="array" ref="F316">IF('01_Input_Raw_Products'!X316&lt;&gt;"",'01_Input_Raw_Products'!X316,IFERROR(_xlfn.XLOOKUP('01_Input_Raw_Products'!F316,'10_Master_Gem_Types'!A:A,'10_Master_Gem_Types'!O:O),LOWER(SUBSTITUTE(IF('01_Input_Raw_Products'!F316&lt;&gt;"",'01_Input_Raw_Products'!F316,'01_Input_Raw_Products'!D316)," ","-"))))</f>
        <v>0</v>
      </c>
      <c r="G316" s="9">
        <f>'01_Input_Raw_Products'!C316</f>
        <v>0</v>
      </c>
      <c r="H316" s="9" cm="1">
        <f t="array" ref="H316">IF('01_Input_Raw_Products'!H316&lt;&gt;"",'01_Input_Raw_Products'!H316,IFERROR(_xlfn.XLOOKUP('01_Input_Raw_Products'!F316,'10_Master_Gem_Types'!A:A,'10_Master_Gem_Types'!D:D),""))</f>
        <v>0</v>
      </c>
      <c r="I316" s="7">
        <f>IF('01_Input_Raw_Products'!N316&lt;&gt;"",'01_Input_Raw_Products'!N316,IF('01_Input_Raw_Products'!O316&lt;&gt;"",'01_Input_Raw_Products'!O316*0.91,""))</f>
        <v>0</v>
      </c>
      <c r="J316" s="9" cm="1">
        <f t="array" ref="J316">IFERROR(_xlfn.XLOOKUP('01_Input_Raw_Products'!F316,'10_Master_Gem_Types'!A:A,'10_Master_Gem_Types'!N:N),"")</f>
        <v>0</v>
      </c>
      <c r="K316" s="9" cm="1">
        <f t="array" ref="K316">IF('01_Input_Raw_Products'!J316&lt;&gt;"",'01_Input_Raw_Products'!J316,IFERROR(_xlfn.XLOOKUP('01_Input_Raw_Products'!F316,'10_Master_Gem_Types'!A:A,'10_Master_Gem_Types'!E:E),""))</f>
        <v>0</v>
      </c>
      <c r="L316" s="9">
        <f>'01_Input_Raw_Products'!P316</f>
        <v>0</v>
      </c>
      <c r="M316" s="9" cm="1">
        <f t="array" ref="M316">IFERROR(_xlfn.XLOOKUP('01_Input_Raw_Products'!K316,'12_Color_Mapping'!A:A,'12_Color_Mapping'!B:B),IFERROR(_xlfn.XLOOKUP('01_Input_Raw_Products'!F316,'10_Master_Gem_Types'!A:A,'10_Master_Gem_Types'!F:F),""))</f>
        <v>0</v>
      </c>
      <c r="N316" s="9">
        <f>IF(C316="","",IF('01_Input_Raw_Products'!F316&lt;&gt;"",'01_Input_Raw_Products'!F316,'01_Input_Raw_Products'!D316))</f>
        <v>0</v>
      </c>
      <c r="O316" s="9">
        <f>IF(C316="","","Catalog Automation")</f>
        <v>0</v>
      </c>
      <c r="P316" s="9">
        <f>'01_Input_Raw_Products'!U316</f>
        <v>0</v>
      </c>
      <c r="Q316" s="7">
        <f>IF('01_Input_Raw_Products'!O316&lt;&gt;"",'01_Input_Raw_Products'!O316,IF('01_Input_Raw_Products'!N316&lt;&gt;"",'01_Input_Raw_Products'!N316*1.1,""))</f>
        <v>0</v>
      </c>
      <c r="R316" s="9">
        <f>'01_Input_Raw_Products'!S316</f>
        <v>0</v>
      </c>
      <c r="S316" s="9" cm="1">
        <f t="array" ref="S316">IFERROR(_xlfn.XLOOKUP('01_Input_Raw_Products'!F316,'10_Master_Gem_Types'!A:A,'10_Master_Gem_Types'!H:H),"")</f>
        <v>0</v>
      </c>
      <c r="T316" s="8">
        <f>'01_Input_Raw_Products'!Q316</f>
        <v>0</v>
      </c>
      <c r="U316" s="8">
        <f>'01_Input_Raw_Products'!R316</f>
        <v>0</v>
      </c>
      <c r="V316" s="7">
        <f>I316</f>
        <v>0</v>
      </c>
      <c r="W316" s="9" cm="1">
        <f t="array" ref="W316">IF('01_Input_Raw_Products'!G316&lt;&gt;"",'01_Input_Raw_Products'!G316,IFERROR(_xlfn.XLOOKUP('01_Input_Raw_Products'!F316,'10_Master_Gem_Types'!A:A,'10_Master_Gem_Types'!L:L),""))</f>
        <v>0</v>
      </c>
      <c r="X316" s="9" cm="1">
        <f t="array" ref="X316">IFERROR(_xlfn.XLOOKUP('01_Input_Raw_Products'!F316,'10_Master_Gem_Types'!A:A,'10_Master_Gem_Types'!J:J),"")</f>
        <v>0</v>
      </c>
      <c r="Y316" s="9" cm="1">
        <f t="array" ref="Y316">IFERROR(_xlfn.XLOOKUP('01_Input_Raw_Products'!F316,'10_Master_Gem_Types'!A:A,'10_Master_Gem_Types'!I:I),"")</f>
        <v>0</v>
      </c>
      <c r="Z316" s="9" cm="1">
        <f t="array" ref="Z316">IFERROR(_xlfn.XLOOKUP('01_Input_Raw_Products'!L316,'13_Certification_Stickers'!A:A,'13_Certification_Stickers'!C:C),"")</f>
        <v>0</v>
      </c>
      <c r="AA316" s="9" cm="1">
        <f t="array" ref="AA316">IFERROR(_xlfn.XLOOKUP('01_Input_Raw_Products'!S316,'14_Shipping_Rules'!A:A,'14_Shipping_Rules'!B:B),"")</f>
        <v>0</v>
      </c>
      <c r="AB316" s="9" cm="1">
        <f t="array" ref="AB316">IFERROR(_xlfn.XLOOKUP('01_Input_Raw_Products'!D316,'16_Astro_Flags'!A:A,'16_Astro_Flags'!B:B),"")</f>
        <v>0</v>
      </c>
      <c r="AC316" s="9">
        <f>IF(C316="","","Catalog, Search")</f>
        <v>0</v>
      </c>
      <c r="AD316" s="9">
        <f>IF(C316="","",IF(OR(F316="",J316="",M316="",S316="",Y316=""),"Manual Review","Ready"))</f>
        <v>0</v>
      </c>
      <c r="AE316" s="9">
        <f>IF(C316="","",TEXTJOIN("; ",TRUE,IF(F316="","Missing url_key",""),IF(J316="","Missing classification",""),IF(M316="","Missing j_colour",""),IF(S316="","Missing hsn_code",""),IF(Y316="","Missing tax_class_id","")))</f>
        <v>0</v>
      </c>
    </row>
    <row r="317" spans="1:31">
      <c r="A317" s="9">
        <f>IF('01_Input_Raw_Products'!B317&lt;&gt;"",20,"")</f>
        <v>0</v>
      </c>
      <c r="B317" s="9" cm="1">
        <f t="array" ref="B317">IF('01_Input_Raw_Products'!M317&lt;&gt;"",'01_Input_Raw_Products'!M317,IFERROR(_xlfn.XLOOKUP('01_Input_Raw_Products'!F317,'10_Master_Gem_Types'!A:A,'10_Master_Gem_Types'!K:K),""))</f>
        <v>0</v>
      </c>
      <c r="C317" s="9">
        <f>'01_Input_Raw_Products'!B317</f>
        <v>0</v>
      </c>
      <c r="D317" s="9">
        <f>IF(C317="","",TEXT(I317,"0.00")&amp;" Ct "&amp;IF('01_Input_Raw_Products'!F317&lt;&gt;"",'01_Input_Raw_Products'!F317,'01_Input_Raw_Products'!D317)&amp;" "&amp;'01_Input_Raw_Products'!I317)</f>
        <v>0</v>
      </c>
      <c r="E317" s="9">
        <f>IF(C317="","",D317&amp;" | GemPundit")</f>
        <v>0</v>
      </c>
      <c r="F317" s="9" cm="1">
        <f t="array" ref="F317">IF('01_Input_Raw_Products'!X317&lt;&gt;"",'01_Input_Raw_Products'!X317,IFERROR(_xlfn.XLOOKUP('01_Input_Raw_Products'!F317,'10_Master_Gem_Types'!A:A,'10_Master_Gem_Types'!O:O),LOWER(SUBSTITUTE(IF('01_Input_Raw_Products'!F317&lt;&gt;"",'01_Input_Raw_Products'!F317,'01_Input_Raw_Products'!D317)," ","-"))))</f>
        <v>0</v>
      </c>
      <c r="G317" s="9">
        <f>'01_Input_Raw_Products'!C317</f>
        <v>0</v>
      </c>
      <c r="H317" s="9" cm="1">
        <f t="array" ref="H317">IF('01_Input_Raw_Products'!H317&lt;&gt;"",'01_Input_Raw_Products'!H317,IFERROR(_xlfn.XLOOKUP('01_Input_Raw_Products'!F317,'10_Master_Gem_Types'!A:A,'10_Master_Gem_Types'!D:D),""))</f>
        <v>0</v>
      </c>
      <c r="I317" s="7">
        <f>IF('01_Input_Raw_Products'!N317&lt;&gt;"",'01_Input_Raw_Products'!N317,IF('01_Input_Raw_Products'!O317&lt;&gt;"",'01_Input_Raw_Products'!O317*0.91,""))</f>
        <v>0</v>
      </c>
      <c r="J317" s="9" cm="1">
        <f t="array" ref="J317">IFERROR(_xlfn.XLOOKUP('01_Input_Raw_Products'!F317,'10_Master_Gem_Types'!A:A,'10_Master_Gem_Types'!N:N),"")</f>
        <v>0</v>
      </c>
      <c r="K317" s="9" cm="1">
        <f t="array" ref="K317">IF('01_Input_Raw_Products'!J317&lt;&gt;"",'01_Input_Raw_Products'!J317,IFERROR(_xlfn.XLOOKUP('01_Input_Raw_Products'!F317,'10_Master_Gem_Types'!A:A,'10_Master_Gem_Types'!E:E),""))</f>
        <v>0</v>
      </c>
      <c r="L317" s="9">
        <f>'01_Input_Raw_Products'!P317</f>
        <v>0</v>
      </c>
      <c r="M317" s="9" cm="1">
        <f t="array" ref="M317">IFERROR(_xlfn.XLOOKUP('01_Input_Raw_Products'!K317,'12_Color_Mapping'!A:A,'12_Color_Mapping'!B:B),IFERROR(_xlfn.XLOOKUP('01_Input_Raw_Products'!F317,'10_Master_Gem_Types'!A:A,'10_Master_Gem_Types'!F:F),""))</f>
        <v>0</v>
      </c>
      <c r="N317" s="9">
        <f>IF(C317="","",IF('01_Input_Raw_Products'!F317&lt;&gt;"",'01_Input_Raw_Products'!F317,'01_Input_Raw_Products'!D317))</f>
        <v>0</v>
      </c>
      <c r="O317" s="9">
        <f>IF(C317="","","Catalog Automation")</f>
        <v>0</v>
      </c>
      <c r="P317" s="9">
        <f>'01_Input_Raw_Products'!U317</f>
        <v>0</v>
      </c>
      <c r="Q317" s="7">
        <f>IF('01_Input_Raw_Products'!O317&lt;&gt;"",'01_Input_Raw_Products'!O317,IF('01_Input_Raw_Products'!N317&lt;&gt;"",'01_Input_Raw_Products'!N317*1.1,""))</f>
        <v>0</v>
      </c>
      <c r="R317" s="9">
        <f>'01_Input_Raw_Products'!S317</f>
        <v>0</v>
      </c>
      <c r="S317" s="9" cm="1">
        <f t="array" ref="S317">IFERROR(_xlfn.XLOOKUP('01_Input_Raw_Products'!F317,'10_Master_Gem_Types'!A:A,'10_Master_Gem_Types'!H:H),"")</f>
        <v>0</v>
      </c>
      <c r="T317" s="8">
        <f>'01_Input_Raw_Products'!Q317</f>
        <v>0</v>
      </c>
      <c r="U317" s="8">
        <f>'01_Input_Raw_Products'!R317</f>
        <v>0</v>
      </c>
      <c r="V317" s="7">
        <f>I317</f>
        <v>0</v>
      </c>
      <c r="W317" s="9" cm="1">
        <f t="array" ref="W317">IF('01_Input_Raw_Products'!G317&lt;&gt;"",'01_Input_Raw_Products'!G317,IFERROR(_xlfn.XLOOKUP('01_Input_Raw_Products'!F317,'10_Master_Gem_Types'!A:A,'10_Master_Gem_Types'!L:L),""))</f>
        <v>0</v>
      </c>
      <c r="X317" s="9" cm="1">
        <f t="array" ref="X317">IFERROR(_xlfn.XLOOKUP('01_Input_Raw_Products'!F317,'10_Master_Gem_Types'!A:A,'10_Master_Gem_Types'!J:J),"")</f>
        <v>0</v>
      </c>
      <c r="Y317" s="9" cm="1">
        <f t="array" ref="Y317">IFERROR(_xlfn.XLOOKUP('01_Input_Raw_Products'!F317,'10_Master_Gem_Types'!A:A,'10_Master_Gem_Types'!I:I),"")</f>
        <v>0</v>
      </c>
      <c r="Z317" s="9" cm="1">
        <f t="array" ref="Z317">IFERROR(_xlfn.XLOOKUP('01_Input_Raw_Products'!L317,'13_Certification_Stickers'!A:A,'13_Certification_Stickers'!C:C),"")</f>
        <v>0</v>
      </c>
      <c r="AA317" s="9" cm="1">
        <f t="array" ref="AA317">IFERROR(_xlfn.XLOOKUP('01_Input_Raw_Products'!S317,'14_Shipping_Rules'!A:A,'14_Shipping_Rules'!B:B),"")</f>
        <v>0</v>
      </c>
      <c r="AB317" s="9" cm="1">
        <f t="array" ref="AB317">IFERROR(_xlfn.XLOOKUP('01_Input_Raw_Products'!D317,'16_Astro_Flags'!A:A,'16_Astro_Flags'!B:B),"")</f>
        <v>0</v>
      </c>
      <c r="AC317" s="9">
        <f>IF(C317="","","Catalog, Search")</f>
        <v>0</v>
      </c>
      <c r="AD317" s="9">
        <f>IF(C317="","",IF(OR(F317="",J317="",M317="",S317="",Y317=""),"Manual Review","Ready"))</f>
        <v>0</v>
      </c>
      <c r="AE317" s="9">
        <f>IF(C317="","",TEXTJOIN("; ",TRUE,IF(F317="","Missing url_key",""),IF(J317="","Missing classification",""),IF(M317="","Missing j_colour",""),IF(S317="","Missing hsn_code",""),IF(Y317="","Missing tax_class_id","")))</f>
        <v>0</v>
      </c>
    </row>
    <row r="318" spans="1:31">
      <c r="A318" s="9">
        <f>IF('01_Input_Raw_Products'!B318&lt;&gt;"",20,"")</f>
        <v>0</v>
      </c>
      <c r="B318" s="9" cm="1">
        <f t="array" ref="B318">IF('01_Input_Raw_Products'!M318&lt;&gt;"",'01_Input_Raw_Products'!M318,IFERROR(_xlfn.XLOOKUP('01_Input_Raw_Products'!F318,'10_Master_Gem_Types'!A:A,'10_Master_Gem_Types'!K:K),""))</f>
        <v>0</v>
      </c>
      <c r="C318" s="9">
        <f>'01_Input_Raw_Products'!B318</f>
        <v>0</v>
      </c>
      <c r="D318" s="9">
        <f>IF(C318="","",TEXT(I318,"0.00")&amp;" Ct "&amp;IF('01_Input_Raw_Products'!F318&lt;&gt;"",'01_Input_Raw_Products'!F318,'01_Input_Raw_Products'!D318)&amp;" "&amp;'01_Input_Raw_Products'!I318)</f>
        <v>0</v>
      </c>
      <c r="E318" s="9">
        <f>IF(C318="","",D318&amp;" | GemPundit")</f>
        <v>0</v>
      </c>
      <c r="F318" s="9" cm="1">
        <f t="array" ref="F318">IF('01_Input_Raw_Products'!X318&lt;&gt;"",'01_Input_Raw_Products'!X318,IFERROR(_xlfn.XLOOKUP('01_Input_Raw_Products'!F318,'10_Master_Gem_Types'!A:A,'10_Master_Gem_Types'!O:O),LOWER(SUBSTITUTE(IF('01_Input_Raw_Products'!F318&lt;&gt;"",'01_Input_Raw_Products'!F318,'01_Input_Raw_Products'!D318)," ","-"))))</f>
        <v>0</v>
      </c>
      <c r="G318" s="9">
        <f>'01_Input_Raw_Products'!C318</f>
        <v>0</v>
      </c>
      <c r="H318" s="9" cm="1">
        <f t="array" ref="H318">IF('01_Input_Raw_Products'!H318&lt;&gt;"",'01_Input_Raw_Products'!H318,IFERROR(_xlfn.XLOOKUP('01_Input_Raw_Products'!F318,'10_Master_Gem_Types'!A:A,'10_Master_Gem_Types'!D:D),""))</f>
        <v>0</v>
      </c>
      <c r="I318" s="7">
        <f>IF('01_Input_Raw_Products'!N318&lt;&gt;"",'01_Input_Raw_Products'!N318,IF('01_Input_Raw_Products'!O318&lt;&gt;"",'01_Input_Raw_Products'!O318*0.91,""))</f>
        <v>0</v>
      </c>
      <c r="J318" s="9" cm="1">
        <f t="array" ref="J318">IFERROR(_xlfn.XLOOKUP('01_Input_Raw_Products'!F318,'10_Master_Gem_Types'!A:A,'10_Master_Gem_Types'!N:N),"")</f>
        <v>0</v>
      </c>
      <c r="K318" s="9" cm="1">
        <f t="array" ref="K318">IF('01_Input_Raw_Products'!J318&lt;&gt;"",'01_Input_Raw_Products'!J318,IFERROR(_xlfn.XLOOKUP('01_Input_Raw_Products'!F318,'10_Master_Gem_Types'!A:A,'10_Master_Gem_Types'!E:E),""))</f>
        <v>0</v>
      </c>
      <c r="L318" s="9">
        <f>'01_Input_Raw_Products'!P318</f>
        <v>0</v>
      </c>
      <c r="M318" s="9" cm="1">
        <f t="array" ref="M318">IFERROR(_xlfn.XLOOKUP('01_Input_Raw_Products'!K318,'12_Color_Mapping'!A:A,'12_Color_Mapping'!B:B),IFERROR(_xlfn.XLOOKUP('01_Input_Raw_Products'!F318,'10_Master_Gem_Types'!A:A,'10_Master_Gem_Types'!F:F),""))</f>
        <v>0</v>
      </c>
      <c r="N318" s="9">
        <f>IF(C318="","",IF('01_Input_Raw_Products'!F318&lt;&gt;"",'01_Input_Raw_Products'!F318,'01_Input_Raw_Products'!D318))</f>
        <v>0</v>
      </c>
      <c r="O318" s="9">
        <f>IF(C318="","","Catalog Automation")</f>
        <v>0</v>
      </c>
      <c r="P318" s="9">
        <f>'01_Input_Raw_Products'!U318</f>
        <v>0</v>
      </c>
      <c r="Q318" s="7">
        <f>IF('01_Input_Raw_Products'!O318&lt;&gt;"",'01_Input_Raw_Products'!O318,IF('01_Input_Raw_Products'!N318&lt;&gt;"",'01_Input_Raw_Products'!N318*1.1,""))</f>
        <v>0</v>
      </c>
      <c r="R318" s="9">
        <f>'01_Input_Raw_Products'!S318</f>
        <v>0</v>
      </c>
      <c r="S318" s="9" cm="1">
        <f t="array" ref="S318">IFERROR(_xlfn.XLOOKUP('01_Input_Raw_Products'!F318,'10_Master_Gem_Types'!A:A,'10_Master_Gem_Types'!H:H),"")</f>
        <v>0</v>
      </c>
      <c r="T318" s="8">
        <f>'01_Input_Raw_Products'!Q318</f>
        <v>0</v>
      </c>
      <c r="U318" s="8">
        <f>'01_Input_Raw_Products'!R318</f>
        <v>0</v>
      </c>
      <c r="V318" s="7">
        <f>I318</f>
        <v>0</v>
      </c>
      <c r="W318" s="9" cm="1">
        <f t="array" ref="W318">IF('01_Input_Raw_Products'!G318&lt;&gt;"",'01_Input_Raw_Products'!G318,IFERROR(_xlfn.XLOOKUP('01_Input_Raw_Products'!F318,'10_Master_Gem_Types'!A:A,'10_Master_Gem_Types'!L:L),""))</f>
        <v>0</v>
      </c>
      <c r="X318" s="9" cm="1">
        <f t="array" ref="X318">IFERROR(_xlfn.XLOOKUP('01_Input_Raw_Products'!F318,'10_Master_Gem_Types'!A:A,'10_Master_Gem_Types'!J:J),"")</f>
        <v>0</v>
      </c>
      <c r="Y318" s="9" cm="1">
        <f t="array" ref="Y318">IFERROR(_xlfn.XLOOKUP('01_Input_Raw_Products'!F318,'10_Master_Gem_Types'!A:A,'10_Master_Gem_Types'!I:I),"")</f>
        <v>0</v>
      </c>
      <c r="Z318" s="9" cm="1">
        <f t="array" ref="Z318">IFERROR(_xlfn.XLOOKUP('01_Input_Raw_Products'!L318,'13_Certification_Stickers'!A:A,'13_Certification_Stickers'!C:C),"")</f>
        <v>0</v>
      </c>
      <c r="AA318" s="9" cm="1">
        <f t="array" ref="AA318">IFERROR(_xlfn.XLOOKUP('01_Input_Raw_Products'!S318,'14_Shipping_Rules'!A:A,'14_Shipping_Rules'!B:B),"")</f>
        <v>0</v>
      </c>
      <c r="AB318" s="9" cm="1">
        <f t="array" ref="AB318">IFERROR(_xlfn.XLOOKUP('01_Input_Raw_Products'!D318,'16_Astro_Flags'!A:A,'16_Astro_Flags'!B:B),"")</f>
        <v>0</v>
      </c>
      <c r="AC318" s="9">
        <f>IF(C318="","","Catalog, Search")</f>
        <v>0</v>
      </c>
      <c r="AD318" s="9">
        <f>IF(C318="","",IF(OR(F318="",J318="",M318="",S318="",Y318=""),"Manual Review","Ready"))</f>
        <v>0</v>
      </c>
      <c r="AE318" s="9">
        <f>IF(C318="","",TEXTJOIN("; ",TRUE,IF(F318="","Missing url_key",""),IF(J318="","Missing classification",""),IF(M318="","Missing j_colour",""),IF(S318="","Missing hsn_code",""),IF(Y318="","Missing tax_class_id","")))</f>
        <v>0</v>
      </c>
    </row>
    <row r="319" spans="1:31">
      <c r="A319" s="9">
        <f>IF('01_Input_Raw_Products'!B319&lt;&gt;"",20,"")</f>
        <v>0</v>
      </c>
      <c r="B319" s="9" cm="1">
        <f t="array" ref="B319">IF('01_Input_Raw_Products'!M319&lt;&gt;"",'01_Input_Raw_Products'!M319,IFERROR(_xlfn.XLOOKUP('01_Input_Raw_Products'!F319,'10_Master_Gem_Types'!A:A,'10_Master_Gem_Types'!K:K),""))</f>
        <v>0</v>
      </c>
      <c r="C319" s="9">
        <f>'01_Input_Raw_Products'!B319</f>
        <v>0</v>
      </c>
      <c r="D319" s="9">
        <f>IF(C319="","",TEXT(I319,"0.00")&amp;" Ct "&amp;IF('01_Input_Raw_Products'!F319&lt;&gt;"",'01_Input_Raw_Products'!F319,'01_Input_Raw_Products'!D319)&amp;" "&amp;'01_Input_Raw_Products'!I319)</f>
        <v>0</v>
      </c>
      <c r="E319" s="9">
        <f>IF(C319="","",D319&amp;" | GemPundit")</f>
        <v>0</v>
      </c>
      <c r="F319" s="9" cm="1">
        <f t="array" ref="F319">IF('01_Input_Raw_Products'!X319&lt;&gt;"",'01_Input_Raw_Products'!X319,IFERROR(_xlfn.XLOOKUP('01_Input_Raw_Products'!F319,'10_Master_Gem_Types'!A:A,'10_Master_Gem_Types'!O:O),LOWER(SUBSTITUTE(IF('01_Input_Raw_Products'!F319&lt;&gt;"",'01_Input_Raw_Products'!F319,'01_Input_Raw_Products'!D319)," ","-"))))</f>
        <v>0</v>
      </c>
      <c r="G319" s="9">
        <f>'01_Input_Raw_Products'!C319</f>
        <v>0</v>
      </c>
      <c r="H319" s="9" cm="1">
        <f t="array" ref="H319">IF('01_Input_Raw_Products'!H319&lt;&gt;"",'01_Input_Raw_Products'!H319,IFERROR(_xlfn.XLOOKUP('01_Input_Raw_Products'!F319,'10_Master_Gem_Types'!A:A,'10_Master_Gem_Types'!D:D),""))</f>
        <v>0</v>
      </c>
      <c r="I319" s="7">
        <f>IF('01_Input_Raw_Products'!N319&lt;&gt;"",'01_Input_Raw_Products'!N319,IF('01_Input_Raw_Products'!O319&lt;&gt;"",'01_Input_Raw_Products'!O319*0.91,""))</f>
        <v>0</v>
      </c>
      <c r="J319" s="9" cm="1">
        <f t="array" ref="J319">IFERROR(_xlfn.XLOOKUP('01_Input_Raw_Products'!F319,'10_Master_Gem_Types'!A:A,'10_Master_Gem_Types'!N:N),"")</f>
        <v>0</v>
      </c>
      <c r="K319" s="9" cm="1">
        <f t="array" ref="K319">IF('01_Input_Raw_Products'!J319&lt;&gt;"",'01_Input_Raw_Products'!J319,IFERROR(_xlfn.XLOOKUP('01_Input_Raw_Products'!F319,'10_Master_Gem_Types'!A:A,'10_Master_Gem_Types'!E:E),""))</f>
        <v>0</v>
      </c>
      <c r="L319" s="9">
        <f>'01_Input_Raw_Products'!P319</f>
        <v>0</v>
      </c>
      <c r="M319" s="9" cm="1">
        <f t="array" ref="M319">IFERROR(_xlfn.XLOOKUP('01_Input_Raw_Products'!K319,'12_Color_Mapping'!A:A,'12_Color_Mapping'!B:B),IFERROR(_xlfn.XLOOKUP('01_Input_Raw_Products'!F319,'10_Master_Gem_Types'!A:A,'10_Master_Gem_Types'!F:F),""))</f>
        <v>0</v>
      </c>
      <c r="N319" s="9">
        <f>IF(C319="","",IF('01_Input_Raw_Products'!F319&lt;&gt;"",'01_Input_Raw_Products'!F319,'01_Input_Raw_Products'!D319))</f>
        <v>0</v>
      </c>
      <c r="O319" s="9">
        <f>IF(C319="","","Catalog Automation")</f>
        <v>0</v>
      </c>
      <c r="P319" s="9">
        <f>'01_Input_Raw_Products'!U319</f>
        <v>0</v>
      </c>
      <c r="Q319" s="7">
        <f>IF('01_Input_Raw_Products'!O319&lt;&gt;"",'01_Input_Raw_Products'!O319,IF('01_Input_Raw_Products'!N319&lt;&gt;"",'01_Input_Raw_Products'!N319*1.1,""))</f>
        <v>0</v>
      </c>
      <c r="R319" s="9">
        <f>'01_Input_Raw_Products'!S319</f>
        <v>0</v>
      </c>
      <c r="S319" s="9" cm="1">
        <f t="array" ref="S319">IFERROR(_xlfn.XLOOKUP('01_Input_Raw_Products'!F319,'10_Master_Gem_Types'!A:A,'10_Master_Gem_Types'!H:H),"")</f>
        <v>0</v>
      </c>
      <c r="T319" s="8">
        <f>'01_Input_Raw_Products'!Q319</f>
        <v>0</v>
      </c>
      <c r="U319" s="8">
        <f>'01_Input_Raw_Products'!R319</f>
        <v>0</v>
      </c>
      <c r="V319" s="7">
        <f>I319</f>
        <v>0</v>
      </c>
      <c r="W319" s="9" cm="1">
        <f t="array" ref="W319">IF('01_Input_Raw_Products'!G319&lt;&gt;"",'01_Input_Raw_Products'!G319,IFERROR(_xlfn.XLOOKUP('01_Input_Raw_Products'!F319,'10_Master_Gem_Types'!A:A,'10_Master_Gem_Types'!L:L),""))</f>
        <v>0</v>
      </c>
      <c r="X319" s="9" cm="1">
        <f t="array" ref="X319">IFERROR(_xlfn.XLOOKUP('01_Input_Raw_Products'!F319,'10_Master_Gem_Types'!A:A,'10_Master_Gem_Types'!J:J),"")</f>
        <v>0</v>
      </c>
      <c r="Y319" s="9" cm="1">
        <f t="array" ref="Y319">IFERROR(_xlfn.XLOOKUP('01_Input_Raw_Products'!F319,'10_Master_Gem_Types'!A:A,'10_Master_Gem_Types'!I:I),"")</f>
        <v>0</v>
      </c>
      <c r="Z319" s="9" cm="1">
        <f t="array" ref="Z319">IFERROR(_xlfn.XLOOKUP('01_Input_Raw_Products'!L319,'13_Certification_Stickers'!A:A,'13_Certification_Stickers'!C:C),"")</f>
        <v>0</v>
      </c>
      <c r="AA319" s="9" cm="1">
        <f t="array" ref="AA319">IFERROR(_xlfn.XLOOKUP('01_Input_Raw_Products'!S319,'14_Shipping_Rules'!A:A,'14_Shipping_Rules'!B:B),"")</f>
        <v>0</v>
      </c>
      <c r="AB319" s="9" cm="1">
        <f t="array" ref="AB319">IFERROR(_xlfn.XLOOKUP('01_Input_Raw_Products'!D319,'16_Astro_Flags'!A:A,'16_Astro_Flags'!B:B),"")</f>
        <v>0</v>
      </c>
      <c r="AC319" s="9">
        <f>IF(C319="","","Catalog, Search")</f>
        <v>0</v>
      </c>
      <c r="AD319" s="9">
        <f>IF(C319="","",IF(OR(F319="",J319="",M319="",S319="",Y319=""),"Manual Review","Ready"))</f>
        <v>0</v>
      </c>
      <c r="AE319" s="9">
        <f>IF(C319="","",TEXTJOIN("; ",TRUE,IF(F319="","Missing url_key",""),IF(J319="","Missing classification",""),IF(M319="","Missing j_colour",""),IF(S319="","Missing hsn_code",""),IF(Y319="","Missing tax_class_id","")))</f>
        <v>0</v>
      </c>
    </row>
    <row r="320" spans="1:31">
      <c r="A320" s="9">
        <f>IF('01_Input_Raw_Products'!B320&lt;&gt;"",20,"")</f>
        <v>0</v>
      </c>
      <c r="B320" s="9" cm="1">
        <f t="array" ref="B320">IF('01_Input_Raw_Products'!M320&lt;&gt;"",'01_Input_Raw_Products'!M320,IFERROR(_xlfn.XLOOKUP('01_Input_Raw_Products'!F320,'10_Master_Gem_Types'!A:A,'10_Master_Gem_Types'!K:K),""))</f>
        <v>0</v>
      </c>
      <c r="C320" s="9">
        <f>'01_Input_Raw_Products'!B320</f>
        <v>0</v>
      </c>
      <c r="D320" s="9">
        <f>IF(C320="","",TEXT(I320,"0.00")&amp;" Ct "&amp;IF('01_Input_Raw_Products'!F320&lt;&gt;"",'01_Input_Raw_Products'!F320,'01_Input_Raw_Products'!D320)&amp;" "&amp;'01_Input_Raw_Products'!I320)</f>
        <v>0</v>
      </c>
      <c r="E320" s="9">
        <f>IF(C320="","",D320&amp;" | GemPundit")</f>
        <v>0</v>
      </c>
      <c r="F320" s="9" cm="1">
        <f t="array" ref="F320">IF('01_Input_Raw_Products'!X320&lt;&gt;"",'01_Input_Raw_Products'!X320,IFERROR(_xlfn.XLOOKUP('01_Input_Raw_Products'!F320,'10_Master_Gem_Types'!A:A,'10_Master_Gem_Types'!O:O),LOWER(SUBSTITUTE(IF('01_Input_Raw_Products'!F320&lt;&gt;"",'01_Input_Raw_Products'!F320,'01_Input_Raw_Products'!D320)," ","-"))))</f>
        <v>0</v>
      </c>
      <c r="G320" s="9">
        <f>'01_Input_Raw_Products'!C320</f>
        <v>0</v>
      </c>
      <c r="H320" s="9" cm="1">
        <f t="array" ref="H320">IF('01_Input_Raw_Products'!H320&lt;&gt;"",'01_Input_Raw_Products'!H320,IFERROR(_xlfn.XLOOKUP('01_Input_Raw_Products'!F320,'10_Master_Gem_Types'!A:A,'10_Master_Gem_Types'!D:D),""))</f>
        <v>0</v>
      </c>
      <c r="I320" s="7">
        <f>IF('01_Input_Raw_Products'!N320&lt;&gt;"",'01_Input_Raw_Products'!N320,IF('01_Input_Raw_Products'!O320&lt;&gt;"",'01_Input_Raw_Products'!O320*0.91,""))</f>
        <v>0</v>
      </c>
      <c r="J320" s="9" cm="1">
        <f t="array" ref="J320">IFERROR(_xlfn.XLOOKUP('01_Input_Raw_Products'!F320,'10_Master_Gem_Types'!A:A,'10_Master_Gem_Types'!N:N),"")</f>
        <v>0</v>
      </c>
      <c r="K320" s="9" cm="1">
        <f t="array" ref="K320">IF('01_Input_Raw_Products'!J320&lt;&gt;"",'01_Input_Raw_Products'!J320,IFERROR(_xlfn.XLOOKUP('01_Input_Raw_Products'!F320,'10_Master_Gem_Types'!A:A,'10_Master_Gem_Types'!E:E),""))</f>
        <v>0</v>
      </c>
      <c r="L320" s="9">
        <f>'01_Input_Raw_Products'!P320</f>
        <v>0</v>
      </c>
      <c r="M320" s="9" cm="1">
        <f t="array" ref="M320">IFERROR(_xlfn.XLOOKUP('01_Input_Raw_Products'!K320,'12_Color_Mapping'!A:A,'12_Color_Mapping'!B:B),IFERROR(_xlfn.XLOOKUP('01_Input_Raw_Products'!F320,'10_Master_Gem_Types'!A:A,'10_Master_Gem_Types'!F:F),""))</f>
        <v>0</v>
      </c>
      <c r="N320" s="9">
        <f>IF(C320="","",IF('01_Input_Raw_Products'!F320&lt;&gt;"",'01_Input_Raw_Products'!F320,'01_Input_Raw_Products'!D320))</f>
        <v>0</v>
      </c>
      <c r="O320" s="9">
        <f>IF(C320="","","Catalog Automation")</f>
        <v>0</v>
      </c>
      <c r="P320" s="9">
        <f>'01_Input_Raw_Products'!U320</f>
        <v>0</v>
      </c>
      <c r="Q320" s="7">
        <f>IF('01_Input_Raw_Products'!O320&lt;&gt;"",'01_Input_Raw_Products'!O320,IF('01_Input_Raw_Products'!N320&lt;&gt;"",'01_Input_Raw_Products'!N320*1.1,""))</f>
        <v>0</v>
      </c>
      <c r="R320" s="9">
        <f>'01_Input_Raw_Products'!S320</f>
        <v>0</v>
      </c>
      <c r="S320" s="9" cm="1">
        <f t="array" ref="S320">IFERROR(_xlfn.XLOOKUP('01_Input_Raw_Products'!F320,'10_Master_Gem_Types'!A:A,'10_Master_Gem_Types'!H:H),"")</f>
        <v>0</v>
      </c>
      <c r="T320" s="8">
        <f>'01_Input_Raw_Products'!Q320</f>
        <v>0</v>
      </c>
      <c r="U320" s="8">
        <f>'01_Input_Raw_Products'!R320</f>
        <v>0</v>
      </c>
      <c r="V320" s="7">
        <f>I320</f>
        <v>0</v>
      </c>
      <c r="W320" s="9" cm="1">
        <f t="array" ref="W320">IF('01_Input_Raw_Products'!G320&lt;&gt;"",'01_Input_Raw_Products'!G320,IFERROR(_xlfn.XLOOKUP('01_Input_Raw_Products'!F320,'10_Master_Gem_Types'!A:A,'10_Master_Gem_Types'!L:L),""))</f>
        <v>0</v>
      </c>
      <c r="X320" s="9" cm="1">
        <f t="array" ref="X320">IFERROR(_xlfn.XLOOKUP('01_Input_Raw_Products'!F320,'10_Master_Gem_Types'!A:A,'10_Master_Gem_Types'!J:J),"")</f>
        <v>0</v>
      </c>
      <c r="Y320" s="9" cm="1">
        <f t="array" ref="Y320">IFERROR(_xlfn.XLOOKUP('01_Input_Raw_Products'!F320,'10_Master_Gem_Types'!A:A,'10_Master_Gem_Types'!I:I),"")</f>
        <v>0</v>
      </c>
      <c r="Z320" s="9" cm="1">
        <f t="array" ref="Z320">IFERROR(_xlfn.XLOOKUP('01_Input_Raw_Products'!L320,'13_Certification_Stickers'!A:A,'13_Certification_Stickers'!C:C),"")</f>
        <v>0</v>
      </c>
      <c r="AA320" s="9" cm="1">
        <f t="array" ref="AA320">IFERROR(_xlfn.XLOOKUP('01_Input_Raw_Products'!S320,'14_Shipping_Rules'!A:A,'14_Shipping_Rules'!B:B),"")</f>
        <v>0</v>
      </c>
      <c r="AB320" s="9" cm="1">
        <f t="array" ref="AB320">IFERROR(_xlfn.XLOOKUP('01_Input_Raw_Products'!D320,'16_Astro_Flags'!A:A,'16_Astro_Flags'!B:B),"")</f>
        <v>0</v>
      </c>
      <c r="AC320" s="9">
        <f>IF(C320="","","Catalog, Search")</f>
        <v>0</v>
      </c>
      <c r="AD320" s="9">
        <f>IF(C320="","",IF(OR(F320="",J320="",M320="",S320="",Y320=""),"Manual Review","Ready"))</f>
        <v>0</v>
      </c>
      <c r="AE320" s="9">
        <f>IF(C320="","",TEXTJOIN("; ",TRUE,IF(F320="","Missing url_key",""),IF(J320="","Missing classification",""),IF(M320="","Missing j_colour",""),IF(S320="","Missing hsn_code",""),IF(Y320="","Missing tax_class_id","")))</f>
        <v>0</v>
      </c>
    </row>
    <row r="321" spans="1:31">
      <c r="A321" s="9">
        <f>IF('01_Input_Raw_Products'!B321&lt;&gt;"",20,"")</f>
        <v>0</v>
      </c>
      <c r="B321" s="9" cm="1">
        <f t="array" ref="B321">IF('01_Input_Raw_Products'!M321&lt;&gt;"",'01_Input_Raw_Products'!M321,IFERROR(_xlfn.XLOOKUP('01_Input_Raw_Products'!F321,'10_Master_Gem_Types'!A:A,'10_Master_Gem_Types'!K:K),""))</f>
        <v>0</v>
      </c>
      <c r="C321" s="9">
        <f>'01_Input_Raw_Products'!B321</f>
        <v>0</v>
      </c>
      <c r="D321" s="9">
        <f>IF(C321="","",TEXT(I321,"0.00")&amp;" Ct "&amp;IF('01_Input_Raw_Products'!F321&lt;&gt;"",'01_Input_Raw_Products'!F321,'01_Input_Raw_Products'!D321)&amp;" "&amp;'01_Input_Raw_Products'!I321)</f>
        <v>0</v>
      </c>
      <c r="E321" s="9">
        <f>IF(C321="","",D321&amp;" | GemPundit")</f>
        <v>0</v>
      </c>
      <c r="F321" s="9" cm="1">
        <f t="array" ref="F321">IF('01_Input_Raw_Products'!X321&lt;&gt;"",'01_Input_Raw_Products'!X321,IFERROR(_xlfn.XLOOKUP('01_Input_Raw_Products'!F321,'10_Master_Gem_Types'!A:A,'10_Master_Gem_Types'!O:O),LOWER(SUBSTITUTE(IF('01_Input_Raw_Products'!F321&lt;&gt;"",'01_Input_Raw_Products'!F321,'01_Input_Raw_Products'!D321)," ","-"))))</f>
        <v>0</v>
      </c>
      <c r="G321" s="9">
        <f>'01_Input_Raw_Products'!C321</f>
        <v>0</v>
      </c>
      <c r="H321" s="9" cm="1">
        <f t="array" ref="H321">IF('01_Input_Raw_Products'!H321&lt;&gt;"",'01_Input_Raw_Products'!H321,IFERROR(_xlfn.XLOOKUP('01_Input_Raw_Products'!F321,'10_Master_Gem_Types'!A:A,'10_Master_Gem_Types'!D:D),""))</f>
        <v>0</v>
      </c>
      <c r="I321" s="7">
        <f>IF('01_Input_Raw_Products'!N321&lt;&gt;"",'01_Input_Raw_Products'!N321,IF('01_Input_Raw_Products'!O321&lt;&gt;"",'01_Input_Raw_Products'!O321*0.91,""))</f>
        <v>0</v>
      </c>
      <c r="J321" s="9" cm="1">
        <f t="array" ref="J321">IFERROR(_xlfn.XLOOKUP('01_Input_Raw_Products'!F321,'10_Master_Gem_Types'!A:A,'10_Master_Gem_Types'!N:N),"")</f>
        <v>0</v>
      </c>
      <c r="K321" s="9" cm="1">
        <f t="array" ref="K321">IF('01_Input_Raw_Products'!J321&lt;&gt;"",'01_Input_Raw_Products'!J321,IFERROR(_xlfn.XLOOKUP('01_Input_Raw_Products'!F321,'10_Master_Gem_Types'!A:A,'10_Master_Gem_Types'!E:E),""))</f>
        <v>0</v>
      </c>
      <c r="L321" s="9">
        <f>'01_Input_Raw_Products'!P321</f>
        <v>0</v>
      </c>
      <c r="M321" s="9" cm="1">
        <f t="array" ref="M321">IFERROR(_xlfn.XLOOKUP('01_Input_Raw_Products'!K321,'12_Color_Mapping'!A:A,'12_Color_Mapping'!B:B),IFERROR(_xlfn.XLOOKUP('01_Input_Raw_Products'!F321,'10_Master_Gem_Types'!A:A,'10_Master_Gem_Types'!F:F),""))</f>
        <v>0</v>
      </c>
      <c r="N321" s="9">
        <f>IF(C321="","",IF('01_Input_Raw_Products'!F321&lt;&gt;"",'01_Input_Raw_Products'!F321,'01_Input_Raw_Products'!D321))</f>
        <v>0</v>
      </c>
      <c r="O321" s="9">
        <f>IF(C321="","","Catalog Automation")</f>
        <v>0</v>
      </c>
      <c r="P321" s="9">
        <f>'01_Input_Raw_Products'!U321</f>
        <v>0</v>
      </c>
      <c r="Q321" s="7">
        <f>IF('01_Input_Raw_Products'!O321&lt;&gt;"",'01_Input_Raw_Products'!O321,IF('01_Input_Raw_Products'!N321&lt;&gt;"",'01_Input_Raw_Products'!N321*1.1,""))</f>
        <v>0</v>
      </c>
      <c r="R321" s="9">
        <f>'01_Input_Raw_Products'!S321</f>
        <v>0</v>
      </c>
      <c r="S321" s="9" cm="1">
        <f t="array" ref="S321">IFERROR(_xlfn.XLOOKUP('01_Input_Raw_Products'!F321,'10_Master_Gem_Types'!A:A,'10_Master_Gem_Types'!H:H),"")</f>
        <v>0</v>
      </c>
      <c r="T321" s="8">
        <f>'01_Input_Raw_Products'!Q321</f>
        <v>0</v>
      </c>
      <c r="U321" s="8">
        <f>'01_Input_Raw_Products'!R321</f>
        <v>0</v>
      </c>
      <c r="V321" s="7">
        <f>I321</f>
        <v>0</v>
      </c>
      <c r="W321" s="9" cm="1">
        <f t="array" ref="W321">IF('01_Input_Raw_Products'!G321&lt;&gt;"",'01_Input_Raw_Products'!G321,IFERROR(_xlfn.XLOOKUP('01_Input_Raw_Products'!F321,'10_Master_Gem_Types'!A:A,'10_Master_Gem_Types'!L:L),""))</f>
        <v>0</v>
      </c>
      <c r="X321" s="9" cm="1">
        <f t="array" ref="X321">IFERROR(_xlfn.XLOOKUP('01_Input_Raw_Products'!F321,'10_Master_Gem_Types'!A:A,'10_Master_Gem_Types'!J:J),"")</f>
        <v>0</v>
      </c>
      <c r="Y321" s="9" cm="1">
        <f t="array" ref="Y321">IFERROR(_xlfn.XLOOKUP('01_Input_Raw_Products'!F321,'10_Master_Gem_Types'!A:A,'10_Master_Gem_Types'!I:I),"")</f>
        <v>0</v>
      </c>
      <c r="Z321" s="9" cm="1">
        <f t="array" ref="Z321">IFERROR(_xlfn.XLOOKUP('01_Input_Raw_Products'!L321,'13_Certification_Stickers'!A:A,'13_Certification_Stickers'!C:C),"")</f>
        <v>0</v>
      </c>
      <c r="AA321" s="9" cm="1">
        <f t="array" ref="AA321">IFERROR(_xlfn.XLOOKUP('01_Input_Raw_Products'!S321,'14_Shipping_Rules'!A:A,'14_Shipping_Rules'!B:B),"")</f>
        <v>0</v>
      </c>
      <c r="AB321" s="9" cm="1">
        <f t="array" ref="AB321">IFERROR(_xlfn.XLOOKUP('01_Input_Raw_Products'!D321,'16_Astro_Flags'!A:A,'16_Astro_Flags'!B:B),"")</f>
        <v>0</v>
      </c>
      <c r="AC321" s="9">
        <f>IF(C321="","","Catalog, Search")</f>
        <v>0</v>
      </c>
      <c r="AD321" s="9">
        <f>IF(C321="","",IF(OR(F321="",J321="",M321="",S321="",Y321=""),"Manual Review","Ready"))</f>
        <v>0</v>
      </c>
      <c r="AE321" s="9">
        <f>IF(C321="","",TEXTJOIN("; ",TRUE,IF(F321="","Missing url_key",""),IF(J321="","Missing classification",""),IF(M321="","Missing j_colour",""),IF(S321="","Missing hsn_code",""),IF(Y321="","Missing tax_class_id","")))</f>
        <v>0</v>
      </c>
    </row>
    <row r="322" spans="1:31">
      <c r="A322" s="9">
        <f>IF('01_Input_Raw_Products'!B322&lt;&gt;"",20,"")</f>
        <v>0</v>
      </c>
      <c r="B322" s="9" cm="1">
        <f t="array" ref="B322">IF('01_Input_Raw_Products'!M322&lt;&gt;"",'01_Input_Raw_Products'!M322,IFERROR(_xlfn.XLOOKUP('01_Input_Raw_Products'!F322,'10_Master_Gem_Types'!A:A,'10_Master_Gem_Types'!K:K),""))</f>
        <v>0</v>
      </c>
      <c r="C322" s="9">
        <f>'01_Input_Raw_Products'!B322</f>
        <v>0</v>
      </c>
      <c r="D322" s="9">
        <f>IF(C322="","",TEXT(I322,"0.00")&amp;" Ct "&amp;IF('01_Input_Raw_Products'!F322&lt;&gt;"",'01_Input_Raw_Products'!F322,'01_Input_Raw_Products'!D322)&amp;" "&amp;'01_Input_Raw_Products'!I322)</f>
        <v>0</v>
      </c>
      <c r="E322" s="9">
        <f>IF(C322="","",D322&amp;" | GemPundit")</f>
        <v>0</v>
      </c>
      <c r="F322" s="9" cm="1">
        <f t="array" ref="F322">IF('01_Input_Raw_Products'!X322&lt;&gt;"",'01_Input_Raw_Products'!X322,IFERROR(_xlfn.XLOOKUP('01_Input_Raw_Products'!F322,'10_Master_Gem_Types'!A:A,'10_Master_Gem_Types'!O:O),LOWER(SUBSTITUTE(IF('01_Input_Raw_Products'!F322&lt;&gt;"",'01_Input_Raw_Products'!F322,'01_Input_Raw_Products'!D322)," ","-"))))</f>
        <v>0</v>
      </c>
      <c r="G322" s="9">
        <f>'01_Input_Raw_Products'!C322</f>
        <v>0</v>
      </c>
      <c r="H322" s="9" cm="1">
        <f t="array" ref="H322">IF('01_Input_Raw_Products'!H322&lt;&gt;"",'01_Input_Raw_Products'!H322,IFERROR(_xlfn.XLOOKUP('01_Input_Raw_Products'!F322,'10_Master_Gem_Types'!A:A,'10_Master_Gem_Types'!D:D),""))</f>
        <v>0</v>
      </c>
      <c r="I322" s="7">
        <f>IF('01_Input_Raw_Products'!N322&lt;&gt;"",'01_Input_Raw_Products'!N322,IF('01_Input_Raw_Products'!O322&lt;&gt;"",'01_Input_Raw_Products'!O322*0.91,""))</f>
        <v>0</v>
      </c>
      <c r="J322" s="9" cm="1">
        <f t="array" ref="J322">IFERROR(_xlfn.XLOOKUP('01_Input_Raw_Products'!F322,'10_Master_Gem_Types'!A:A,'10_Master_Gem_Types'!N:N),"")</f>
        <v>0</v>
      </c>
      <c r="K322" s="9" cm="1">
        <f t="array" ref="K322">IF('01_Input_Raw_Products'!J322&lt;&gt;"",'01_Input_Raw_Products'!J322,IFERROR(_xlfn.XLOOKUP('01_Input_Raw_Products'!F322,'10_Master_Gem_Types'!A:A,'10_Master_Gem_Types'!E:E),""))</f>
        <v>0</v>
      </c>
      <c r="L322" s="9">
        <f>'01_Input_Raw_Products'!P322</f>
        <v>0</v>
      </c>
      <c r="M322" s="9" cm="1">
        <f t="array" ref="M322">IFERROR(_xlfn.XLOOKUP('01_Input_Raw_Products'!K322,'12_Color_Mapping'!A:A,'12_Color_Mapping'!B:B),IFERROR(_xlfn.XLOOKUP('01_Input_Raw_Products'!F322,'10_Master_Gem_Types'!A:A,'10_Master_Gem_Types'!F:F),""))</f>
        <v>0</v>
      </c>
      <c r="N322" s="9">
        <f>IF(C322="","",IF('01_Input_Raw_Products'!F322&lt;&gt;"",'01_Input_Raw_Products'!F322,'01_Input_Raw_Products'!D322))</f>
        <v>0</v>
      </c>
      <c r="O322" s="9">
        <f>IF(C322="","","Catalog Automation")</f>
        <v>0</v>
      </c>
      <c r="P322" s="9">
        <f>'01_Input_Raw_Products'!U322</f>
        <v>0</v>
      </c>
      <c r="Q322" s="7">
        <f>IF('01_Input_Raw_Products'!O322&lt;&gt;"",'01_Input_Raw_Products'!O322,IF('01_Input_Raw_Products'!N322&lt;&gt;"",'01_Input_Raw_Products'!N322*1.1,""))</f>
        <v>0</v>
      </c>
      <c r="R322" s="9">
        <f>'01_Input_Raw_Products'!S322</f>
        <v>0</v>
      </c>
      <c r="S322" s="9" cm="1">
        <f t="array" ref="S322">IFERROR(_xlfn.XLOOKUP('01_Input_Raw_Products'!F322,'10_Master_Gem_Types'!A:A,'10_Master_Gem_Types'!H:H),"")</f>
        <v>0</v>
      </c>
      <c r="T322" s="8">
        <f>'01_Input_Raw_Products'!Q322</f>
        <v>0</v>
      </c>
      <c r="U322" s="8">
        <f>'01_Input_Raw_Products'!R322</f>
        <v>0</v>
      </c>
      <c r="V322" s="7">
        <f>I322</f>
        <v>0</v>
      </c>
      <c r="W322" s="9" cm="1">
        <f t="array" ref="W322">IF('01_Input_Raw_Products'!G322&lt;&gt;"",'01_Input_Raw_Products'!G322,IFERROR(_xlfn.XLOOKUP('01_Input_Raw_Products'!F322,'10_Master_Gem_Types'!A:A,'10_Master_Gem_Types'!L:L),""))</f>
        <v>0</v>
      </c>
      <c r="X322" s="9" cm="1">
        <f t="array" ref="X322">IFERROR(_xlfn.XLOOKUP('01_Input_Raw_Products'!F322,'10_Master_Gem_Types'!A:A,'10_Master_Gem_Types'!J:J),"")</f>
        <v>0</v>
      </c>
      <c r="Y322" s="9" cm="1">
        <f t="array" ref="Y322">IFERROR(_xlfn.XLOOKUP('01_Input_Raw_Products'!F322,'10_Master_Gem_Types'!A:A,'10_Master_Gem_Types'!I:I),"")</f>
        <v>0</v>
      </c>
      <c r="Z322" s="9" cm="1">
        <f t="array" ref="Z322">IFERROR(_xlfn.XLOOKUP('01_Input_Raw_Products'!L322,'13_Certification_Stickers'!A:A,'13_Certification_Stickers'!C:C),"")</f>
        <v>0</v>
      </c>
      <c r="AA322" s="9" cm="1">
        <f t="array" ref="AA322">IFERROR(_xlfn.XLOOKUP('01_Input_Raw_Products'!S322,'14_Shipping_Rules'!A:A,'14_Shipping_Rules'!B:B),"")</f>
        <v>0</v>
      </c>
      <c r="AB322" s="9" cm="1">
        <f t="array" ref="AB322">IFERROR(_xlfn.XLOOKUP('01_Input_Raw_Products'!D322,'16_Astro_Flags'!A:A,'16_Astro_Flags'!B:B),"")</f>
        <v>0</v>
      </c>
      <c r="AC322" s="9">
        <f>IF(C322="","","Catalog, Search")</f>
        <v>0</v>
      </c>
      <c r="AD322" s="9">
        <f>IF(C322="","",IF(OR(F322="",J322="",M322="",S322="",Y322=""),"Manual Review","Ready"))</f>
        <v>0</v>
      </c>
      <c r="AE322" s="9">
        <f>IF(C322="","",TEXTJOIN("; ",TRUE,IF(F322="","Missing url_key",""),IF(J322="","Missing classification",""),IF(M322="","Missing j_colour",""),IF(S322="","Missing hsn_code",""),IF(Y322="","Missing tax_class_id","")))</f>
        <v>0</v>
      </c>
    </row>
    <row r="323" spans="1:31">
      <c r="A323" s="9">
        <f>IF('01_Input_Raw_Products'!B323&lt;&gt;"",20,"")</f>
        <v>0</v>
      </c>
      <c r="B323" s="9" cm="1">
        <f t="array" ref="B323">IF('01_Input_Raw_Products'!M323&lt;&gt;"",'01_Input_Raw_Products'!M323,IFERROR(_xlfn.XLOOKUP('01_Input_Raw_Products'!F323,'10_Master_Gem_Types'!A:A,'10_Master_Gem_Types'!K:K),""))</f>
        <v>0</v>
      </c>
      <c r="C323" s="9">
        <f>'01_Input_Raw_Products'!B323</f>
        <v>0</v>
      </c>
      <c r="D323" s="9">
        <f>IF(C323="","",TEXT(I323,"0.00")&amp;" Ct "&amp;IF('01_Input_Raw_Products'!F323&lt;&gt;"",'01_Input_Raw_Products'!F323,'01_Input_Raw_Products'!D323)&amp;" "&amp;'01_Input_Raw_Products'!I323)</f>
        <v>0</v>
      </c>
      <c r="E323" s="9">
        <f>IF(C323="","",D323&amp;" | GemPundit")</f>
        <v>0</v>
      </c>
      <c r="F323" s="9" cm="1">
        <f t="array" ref="F323">IF('01_Input_Raw_Products'!X323&lt;&gt;"",'01_Input_Raw_Products'!X323,IFERROR(_xlfn.XLOOKUP('01_Input_Raw_Products'!F323,'10_Master_Gem_Types'!A:A,'10_Master_Gem_Types'!O:O),LOWER(SUBSTITUTE(IF('01_Input_Raw_Products'!F323&lt;&gt;"",'01_Input_Raw_Products'!F323,'01_Input_Raw_Products'!D323)," ","-"))))</f>
        <v>0</v>
      </c>
      <c r="G323" s="9">
        <f>'01_Input_Raw_Products'!C323</f>
        <v>0</v>
      </c>
      <c r="H323" s="9" cm="1">
        <f t="array" ref="H323">IF('01_Input_Raw_Products'!H323&lt;&gt;"",'01_Input_Raw_Products'!H323,IFERROR(_xlfn.XLOOKUP('01_Input_Raw_Products'!F323,'10_Master_Gem_Types'!A:A,'10_Master_Gem_Types'!D:D),""))</f>
        <v>0</v>
      </c>
      <c r="I323" s="7">
        <f>IF('01_Input_Raw_Products'!N323&lt;&gt;"",'01_Input_Raw_Products'!N323,IF('01_Input_Raw_Products'!O323&lt;&gt;"",'01_Input_Raw_Products'!O323*0.91,""))</f>
        <v>0</v>
      </c>
      <c r="J323" s="9" cm="1">
        <f t="array" ref="J323">IFERROR(_xlfn.XLOOKUP('01_Input_Raw_Products'!F323,'10_Master_Gem_Types'!A:A,'10_Master_Gem_Types'!N:N),"")</f>
        <v>0</v>
      </c>
      <c r="K323" s="9" cm="1">
        <f t="array" ref="K323">IF('01_Input_Raw_Products'!J323&lt;&gt;"",'01_Input_Raw_Products'!J323,IFERROR(_xlfn.XLOOKUP('01_Input_Raw_Products'!F323,'10_Master_Gem_Types'!A:A,'10_Master_Gem_Types'!E:E),""))</f>
        <v>0</v>
      </c>
      <c r="L323" s="9">
        <f>'01_Input_Raw_Products'!P323</f>
        <v>0</v>
      </c>
      <c r="M323" s="9" cm="1">
        <f t="array" ref="M323">IFERROR(_xlfn.XLOOKUP('01_Input_Raw_Products'!K323,'12_Color_Mapping'!A:A,'12_Color_Mapping'!B:B),IFERROR(_xlfn.XLOOKUP('01_Input_Raw_Products'!F323,'10_Master_Gem_Types'!A:A,'10_Master_Gem_Types'!F:F),""))</f>
        <v>0</v>
      </c>
      <c r="N323" s="9">
        <f>IF(C323="","",IF('01_Input_Raw_Products'!F323&lt;&gt;"",'01_Input_Raw_Products'!F323,'01_Input_Raw_Products'!D323))</f>
        <v>0</v>
      </c>
      <c r="O323" s="9">
        <f>IF(C323="","","Catalog Automation")</f>
        <v>0</v>
      </c>
      <c r="P323" s="9">
        <f>'01_Input_Raw_Products'!U323</f>
        <v>0</v>
      </c>
      <c r="Q323" s="7">
        <f>IF('01_Input_Raw_Products'!O323&lt;&gt;"",'01_Input_Raw_Products'!O323,IF('01_Input_Raw_Products'!N323&lt;&gt;"",'01_Input_Raw_Products'!N323*1.1,""))</f>
        <v>0</v>
      </c>
      <c r="R323" s="9">
        <f>'01_Input_Raw_Products'!S323</f>
        <v>0</v>
      </c>
      <c r="S323" s="9" cm="1">
        <f t="array" ref="S323">IFERROR(_xlfn.XLOOKUP('01_Input_Raw_Products'!F323,'10_Master_Gem_Types'!A:A,'10_Master_Gem_Types'!H:H),"")</f>
        <v>0</v>
      </c>
      <c r="T323" s="8">
        <f>'01_Input_Raw_Products'!Q323</f>
        <v>0</v>
      </c>
      <c r="U323" s="8">
        <f>'01_Input_Raw_Products'!R323</f>
        <v>0</v>
      </c>
      <c r="V323" s="7">
        <f>I323</f>
        <v>0</v>
      </c>
      <c r="W323" s="9" cm="1">
        <f t="array" ref="W323">IF('01_Input_Raw_Products'!G323&lt;&gt;"",'01_Input_Raw_Products'!G323,IFERROR(_xlfn.XLOOKUP('01_Input_Raw_Products'!F323,'10_Master_Gem_Types'!A:A,'10_Master_Gem_Types'!L:L),""))</f>
        <v>0</v>
      </c>
      <c r="X323" s="9" cm="1">
        <f t="array" ref="X323">IFERROR(_xlfn.XLOOKUP('01_Input_Raw_Products'!F323,'10_Master_Gem_Types'!A:A,'10_Master_Gem_Types'!J:J),"")</f>
        <v>0</v>
      </c>
      <c r="Y323" s="9" cm="1">
        <f t="array" ref="Y323">IFERROR(_xlfn.XLOOKUP('01_Input_Raw_Products'!F323,'10_Master_Gem_Types'!A:A,'10_Master_Gem_Types'!I:I),"")</f>
        <v>0</v>
      </c>
      <c r="Z323" s="9" cm="1">
        <f t="array" ref="Z323">IFERROR(_xlfn.XLOOKUP('01_Input_Raw_Products'!L323,'13_Certification_Stickers'!A:A,'13_Certification_Stickers'!C:C),"")</f>
        <v>0</v>
      </c>
      <c r="AA323" s="9" cm="1">
        <f t="array" ref="AA323">IFERROR(_xlfn.XLOOKUP('01_Input_Raw_Products'!S323,'14_Shipping_Rules'!A:A,'14_Shipping_Rules'!B:B),"")</f>
        <v>0</v>
      </c>
      <c r="AB323" s="9" cm="1">
        <f t="array" ref="AB323">IFERROR(_xlfn.XLOOKUP('01_Input_Raw_Products'!D323,'16_Astro_Flags'!A:A,'16_Astro_Flags'!B:B),"")</f>
        <v>0</v>
      </c>
      <c r="AC323" s="9">
        <f>IF(C323="","","Catalog, Search")</f>
        <v>0</v>
      </c>
      <c r="AD323" s="9">
        <f>IF(C323="","",IF(OR(F323="",J323="",M323="",S323="",Y323=""),"Manual Review","Ready"))</f>
        <v>0</v>
      </c>
      <c r="AE323" s="9">
        <f>IF(C323="","",TEXTJOIN("; ",TRUE,IF(F323="","Missing url_key",""),IF(J323="","Missing classification",""),IF(M323="","Missing j_colour",""),IF(S323="","Missing hsn_code",""),IF(Y323="","Missing tax_class_id","")))</f>
        <v>0</v>
      </c>
    </row>
    <row r="324" spans="1:31">
      <c r="A324" s="9">
        <f>IF('01_Input_Raw_Products'!B324&lt;&gt;"",20,"")</f>
        <v>0</v>
      </c>
      <c r="B324" s="9" cm="1">
        <f t="array" ref="B324">IF('01_Input_Raw_Products'!M324&lt;&gt;"",'01_Input_Raw_Products'!M324,IFERROR(_xlfn.XLOOKUP('01_Input_Raw_Products'!F324,'10_Master_Gem_Types'!A:A,'10_Master_Gem_Types'!K:K),""))</f>
        <v>0</v>
      </c>
      <c r="C324" s="9">
        <f>'01_Input_Raw_Products'!B324</f>
        <v>0</v>
      </c>
      <c r="D324" s="9">
        <f>IF(C324="","",TEXT(I324,"0.00")&amp;" Ct "&amp;IF('01_Input_Raw_Products'!F324&lt;&gt;"",'01_Input_Raw_Products'!F324,'01_Input_Raw_Products'!D324)&amp;" "&amp;'01_Input_Raw_Products'!I324)</f>
        <v>0</v>
      </c>
      <c r="E324" s="9">
        <f>IF(C324="","",D324&amp;" | GemPundit")</f>
        <v>0</v>
      </c>
      <c r="F324" s="9" cm="1">
        <f t="array" ref="F324">IF('01_Input_Raw_Products'!X324&lt;&gt;"",'01_Input_Raw_Products'!X324,IFERROR(_xlfn.XLOOKUP('01_Input_Raw_Products'!F324,'10_Master_Gem_Types'!A:A,'10_Master_Gem_Types'!O:O),LOWER(SUBSTITUTE(IF('01_Input_Raw_Products'!F324&lt;&gt;"",'01_Input_Raw_Products'!F324,'01_Input_Raw_Products'!D324)," ","-"))))</f>
        <v>0</v>
      </c>
      <c r="G324" s="9">
        <f>'01_Input_Raw_Products'!C324</f>
        <v>0</v>
      </c>
      <c r="H324" s="9" cm="1">
        <f t="array" ref="H324">IF('01_Input_Raw_Products'!H324&lt;&gt;"",'01_Input_Raw_Products'!H324,IFERROR(_xlfn.XLOOKUP('01_Input_Raw_Products'!F324,'10_Master_Gem_Types'!A:A,'10_Master_Gem_Types'!D:D),""))</f>
        <v>0</v>
      </c>
      <c r="I324" s="7">
        <f>IF('01_Input_Raw_Products'!N324&lt;&gt;"",'01_Input_Raw_Products'!N324,IF('01_Input_Raw_Products'!O324&lt;&gt;"",'01_Input_Raw_Products'!O324*0.91,""))</f>
        <v>0</v>
      </c>
      <c r="J324" s="9" cm="1">
        <f t="array" ref="J324">IFERROR(_xlfn.XLOOKUP('01_Input_Raw_Products'!F324,'10_Master_Gem_Types'!A:A,'10_Master_Gem_Types'!N:N),"")</f>
        <v>0</v>
      </c>
      <c r="K324" s="9" cm="1">
        <f t="array" ref="K324">IF('01_Input_Raw_Products'!J324&lt;&gt;"",'01_Input_Raw_Products'!J324,IFERROR(_xlfn.XLOOKUP('01_Input_Raw_Products'!F324,'10_Master_Gem_Types'!A:A,'10_Master_Gem_Types'!E:E),""))</f>
        <v>0</v>
      </c>
      <c r="L324" s="9">
        <f>'01_Input_Raw_Products'!P324</f>
        <v>0</v>
      </c>
      <c r="M324" s="9" cm="1">
        <f t="array" ref="M324">IFERROR(_xlfn.XLOOKUP('01_Input_Raw_Products'!K324,'12_Color_Mapping'!A:A,'12_Color_Mapping'!B:B),IFERROR(_xlfn.XLOOKUP('01_Input_Raw_Products'!F324,'10_Master_Gem_Types'!A:A,'10_Master_Gem_Types'!F:F),""))</f>
        <v>0</v>
      </c>
      <c r="N324" s="9">
        <f>IF(C324="","",IF('01_Input_Raw_Products'!F324&lt;&gt;"",'01_Input_Raw_Products'!F324,'01_Input_Raw_Products'!D324))</f>
        <v>0</v>
      </c>
      <c r="O324" s="9">
        <f>IF(C324="","","Catalog Automation")</f>
        <v>0</v>
      </c>
      <c r="P324" s="9">
        <f>'01_Input_Raw_Products'!U324</f>
        <v>0</v>
      </c>
      <c r="Q324" s="7">
        <f>IF('01_Input_Raw_Products'!O324&lt;&gt;"",'01_Input_Raw_Products'!O324,IF('01_Input_Raw_Products'!N324&lt;&gt;"",'01_Input_Raw_Products'!N324*1.1,""))</f>
        <v>0</v>
      </c>
      <c r="R324" s="9">
        <f>'01_Input_Raw_Products'!S324</f>
        <v>0</v>
      </c>
      <c r="S324" s="9" cm="1">
        <f t="array" ref="S324">IFERROR(_xlfn.XLOOKUP('01_Input_Raw_Products'!F324,'10_Master_Gem_Types'!A:A,'10_Master_Gem_Types'!H:H),"")</f>
        <v>0</v>
      </c>
      <c r="T324" s="8">
        <f>'01_Input_Raw_Products'!Q324</f>
        <v>0</v>
      </c>
      <c r="U324" s="8">
        <f>'01_Input_Raw_Products'!R324</f>
        <v>0</v>
      </c>
      <c r="V324" s="7">
        <f>I324</f>
        <v>0</v>
      </c>
      <c r="W324" s="9" cm="1">
        <f t="array" ref="W324">IF('01_Input_Raw_Products'!G324&lt;&gt;"",'01_Input_Raw_Products'!G324,IFERROR(_xlfn.XLOOKUP('01_Input_Raw_Products'!F324,'10_Master_Gem_Types'!A:A,'10_Master_Gem_Types'!L:L),""))</f>
        <v>0</v>
      </c>
      <c r="X324" s="9" cm="1">
        <f t="array" ref="X324">IFERROR(_xlfn.XLOOKUP('01_Input_Raw_Products'!F324,'10_Master_Gem_Types'!A:A,'10_Master_Gem_Types'!J:J),"")</f>
        <v>0</v>
      </c>
      <c r="Y324" s="9" cm="1">
        <f t="array" ref="Y324">IFERROR(_xlfn.XLOOKUP('01_Input_Raw_Products'!F324,'10_Master_Gem_Types'!A:A,'10_Master_Gem_Types'!I:I),"")</f>
        <v>0</v>
      </c>
      <c r="Z324" s="9" cm="1">
        <f t="array" ref="Z324">IFERROR(_xlfn.XLOOKUP('01_Input_Raw_Products'!L324,'13_Certification_Stickers'!A:A,'13_Certification_Stickers'!C:C),"")</f>
        <v>0</v>
      </c>
      <c r="AA324" s="9" cm="1">
        <f t="array" ref="AA324">IFERROR(_xlfn.XLOOKUP('01_Input_Raw_Products'!S324,'14_Shipping_Rules'!A:A,'14_Shipping_Rules'!B:B),"")</f>
        <v>0</v>
      </c>
      <c r="AB324" s="9" cm="1">
        <f t="array" ref="AB324">IFERROR(_xlfn.XLOOKUP('01_Input_Raw_Products'!D324,'16_Astro_Flags'!A:A,'16_Astro_Flags'!B:B),"")</f>
        <v>0</v>
      </c>
      <c r="AC324" s="9">
        <f>IF(C324="","","Catalog, Search")</f>
        <v>0</v>
      </c>
      <c r="AD324" s="9">
        <f>IF(C324="","",IF(OR(F324="",J324="",M324="",S324="",Y324=""),"Manual Review","Ready"))</f>
        <v>0</v>
      </c>
      <c r="AE324" s="9">
        <f>IF(C324="","",TEXTJOIN("; ",TRUE,IF(F324="","Missing url_key",""),IF(J324="","Missing classification",""),IF(M324="","Missing j_colour",""),IF(S324="","Missing hsn_code",""),IF(Y324="","Missing tax_class_id","")))</f>
        <v>0</v>
      </c>
    </row>
    <row r="325" spans="1:31">
      <c r="A325" s="9">
        <f>IF('01_Input_Raw_Products'!B325&lt;&gt;"",20,"")</f>
        <v>0</v>
      </c>
      <c r="B325" s="9" cm="1">
        <f t="array" ref="B325">IF('01_Input_Raw_Products'!M325&lt;&gt;"",'01_Input_Raw_Products'!M325,IFERROR(_xlfn.XLOOKUP('01_Input_Raw_Products'!F325,'10_Master_Gem_Types'!A:A,'10_Master_Gem_Types'!K:K),""))</f>
        <v>0</v>
      </c>
      <c r="C325" s="9">
        <f>'01_Input_Raw_Products'!B325</f>
        <v>0</v>
      </c>
      <c r="D325" s="9">
        <f>IF(C325="","",TEXT(I325,"0.00")&amp;" Ct "&amp;IF('01_Input_Raw_Products'!F325&lt;&gt;"",'01_Input_Raw_Products'!F325,'01_Input_Raw_Products'!D325)&amp;" "&amp;'01_Input_Raw_Products'!I325)</f>
        <v>0</v>
      </c>
      <c r="E325" s="9">
        <f>IF(C325="","",D325&amp;" | GemPundit")</f>
        <v>0</v>
      </c>
      <c r="F325" s="9" cm="1">
        <f t="array" ref="F325">IF('01_Input_Raw_Products'!X325&lt;&gt;"",'01_Input_Raw_Products'!X325,IFERROR(_xlfn.XLOOKUP('01_Input_Raw_Products'!F325,'10_Master_Gem_Types'!A:A,'10_Master_Gem_Types'!O:O),LOWER(SUBSTITUTE(IF('01_Input_Raw_Products'!F325&lt;&gt;"",'01_Input_Raw_Products'!F325,'01_Input_Raw_Products'!D325)," ","-"))))</f>
        <v>0</v>
      </c>
      <c r="G325" s="9">
        <f>'01_Input_Raw_Products'!C325</f>
        <v>0</v>
      </c>
      <c r="H325" s="9" cm="1">
        <f t="array" ref="H325">IF('01_Input_Raw_Products'!H325&lt;&gt;"",'01_Input_Raw_Products'!H325,IFERROR(_xlfn.XLOOKUP('01_Input_Raw_Products'!F325,'10_Master_Gem_Types'!A:A,'10_Master_Gem_Types'!D:D),""))</f>
        <v>0</v>
      </c>
      <c r="I325" s="7">
        <f>IF('01_Input_Raw_Products'!N325&lt;&gt;"",'01_Input_Raw_Products'!N325,IF('01_Input_Raw_Products'!O325&lt;&gt;"",'01_Input_Raw_Products'!O325*0.91,""))</f>
        <v>0</v>
      </c>
      <c r="J325" s="9" cm="1">
        <f t="array" ref="J325">IFERROR(_xlfn.XLOOKUP('01_Input_Raw_Products'!F325,'10_Master_Gem_Types'!A:A,'10_Master_Gem_Types'!N:N),"")</f>
        <v>0</v>
      </c>
      <c r="K325" s="9" cm="1">
        <f t="array" ref="K325">IF('01_Input_Raw_Products'!J325&lt;&gt;"",'01_Input_Raw_Products'!J325,IFERROR(_xlfn.XLOOKUP('01_Input_Raw_Products'!F325,'10_Master_Gem_Types'!A:A,'10_Master_Gem_Types'!E:E),""))</f>
        <v>0</v>
      </c>
      <c r="L325" s="9">
        <f>'01_Input_Raw_Products'!P325</f>
        <v>0</v>
      </c>
      <c r="M325" s="9" cm="1">
        <f t="array" ref="M325">IFERROR(_xlfn.XLOOKUP('01_Input_Raw_Products'!K325,'12_Color_Mapping'!A:A,'12_Color_Mapping'!B:B),IFERROR(_xlfn.XLOOKUP('01_Input_Raw_Products'!F325,'10_Master_Gem_Types'!A:A,'10_Master_Gem_Types'!F:F),""))</f>
        <v>0</v>
      </c>
      <c r="N325" s="9">
        <f>IF(C325="","",IF('01_Input_Raw_Products'!F325&lt;&gt;"",'01_Input_Raw_Products'!F325,'01_Input_Raw_Products'!D325))</f>
        <v>0</v>
      </c>
      <c r="O325" s="9">
        <f>IF(C325="","","Catalog Automation")</f>
        <v>0</v>
      </c>
      <c r="P325" s="9">
        <f>'01_Input_Raw_Products'!U325</f>
        <v>0</v>
      </c>
      <c r="Q325" s="7">
        <f>IF('01_Input_Raw_Products'!O325&lt;&gt;"",'01_Input_Raw_Products'!O325,IF('01_Input_Raw_Products'!N325&lt;&gt;"",'01_Input_Raw_Products'!N325*1.1,""))</f>
        <v>0</v>
      </c>
      <c r="R325" s="9">
        <f>'01_Input_Raw_Products'!S325</f>
        <v>0</v>
      </c>
      <c r="S325" s="9" cm="1">
        <f t="array" ref="S325">IFERROR(_xlfn.XLOOKUP('01_Input_Raw_Products'!F325,'10_Master_Gem_Types'!A:A,'10_Master_Gem_Types'!H:H),"")</f>
        <v>0</v>
      </c>
      <c r="T325" s="8">
        <f>'01_Input_Raw_Products'!Q325</f>
        <v>0</v>
      </c>
      <c r="U325" s="8">
        <f>'01_Input_Raw_Products'!R325</f>
        <v>0</v>
      </c>
      <c r="V325" s="7">
        <f>I325</f>
        <v>0</v>
      </c>
      <c r="W325" s="9" cm="1">
        <f t="array" ref="W325">IF('01_Input_Raw_Products'!G325&lt;&gt;"",'01_Input_Raw_Products'!G325,IFERROR(_xlfn.XLOOKUP('01_Input_Raw_Products'!F325,'10_Master_Gem_Types'!A:A,'10_Master_Gem_Types'!L:L),""))</f>
        <v>0</v>
      </c>
      <c r="X325" s="9" cm="1">
        <f t="array" ref="X325">IFERROR(_xlfn.XLOOKUP('01_Input_Raw_Products'!F325,'10_Master_Gem_Types'!A:A,'10_Master_Gem_Types'!J:J),"")</f>
        <v>0</v>
      </c>
      <c r="Y325" s="9" cm="1">
        <f t="array" ref="Y325">IFERROR(_xlfn.XLOOKUP('01_Input_Raw_Products'!F325,'10_Master_Gem_Types'!A:A,'10_Master_Gem_Types'!I:I),"")</f>
        <v>0</v>
      </c>
      <c r="Z325" s="9" cm="1">
        <f t="array" ref="Z325">IFERROR(_xlfn.XLOOKUP('01_Input_Raw_Products'!L325,'13_Certification_Stickers'!A:A,'13_Certification_Stickers'!C:C),"")</f>
        <v>0</v>
      </c>
      <c r="AA325" s="9" cm="1">
        <f t="array" ref="AA325">IFERROR(_xlfn.XLOOKUP('01_Input_Raw_Products'!S325,'14_Shipping_Rules'!A:A,'14_Shipping_Rules'!B:B),"")</f>
        <v>0</v>
      </c>
      <c r="AB325" s="9" cm="1">
        <f t="array" ref="AB325">IFERROR(_xlfn.XLOOKUP('01_Input_Raw_Products'!D325,'16_Astro_Flags'!A:A,'16_Astro_Flags'!B:B),"")</f>
        <v>0</v>
      </c>
      <c r="AC325" s="9">
        <f>IF(C325="","","Catalog, Search")</f>
        <v>0</v>
      </c>
      <c r="AD325" s="9">
        <f>IF(C325="","",IF(OR(F325="",J325="",M325="",S325="",Y325=""),"Manual Review","Ready"))</f>
        <v>0</v>
      </c>
      <c r="AE325" s="9">
        <f>IF(C325="","",TEXTJOIN("; ",TRUE,IF(F325="","Missing url_key",""),IF(J325="","Missing classification",""),IF(M325="","Missing j_colour",""),IF(S325="","Missing hsn_code",""),IF(Y325="","Missing tax_class_id","")))</f>
        <v>0</v>
      </c>
    </row>
    <row r="326" spans="1:31">
      <c r="A326" s="9">
        <f>IF('01_Input_Raw_Products'!B326&lt;&gt;"",20,"")</f>
        <v>0</v>
      </c>
      <c r="B326" s="9" cm="1">
        <f t="array" ref="B326">IF('01_Input_Raw_Products'!M326&lt;&gt;"",'01_Input_Raw_Products'!M326,IFERROR(_xlfn.XLOOKUP('01_Input_Raw_Products'!F326,'10_Master_Gem_Types'!A:A,'10_Master_Gem_Types'!K:K),""))</f>
        <v>0</v>
      </c>
      <c r="C326" s="9">
        <f>'01_Input_Raw_Products'!B326</f>
        <v>0</v>
      </c>
      <c r="D326" s="9">
        <f>IF(C326="","",TEXT(I326,"0.00")&amp;" Ct "&amp;IF('01_Input_Raw_Products'!F326&lt;&gt;"",'01_Input_Raw_Products'!F326,'01_Input_Raw_Products'!D326)&amp;" "&amp;'01_Input_Raw_Products'!I326)</f>
        <v>0</v>
      </c>
      <c r="E326" s="9">
        <f>IF(C326="","",D326&amp;" | GemPundit")</f>
        <v>0</v>
      </c>
      <c r="F326" s="9" cm="1">
        <f t="array" ref="F326">IF('01_Input_Raw_Products'!X326&lt;&gt;"",'01_Input_Raw_Products'!X326,IFERROR(_xlfn.XLOOKUP('01_Input_Raw_Products'!F326,'10_Master_Gem_Types'!A:A,'10_Master_Gem_Types'!O:O),LOWER(SUBSTITUTE(IF('01_Input_Raw_Products'!F326&lt;&gt;"",'01_Input_Raw_Products'!F326,'01_Input_Raw_Products'!D326)," ","-"))))</f>
        <v>0</v>
      </c>
      <c r="G326" s="9">
        <f>'01_Input_Raw_Products'!C326</f>
        <v>0</v>
      </c>
      <c r="H326" s="9" cm="1">
        <f t="array" ref="H326">IF('01_Input_Raw_Products'!H326&lt;&gt;"",'01_Input_Raw_Products'!H326,IFERROR(_xlfn.XLOOKUP('01_Input_Raw_Products'!F326,'10_Master_Gem_Types'!A:A,'10_Master_Gem_Types'!D:D),""))</f>
        <v>0</v>
      </c>
      <c r="I326" s="7">
        <f>IF('01_Input_Raw_Products'!N326&lt;&gt;"",'01_Input_Raw_Products'!N326,IF('01_Input_Raw_Products'!O326&lt;&gt;"",'01_Input_Raw_Products'!O326*0.91,""))</f>
        <v>0</v>
      </c>
      <c r="J326" s="9" cm="1">
        <f t="array" ref="J326">IFERROR(_xlfn.XLOOKUP('01_Input_Raw_Products'!F326,'10_Master_Gem_Types'!A:A,'10_Master_Gem_Types'!N:N),"")</f>
        <v>0</v>
      </c>
      <c r="K326" s="9" cm="1">
        <f t="array" ref="K326">IF('01_Input_Raw_Products'!J326&lt;&gt;"",'01_Input_Raw_Products'!J326,IFERROR(_xlfn.XLOOKUP('01_Input_Raw_Products'!F326,'10_Master_Gem_Types'!A:A,'10_Master_Gem_Types'!E:E),""))</f>
        <v>0</v>
      </c>
      <c r="L326" s="9">
        <f>'01_Input_Raw_Products'!P326</f>
        <v>0</v>
      </c>
      <c r="M326" s="9" cm="1">
        <f t="array" ref="M326">IFERROR(_xlfn.XLOOKUP('01_Input_Raw_Products'!K326,'12_Color_Mapping'!A:A,'12_Color_Mapping'!B:B),IFERROR(_xlfn.XLOOKUP('01_Input_Raw_Products'!F326,'10_Master_Gem_Types'!A:A,'10_Master_Gem_Types'!F:F),""))</f>
        <v>0</v>
      </c>
      <c r="N326" s="9">
        <f>IF(C326="","",IF('01_Input_Raw_Products'!F326&lt;&gt;"",'01_Input_Raw_Products'!F326,'01_Input_Raw_Products'!D326))</f>
        <v>0</v>
      </c>
      <c r="O326" s="9">
        <f>IF(C326="","","Catalog Automation")</f>
        <v>0</v>
      </c>
      <c r="P326" s="9">
        <f>'01_Input_Raw_Products'!U326</f>
        <v>0</v>
      </c>
      <c r="Q326" s="7">
        <f>IF('01_Input_Raw_Products'!O326&lt;&gt;"",'01_Input_Raw_Products'!O326,IF('01_Input_Raw_Products'!N326&lt;&gt;"",'01_Input_Raw_Products'!N326*1.1,""))</f>
        <v>0</v>
      </c>
      <c r="R326" s="9">
        <f>'01_Input_Raw_Products'!S326</f>
        <v>0</v>
      </c>
      <c r="S326" s="9" cm="1">
        <f t="array" ref="S326">IFERROR(_xlfn.XLOOKUP('01_Input_Raw_Products'!F326,'10_Master_Gem_Types'!A:A,'10_Master_Gem_Types'!H:H),"")</f>
        <v>0</v>
      </c>
      <c r="T326" s="8">
        <f>'01_Input_Raw_Products'!Q326</f>
        <v>0</v>
      </c>
      <c r="U326" s="8">
        <f>'01_Input_Raw_Products'!R326</f>
        <v>0</v>
      </c>
      <c r="V326" s="7">
        <f>I326</f>
        <v>0</v>
      </c>
      <c r="W326" s="9" cm="1">
        <f t="array" ref="W326">IF('01_Input_Raw_Products'!G326&lt;&gt;"",'01_Input_Raw_Products'!G326,IFERROR(_xlfn.XLOOKUP('01_Input_Raw_Products'!F326,'10_Master_Gem_Types'!A:A,'10_Master_Gem_Types'!L:L),""))</f>
        <v>0</v>
      </c>
      <c r="X326" s="9" cm="1">
        <f t="array" ref="X326">IFERROR(_xlfn.XLOOKUP('01_Input_Raw_Products'!F326,'10_Master_Gem_Types'!A:A,'10_Master_Gem_Types'!J:J),"")</f>
        <v>0</v>
      </c>
      <c r="Y326" s="9" cm="1">
        <f t="array" ref="Y326">IFERROR(_xlfn.XLOOKUP('01_Input_Raw_Products'!F326,'10_Master_Gem_Types'!A:A,'10_Master_Gem_Types'!I:I),"")</f>
        <v>0</v>
      </c>
      <c r="Z326" s="9" cm="1">
        <f t="array" ref="Z326">IFERROR(_xlfn.XLOOKUP('01_Input_Raw_Products'!L326,'13_Certification_Stickers'!A:A,'13_Certification_Stickers'!C:C),"")</f>
        <v>0</v>
      </c>
      <c r="AA326" s="9" cm="1">
        <f t="array" ref="AA326">IFERROR(_xlfn.XLOOKUP('01_Input_Raw_Products'!S326,'14_Shipping_Rules'!A:A,'14_Shipping_Rules'!B:B),"")</f>
        <v>0</v>
      </c>
      <c r="AB326" s="9" cm="1">
        <f t="array" ref="AB326">IFERROR(_xlfn.XLOOKUP('01_Input_Raw_Products'!D326,'16_Astro_Flags'!A:A,'16_Astro_Flags'!B:B),"")</f>
        <v>0</v>
      </c>
      <c r="AC326" s="9">
        <f>IF(C326="","","Catalog, Search")</f>
        <v>0</v>
      </c>
      <c r="AD326" s="9">
        <f>IF(C326="","",IF(OR(F326="",J326="",M326="",S326="",Y326=""),"Manual Review","Ready"))</f>
        <v>0</v>
      </c>
      <c r="AE326" s="9">
        <f>IF(C326="","",TEXTJOIN("; ",TRUE,IF(F326="","Missing url_key",""),IF(J326="","Missing classification",""),IF(M326="","Missing j_colour",""),IF(S326="","Missing hsn_code",""),IF(Y326="","Missing tax_class_id","")))</f>
        <v>0</v>
      </c>
    </row>
    <row r="327" spans="1:31">
      <c r="A327" s="9">
        <f>IF('01_Input_Raw_Products'!B327&lt;&gt;"",20,"")</f>
        <v>0</v>
      </c>
      <c r="B327" s="9" cm="1">
        <f t="array" ref="B327">IF('01_Input_Raw_Products'!M327&lt;&gt;"",'01_Input_Raw_Products'!M327,IFERROR(_xlfn.XLOOKUP('01_Input_Raw_Products'!F327,'10_Master_Gem_Types'!A:A,'10_Master_Gem_Types'!K:K),""))</f>
        <v>0</v>
      </c>
      <c r="C327" s="9">
        <f>'01_Input_Raw_Products'!B327</f>
        <v>0</v>
      </c>
      <c r="D327" s="9">
        <f>IF(C327="","",TEXT(I327,"0.00")&amp;" Ct "&amp;IF('01_Input_Raw_Products'!F327&lt;&gt;"",'01_Input_Raw_Products'!F327,'01_Input_Raw_Products'!D327)&amp;" "&amp;'01_Input_Raw_Products'!I327)</f>
        <v>0</v>
      </c>
      <c r="E327" s="9">
        <f>IF(C327="","",D327&amp;" | GemPundit")</f>
        <v>0</v>
      </c>
      <c r="F327" s="9" cm="1">
        <f t="array" ref="F327">IF('01_Input_Raw_Products'!X327&lt;&gt;"",'01_Input_Raw_Products'!X327,IFERROR(_xlfn.XLOOKUP('01_Input_Raw_Products'!F327,'10_Master_Gem_Types'!A:A,'10_Master_Gem_Types'!O:O),LOWER(SUBSTITUTE(IF('01_Input_Raw_Products'!F327&lt;&gt;"",'01_Input_Raw_Products'!F327,'01_Input_Raw_Products'!D327)," ","-"))))</f>
        <v>0</v>
      </c>
      <c r="G327" s="9">
        <f>'01_Input_Raw_Products'!C327</f>
        <v>0</v>
      </c>
      <c r="H327" s="9" cm="1">
        <f t="array" ref="H327">IF('01_Input_Raw_Products'!H327&lt;&gt;"",'01_Input_Raw_Products'!H327,IFERROR(_xlfn.XLOOKUP('01_Input_Raw_Products'!F327,'10_Master_Gem_Types'!A:A,'10_Master_Gem_Types'!D:D),""))</f>
        <v>0</v>
      </c>
      <c r="I327" s="7">
        <f>IF('01_Input_Raw_Products'!N327&lt;&gt;"",'01_Input_Raw_Products'!N327,IF('01_Input_Raw_Products'!O327&lt;&gt;"",'01_Input_Raw_Products'!O327*0.91,""))</f>
        <v>0</v>
      </c>
      <c r="J327" s="9" cm="1">
        <f t="array" ref="J327">IFERROR(_xlfn.XLOOKUP('01_Input_Raw_Products'!F327,'10_Master_Gem_Types'!A:A,'10_Master_Gem_Types'!N:N),"")</f>
        <v>0</v>
      </c>
      <c r="K327" s="9" cm="1">
        <f t="array" ref="K327">IF('01_Input_Raw_Products'!J327&lt;&gt;"",'01_Input_Raw_Products'!J327,IFERROR(_xlfn.XLOOKUP('01_Input_Raw_Products'!F327,'10_Master_Gem_Types'!A:A,'10_Master_Gem_Types'!E:E),""))</f>
        <v>0</v>
      </c>
      <c r="L327" s="9">
        <f>'01_Input_Raw_Products'!P327</f>
        <v>0</v>
      </c>
      <c r="M327" s="9" cm="1">
        <f t="array" ref="M327">IFERROR(_xlfn.XLOOKUP('01_Input_Raw_Products'!K327,'12_Color_Mapping'!A:A,'12_Color_Mapping'!B:B),IFERROR(_xlfn.XLOOKUP('01_Input_Raw_Products'!F327,'10_Master_Gem_Types'!A:A,'10_Master_Gem_Types'!F:F),""))</f>
        <v>0</v>
      </c>
      <c r="N327" s="9">
        <f>IF(C327="","",IF('01_Input_Raw_Products'!F327&lt;&gt;"",'01_Input_Raw_Products'!F327,'01_Input_Raw_Products'!D327))</f>
        <v>0</v>
      </c>
      <c r="O327" s="9">
        <f>IF(C327="","","Catalog Automation")</f>
        <v>0</v>
      </c>
      <c r="P327" s="9">
        <f>'01_Input_Raw_Products'!U327</f>
        <v>0</v>
      </c>
      <c r="Q327" s="7">
        <f>IF('01_Input_Raw_Products'!O327&lt;&gt;"",'01_Input_Raw_Products'!O327,IF('01_Input_Raw_Products'!N327&lt;&gt;"",'01_Input_Raw_Products'!N327*1.1,""))</f>
        <v>0</v>
      </c>
      <c r="R327" s="9">
        <f>'01_Input_Raw_Products'!S327</f>
        <v>0</v>
      </c>
      <c r="S327" s="9" cm="1">
        <f t="array" ref="S327">IFERROR(_xlfn.XLOOKUP('01_Input_Raw_Products'!F327,'10_Master_Gem_Types'!A:A,'10_Master_Gem_Types'!H:H),"")</f>
        <v>0</v>
      </c>
      <c r="T327" s="8">
        <f>'01_Input_Raw_Products'!Q327</f>
        <v>0</v>
      </c>
      <c r="U327" s="8">
        <f>'01_Input_Raw_Products'!R327</f>
        <v>0</v>
      </c>
      <c r="V327" s="7">
        <f>I327</f>
        <v>0</v>
      </c>
      <c r="W327" s="9" cm="1">
        <f t="array" ref="W327">IF('01_Input_Raw_Products'!G327&lt;&gt;"",'01_Input_Raw_Products'!G327,IFERROR(_xlfn.XLOOKUP('01_Input_Raw_Products'!F327,'10_Master_Gem_Types'!A:A,'10_Master_Gem_Types'!L:L),""))</f>
        <v>0</v>
      </c>
      <c r="X327" s="9" cm="1">
        <f t="array" ref="X327">IFERROR(_xlfn.XLOOKUP('01_Input_Raw_Products'!F327,'10_Master_Gem_Types'!A:A,'10_Master_Gem_Types'!J:J),"")</f>
        <v>0</v>
      </c>
      <c r="Y327" s="9" cm="1">
        <f t="array" ref="Y327">IFERROR(_xlfn.XLOOKUP('01_Input_Raw_Products'!F327,'10_Master_Gem_Types'!A:A,'10_Master_Gem_Types'!I:I),"")</f>
        <v>0</v>
      </c>
      <c r="Z327" s="9" cm="1">
        <f t="array" ref="Z327">IFERROR(_xlfn.XLOOKUP('01_Input_Raw_Products'!L327,'13_Certification_Stickers'!A:A,'13_Certification_Stickers'!C:C),"")</f>
        <v>0</v>
      </c>
      <c r="AA327" s="9" cm="1">
        <f t="array" ref="AA327">IFERROR(_xlfn.XLOOKUP('01_Input_Raw_Products'!S327,'14_Shipping_Rules'!A:A,'14_Shipping_Rules'!B:B),"")</f>
        <v>0</v>
      </c>
      <c r="AB327" s="9" cm="1">
        <f t="array" ref="AB327">IFERROR(_xlfn.XLOOKUP('01_Input_Raw_Products'!D327,'16_Astro_Flags'!A:A,'16_Astro_Flags'!B:B),"")</f>
        <v>0</v>
      </c>
      <c r="AC327" s="9">
        <f>IF(C327="","","Catalog, Search")</f>
        <v>0</v>
      </c>
      <c r="AD327" s="9">
        <f>IF(C327="","",IF(OR(F327="",J327="",M327="",S327="",Y327=""),"Manual Review","Ready"))</f>
        <v>0</v>
      </c>
      <c r="AE327" s="9">
        <f>IF(C327="","",TEXTJOIN("; ",TRUE,IF(F327="","Missing url_key",""),IF(J327="","Missing classification",""),IF(M327="","Missing j_colour",""),IF(S327="","Missing hsn_code",""),IF(Y327="","Missing tax_class_id","")))</f>
        <v>0</v>
      </c>
    </row>
    <row r="328" spans="1:31">
      <c r="A328" s="9">
        <f>IF('01_Input_Raw_Products'!B328&lt;&gt;"",20,"")</f>
        <v>0</v>
      </c>
      <c r="B328" s="9" cm="1">
        <f t="array" ref="B328">IF('01_Input_Raw_Products'!M328&lt;&gt;"",'01_Input_Raw_Products'!M328,IFERROR(_xlfn.XLOOKUP('01_Input_Raw_Products'!F328,'10_Master_Gem_Types'!A:A,'10_Master_Gem_Types'!K:K),""))</f>
        <v>0</v>
      </c>
      <c r="C328" s="9">
        <f>'01_Input_Raw_Products'!B328</f>
        <v>0</v>
      </c>
      <c r="D328" s="9">
        <f>IF(C328="","",TEXT(I328,"0.00")&amp;" Ct "&amp;IF('01_Input_Raw_Products'!F328&lt;&gt;"",'01_Input_Raw_Products'!F328,'01_Input_Raw_Products'!D328)&amp;" "&amp;'01_Input_Raw_Products'!I328)</f>
        <v>0</v>
      </c>
      <c r="E328" s="9">
        <f>IF(C328="","",D328&amp;" | GemPundit")</f>
        <v>0</v>
      </c>
      <c r="F328" s="9" cm="1">
        <f t="array" ref="F328">IF('01_Input_Raw_Products'!X328&lt;&gt;"",'01_Input_Raw_Products'!X328,IFERROR(_xlfn.XLOOKUP('01_Input_Raw_Products'!F328,'10_Master_Gem_Types'!A:A,'10_Master_Gem_Types'!O:O),LOWER(SUBSTITUTE(IF('01_Input_Raw_Products'!F328&lt;&gt;"",'01_Input_Raw_Products'!F328,'01_Input_Raw_Products'!D328)," ","-"))))</f>
        <v>0</v>
      </c>
      <c r="G328" s="9">
        <f>'01_Input_Raw_Products'!C328</f>
        <v>0</v>
      </c>
      <c r="H328" s="9" cm="1">
        <f t="array" ref="H328">IF('01_Input_Raw_Products'!H328&lt;&gt;"",'01_Input_Raw_Products'!H328,IFERROR(_xlfn.XLOOKUP('01_Input_Raw_Products'!F328,'10_Master_Gem_Types'!A:A,'10_Master_Gem_Types'!D:D),""))</f>
        <v>0</v>
      </c>
      <c r="I328" s="7">
        <f>IF('01_Input_Raw_Products'!N328&lt;&gt;"",'01_Input_Raw_Products'!N328,IF('01_Input_Raw_Products'!O328&lt;&gt;"",'01_Input_Raw_Products'!O328*0.91,""))</f>
        <v>0</v>
      </c>
      <c r="J328" s="9" cm="1">
        <f t="array" ref="J328">IFERROR(_xlfn.XLOOKUP('01_Input_Raw_Products'!F328,'10_Master_Gem_Types'!A:A,'10_Master_Gem_Types'!N:N),"")</f>
        <v>0</v>
      </c>
      <c r="K328" s="9" cm="1">
        <f t="array" ref="K328">IF('01_Input_Raw_Products'!J328&lt;&gt;"",'01_Input_Raw_Products'!J328,IFERROR(_xlfn.XLOOKUP('01_Input_Raw_Products'!F328,'10_Master_Gem_Types'!A:A,'10_Master_Gem_Types'!E:E),""))</f>
        <v>0</v>
      </c>
      <c r="L328" s="9">
        <f>'01_Input_Raw_Products'!P328</f>
        <v>0</v>
      </c>
      <c r="M328" s="9" cm="1">
        <f t="array" ref="M328">IFERROR(_xlfn.XLOOKUP('01_Input_Raw_Products'!K328,'12_Color_Mapping'!A:A,'12_Color_Mapping'!B:B),IFERROR(_xlfn.XLOOKUP('01_Input_Raw_Products'!F328,'10_Master_Gem_Types'!A:A,'10_Master_Gem_Types'!F:F),""))</f>
        <v>0</v>
      </c>
      <c r="N328" s="9">
        <f>IF(C328="","",IF('01_Input_Raw_Products'!F328&lt;&gt;"",'01_Input_Raw_Products'!F328,'01_Input_Raw_Products'!D328))</f>
        <v>0</v>
      </c>
      <c r="O328" s="9">
        <f>IF(C328="","","Catalog Automation")</f>
        <v>0</v>
      </c>
      <c r="P328" s="9">
        <f>'01_Input_Raw_Products'!U328</f>
        <v>0</v>
      </c>
      <c r="Q328" s="7">
        <f>IF('01_Input_Raw_Products'!O328&lt;&gt;"",'01_Input_Raw_Products'!O328,IF('01_Input_Raw_Products'!N328&lt;&gt;"",'01_Input_Raw_Products'!N328*1.1,""))</f>
        <v>0</v>
      </c>
      <c r="R328" s="9">
        <f>'01_Input_Raw_Products'!S328</f>
        <v>0</v>
      </c>
      <c r="S328" s="9" cm="1">
        <f t="array" ref="S328">IFERROR(_xlfn.XLOOKUP('01_Input_Raw_Products'!F328,'10_Master_Gem_Types'!A:A,'10_Master_Gem_Types'!H:H),"")</f>
        <v>0</v>
      </c>
      <c r="T328" s="8">
        <f>'01_Input_Raw_Products'!Q328</f>
        <v>0</v>
      </c>
      <c r="U328" s="8">
        <f>'01_Input_Raw_Products'!R328</f>
        <v>0</v>
      </c>
      <c r="V328" s="7">
        <f>I328</f>
        <v>0</v>
      </c>
      <c r="W328" s="9" cm="1">
        <f t="array" ref="W328">IF('01_Input_Raw_Products'!G328&lt;&gt;"",'01_Input_Raw_Products'!G328,IFERROR(_xlfn.XLOOKUP('01_Input_Raw_Products'!F328,'10_Master_Gem_Types'!A:A,'10_Master_Gem_Types'!L:L),""))</f>
        <v>0</v>
      </c>
      <c r="X328" s="9" cm="1">
        <f t="array" ref="X328">IFERROR(_xlfn.XLOOKUP('01_Input_Raw_Products'!F328,'10_Master_Gem_Types'!A:A,'10_Master_Gem_Types'!J:J),"")</f>
        <v>0</v>
      </c>
      <c r="Y328" s="9" cm="1">
        <f t="array" ref="Y328">IFERROR(_xlfn.XLOOKUP('01_Input_Raw_Products'!F328,'10_Master_Gem_Types'!A:A,'10_Master_Gem_Types'!I:I),"")</f>
        <v>0</v>
      </c>
      <c r="Z328" s="9" cm="1">
        <f t="array" ref="Z328">IFERROR(_xlfn.XLOOKUP('01_Input_Raw_Products'!L328,'13_Certification_Stickers'!A:A,'13_Certification_Stickers'!C:C),"")</f>
        <v>0</v>
      </c>
      <c r="AA328" s="9" cm="1">
        <f t="array" ref="AA328">IFERROR(_xlfn.XLOOKUP('01_Input_Raw_Products'!S328,'14_Shipping_Rules'!A:A,'14_Shipping_Rules'!B:B),"")</f>
        <v>0</v>
      </c>
      <c r="AB328" s="9" cm="1">
        <f t="array" ref="AB328">IFERROR(_xlfn.XLOOKUP('01_Input_Raw_Products'!D328,'16_Astro_Flags'!A:A,'16_Astro_Flags'!B:B),"")</f>
        <v>0</v>
      </c>
      <c r="AC328" s="9">
        <f>IF(C328="","","Catalog, Search")</f>
        <v>0</v>
      </c>
      <c r="AD328" s="9">
        <f>IF(C328="","",IF(OR(F328="",J328="",M328="",S328="",Y328=""),"Manual Review","Ready"))</f>
        <v>0</v>
      </c>
      <c r="AE328" s="9">
        <f>IF(C328="","",TEXTJOIN("; ",TRUE,IF(F328="","Missing url_key",""),IF(J328="","Missing classification",""),IF(M328="","Missing j_colour",""),IF(S328="","Missing hsn_code",""),IF(Y328="","Missing tax_class_id","")))</f>
        <v>0</v>
      </c>
    </row>
    <row r="329" spans="1:31">
      <c r="A329" s="9">
        <f>IF('01_Input_Raw_Products'!B329&lt;&gt;"",20,"")</f>
        <v>0</v>
      </c>
      <c r="B329" s="9" cm="1">
        <f t="array" ref="B329">IF('01_Input_Raw_Products'!M329&lt;&gt;"",'01_Input_Raw_Products'!M329,IFERROR(_xlfn.XLOOKUP('01_Input_Raw_Products'!F329,'10_Master_Gem_Types'!A:A,'10_Master_Gem_Types'!K:K),""))</f>
        <v>0</v>
      </c>
      <c r="C329" s="9">
        <f>'01_Input_Raw_Products'!B329</f>
        <v>0</v>
      </c>
      <c r="D329" s="9">
        <f>IF(C329="","",TEXT(I329,"0.00")&amp;" Ct "&amp;IF('01_Input_Raw_Products'!F329&lt;&gt;"",'01_Input_Raw_Products'!F329,'01_Input_Raw_Products'!D329)&amp;" "&amp;'01_Input_Raw_Products'!I329)</f>
        <v>0</v>
      </c>
      <c r="E329" s="9">
        <f>IF(C329="","",D329&amp;" | GemPundit")</f>
        <v>0</v>
      </c>
      <c r="F329" s="9" cm="1">
        <f t="array" ref="F329">IF('01_Input_Raw_Products'!X329&lt;&gt;"",'01_Input_Raw_Products'!X329,IFERROR(_xlfn.XLOOKUP('01_Input_Raw_Products'!F329,'10_Master_Gem_Types'!A:A,'10_Master_Gem_Types'!O:O),LOWER(SUBSTITUTE(IF('01_Input_Raw_Products'!F329&lt;&gt;"",'01_Input_Raw_Products'!F329,'01_Input_Raw_Products'!D329)," ","-"))))</f>
        <v>0</v>
      </c>
      <c r="G329" s="9">
        <f>'01_Input_Raw_Products'!C329</f>
        <v>0</v>
      </c>
      <c r="H329" s="9" cm="1">
        <f t="array" ref="H329">IF('01_Input_Raw_Products'!H329&lt;&gt;"",'01_Input_Raw_Products'!H329,IFERROR(_xlfn.XLOOKUP('01_Input_Raw_Products'!F329,'10_Master_Gem_Types'!A:A,'10_Master_Gem_Types'!D:D),""))</f>
        <v>0</v>
      </c>
      <c r="I329" s="7">
        <f>IF('01_Input_Raw_Products'!N329&lt;&gt;"",'01_Input_Raw_Products'!N329,IF('01_Input_Raw_Products'!O329&lt;&gt;"",'01_Input_Raw_Products'!O329*0.91,""))</f>
        <v>0</v>
      </c>
      <c r="J329" s="9" cm="1">
        <f t="array" ref="J329">IFERROR(_xlfn.XLOOKUP('01_Input_Raw_Products'!F329,'10_Master_Gem_Types'!A:A,'10_Master_Gem_Types'!N:N),"")</f>
        <v>0</v>
      </c>
      <c r="K329" s="9" cm="1">
        <f t="array" ref="K329">IF('01_Input_Raw_Products'!J329&lt;&gt;"",'01_Input_Raw_Products'!J329,IFERROR(_xlfn.XLOOKUP('01_Input_Raw_Products'!F329,'10_Master_Gem_Types'!A:A,'10_Master_Gem_Types'!E:E),""))</f>
        <v>0</v>
      </c>
      <c r="L329" s="9">
        <f>'01_Input_Raw_Products'!P329</f>
        <v>0</v>
      </c>
      <c r="M329" s="9" cm="1">
        <f t="array" ref="M329">IFERROR(_xlfn.XLOOKUP('01_Input_Raw_Products'!K329,'12_Color_Mapping'!A:A,'12_Color_Mapping'!B:B),IFERROR(_xlfn.XLOOKUP('01_Input_Raw_Products'!F329,'10_Master_Gem_Types'!A:A,'10_Master_Gem_Types'!F:F),""))</f>
        <v>0</v>
      </c>
      <c r="N329" s="9">
        <f>IF(C329="","",IF('01_Input_Raw_Products'!F329&lt;&gt;"",'01_Input_Raw_Products'!F329,'01_Input_Raw_Products'!D329))</f>
        <v>0</v>
      </c>
      <c r="O329" s="9">
        <f>IF(C329="","","Catalog Automation")</f>
        <v>0</v>
      </c>
      <c r="P329" s="9">
        <f>'01_Input_Raw_Products'!U329</f>
        <v>0</v>
      </c>
      <c r="Q329" s="7">
        <f>IF('01_Input_Raw_Products'!O329&lt;&gt;"",'01_Input_Raw_Products'!O329,IF('01_Input_Raw_Products'!N329&lt;&gt;"",'01_Input_Raw_Products'!N329*1.1,""))</f>
        <v>0</v>
      </c>
      <c r="R329" s="9">
        <f>'01_Input_Raw_Products'!S329</f>
        <v>0</v>
      </c>
      <c r="S329" s="9" cm="1">
        <f t="array" ref="S329">IFERROR(_xlfn.XLOOKUP('01_Input_Raw_Products'!F329,'10_Master_Gem_Types'!A:A,'10_Master_Gem_Types'!H:H),"")</f>
        <v>0</v>
      </c>
      <c r="T329" s="8">
        <f>'01_Input_Raw_Products'!Q329</f>
        <v>0</v>
      </c>
      <c r="U329" s="8">
        <f>'01_Input_Raw_Products'!R329</f>
        <v>0</v>
      </c>
      <c r="V329" s="7">
        <f>I329</f>
        <v>0</v>
      </c>
      <c r="W329" s="9" cm="1">
        <f t="array" ref="W329">IF('01_Input_Raw_Products'!G329&lt;&gt;"",'01_Input_Raw_Products'!G329,IFERROR(_xlfn.XLOOKUP('01_Input_Raw_Products'!F329,'10_Master_Gem_Types'!A:A,'10_Master_Gem_Types'!L:L),""))</f>
        <v>0</v>
      </c>
      <c r="X329" s="9" cm="1">
        <f t="array" ref="X329">IFERROR(_xlfn.XLOOKUP('01_Input_Raw_Products'!F329,'10_Master_Gem_Types'!A:A,'10_Master_Gem_Types'!J:J),"")</f>
        <v>0</v>
      </c>
      <c r="Y329" s="9" cm="1">
        <f t="array" ref="Y329">IFERROR(_xlfn.XLOOKUP('01_Input_Raw_Products'!F329,'10_Master_Gem_Types'!A:A,'10_Master_Gem_Types'!I:I),"")</f>
        <v>0</v>
      </c>
      <c r="Z329" s="9" cm="1">
        <f t="array" ref="Z329">IFERROR(_xlfn.XLOOKUP('01_Input_Raw_Products'!L329,'13_Certification_Stickers'!A:A,'13_Certification_Stickers'!C:C),"")</f>
        <v>0</v>
      </c>
      <c r="AA329" s="9" cm="1">
        <f t="array" ref="AA329">IFERROR(_xlfn.XLOOKUP('01_Input_Raw_Products'!S329,'14_Shipping_Rules'!A:A,'14_Shipping_Rules'!B:B),"")</f>
        <v>0</v>
      </c>
      <c r="AB329" s="9" cm="1">
        <f t="array" ref="AB329">IFERROR(_xlfn.XLOOKUP('01_Input_Raw_Products'!D329,'16_Astro_Flags'!A:A,'16_Astro_Flags'!B:B),"")</f>
        <v>0</v>
      </c>
      <c r="AC329" s="9">
        <f>IF(C329="","","Catalog, Search")</f>
        <v>0</v>
      </c>
      <c r="AD329" s="9">
        <f>IF(C329="","",IF(OR(F329="",J329="",M329="",S329="",Y329=""),"Manual Review","Ready"))</f>
        <v>0</v>
      </c>
      <c r="AE329" s="9">
        <f>IF(C329="","",TEXTJOIN("; ",TRUE,IF(F329="","Missing url_key",""),IF(J329="","Missing classification",""),IF(M329="","Missing j_colour",""),IF(S329="","Missing hsn_code",""),IF(Y329="","Missing tax_class_id","")))</f>
        <v>0</v>
      </c>
    </row>
    <row r="330" spans="1:31">
      <c r="A330" s="9">
        <f>IF('01_Input_Raw_Products'!B330&lt;&gt;"",20,"")</f>
        <v>0</v>
      </c>
      <c r="B330" s="9" cm="1">
        <f t="array" ref="B330">IF('01_Input_Raw_Products'!M330&lt;&gt;"",'01_Input_Raw_Products'!M330,IFERROR(_xlfn.XLOOKUP('01_Input_Raw_Products'!F330,'10_Master_Gem_Types'!A:A,'10_Master_Gem_Types'!K:K),""))</f>
        <v>0</v>
      </c>
      <c r="C330" s="9">
        <f>'01_Input_Raw_Products'!B330</f>
        <v>0</v>
      </c>
      <c r="D330" s="9">
        <f>IF(C330="","",TEXT(I330,"0.00")&amp;" Ct "&amp;IF('01_Input_Raw_Products'!F330&lt;&gt;"",'01_Input_Raw_Products'!F330,'01_Input_Raw_Products'!D330)&amp;" "&amp;'01_Input_Raw_Products'!I330)</f>
        <v>0</v>
      </c>
      <c r="E330" s="9">
        <f>IF(C330="","",D330&amp;" | GemPundit")</f>
        <v>0</v>
      </c>
      <c r="F330" s="9" cm="1">
        <f t="array" ref="F330">IF('01_Input_Raw_Products'!X330&lt;&gt;"",'01_Input_Raw_Products'!X330,IFERROR(_xlfn.XLOOKUP('01_Input_Raw_Products'!F330,'10_Master_Gem_Types'!A:A,'10_Master_Gem_Types'!O:O),LOWER(SUBSTITUTE(IF('01_Input_Raw_Products'!F330&lt;&gt;"",'01_Input_Raw_Products'!F330,'01_Input_Raw_Products'!D330)," ","-"))))</f>
        <v>0</v>
      </c>
      <c r="G330" s="9">
        <f>'01_Input_Raw_Products'!C330</f>
        <v>0</v>
      </c>
      <c r="H330" s="9" cm="1">
        <f t="array" ref="H330">IF('01_Input_Raw_Products'!H330&lt;&gt;"",'01_Input_Raw_Products'!H330,IFERROR(_xlfn.XLOOKUP('01_Input_Raw_Products'!F330,'10_Master_Gem_Types'!A:A,'10_Master_Gem_Types'!D:D),""))</f>
        <v>0</v>
      </c>
      <c r="I330" s="7">
        <f>IF('01_Input_Raw_Products'!N330&lt;&gt;"",'01_Input_Raw_Products'!N330,IF('01_Input_Raw_Products'!O330&lt;&gt;"",'01_Input_Raw_Products'!O330*0.91,""))</f>
        <v>0</v>
      </c>
      <c r="J330" s="9" cm="1">
        <f t="array" ref="J330">IFERROR(_xlfn.XLOOKUP('01_Input_Raw_Products'!F330,'10_Master_Gem_Types'!A:A,'10_Master_Gem_Types'!N:N),"")</f>
        <v>0</v>
      </c>
      <c r="K330" s="9" cm="1">
        <f t="array" ref="K330">IF('01_Input_Raw_Products'!J330&lt;&gt;"",'01_Input_Raw_Products'!J330,IFERROR(_xlfn.XLOOKUP('01_Input_Raw_Products'!F330,'10_Master_Gem_Types'!A:A,'10_Master_Gem_Types'!E:E),""))</f>
        <v>0</v>
      </c>
      <c r="L330" s="9">
        <f>'01_Input_Raw_Products'!P330</f>
        <v>0</v>
      </c>
      <c r="M330" s="9" cm="1">
        <f t="array" ref="M330">IFERROR(_xlfn.XLOOKUP('01_Input_Raw_Products'!K330,'12_Color_Mapping'!A:A,'12_Color_Mapping'!B:B),IFERROR(_xlfn.XLOOKUP('01_Input_Raw_Products'!F330,'10_Master_Gem_Types'!A:A,'10_Master_Gem_Types'!F:F),""))</f>
        <v>0</v>
      </c>
      <c r="N330" s="9">
        <f>IF(C330="","",IF('01_Input_Raw_Products'!F330&lt;&gt;"",'01_Input_Raw_Products'!F330,'01_Input_Raw_Products'!D330))</f>
        <v>0</v>
      </c>
      <c r="O330" s="9">
        <f>IF(C330="","","Catalog Automation")</f>
        <v>0</v>
      </c>
      <c r="P330" s="9">
        <f>'01_Input_Raw_Products'!U330</f>
        <v>0</v>
      </c>
      <c r="Q330" s="7">
        <f>IF('01_Input_Raw_Products'!O330&lt;&gt;"",'01_Input_Raw_Products'!O330,IF('01_Input_Raw_Products'!N330&lt;&gt;"",'01_Input_Raw_Products'!N330*1.1,""))</f>
        <v>0</v>
      </c>
      <c r="R330" s="9">
        <f>'01_Input_Raw_Products'!S330</f>
        <v>0</v>
      </c>
      <c r="S330" s="9" cm="1">
        <f t="array" ref="S330">IFERROR(_xlfn.XLOOKUP('01_Input_Raw_Products'!F330,'10_Master_Gem_Types'!A:A,'10_Master_Gem_Types'!H:H),"")</f>
        <v>0</v>
      </c>
      <c r="T330" s="8">
        <f>'01_Input_Raw_Products'!Q330</f>
        <v>0</v>
      </c>
      <c r="U330" s="8">
        <f>'01_Input_Raw_Products'!R330</f>
        <v>0</v>
      </c>
      <c r="V330" s="7">
        <f>I330</f>
        <v>0</v>
      </c>
      <c r="W330" s="9" cm="1">
        <f t="array" ref="W330">IF('01_Input_Raw_Products'!G330&lt;&gt;"",'01_Input_Raw_Products'!G330,IFERROR(_xlfn.XLOOKUP('01_Input_Raw_Products'!F330,'10_Master_Gem_Types'!A:A,'10_Master_Gem_Types'!L:L),""))</f>
        <v>0</v>
      </c>
      <c r="X330" s="9" cm="1">
        <f t="array" ref="X330">IFERROR(_xlfn.XLOOKUP('01_Input_Raw_Products'!F330,'10_Master_Gem_Types'!A:A,'10_Master_Gem_Types'!J:J),"")</f>
        <v>0</v>
      </c>
      <c r="Y330" s="9" cm="1">
        <f t="array" ref="Y330">IFERROR(_xlfn.XLOOKUP('01_Input_Raw_Products'!F330,'10_Master_Gem_Types'!A:A,'10_Master_Gem_Types'!I:I),"")</f>
        <v>0</v>
      </c>
      <c r="Z330" s="9" cm="1">
        <f t="array" ref="Z330">IFERROR(_xlfn.XLOOKUP('01_Input_Raw_Products'!L330,'13_Certification_Stickers'!A:A,'13_Certification_Stickers'!C:C),"")</f>
        <v>0</v>
      </c>
      <c r="AA330" s="9" cm="1">
        <f t="array" ref="AA330">IFERROR(_xlfn.XLOOKUP('01_Input_Raw_Products'!S330,'14_Shipping_Rules'!A:A,'14_Shipping_Rules'!B:B),"")</f>
        <v>0</v>
      </c>
      <c r="AB330" s="9" cm="1">
        <f t="array" ref="AB330">IFERROR(_xlfn.XLOOKUP('01_Input_Raw_Products'!D330,'16_Astro_Flags'!A:A,'16_Astro_Flags'!B:B),"")</f>
        <v>0</v>
      </c>
      <c r="AC330" s="9">
        <f>IF(C330="","","Catalog, Search")</f>
        <v>0</v>
      </c>
      <c r="AD330" s="9">
        <f>IF(C330="","",IF(OR(F330="",J330="",M330="",S330="",Y330=""),"Manual Review","Ready"))</f>
        <v>0</v>
      </c>
      <c r="AE330" s="9">
        <f>IF(C330="","",TEXTJOIN("; ",TRUE,IF(F330="","Missing url_key",""),IF(J330="","Missing classification",""),IF(M330="","Missing j_colour",""),IF(S330="","Missing hsn_code",""),IF(Y330="","Missing tax_class_id","")))</f>
        <v>0</v>
      </c>
    </row>
    <row r="331" spans="1:31">
      <c r="A331" s="9">
        <f>IF('01_Input_Raw_Products'!B331&lt;&gt;"",20,"")</f>
        <v>0</v>
      </c>
      <c r="B331" s="9" cm="1">
        <f t="array" ref="B331">IF('01_Input_Raw_Products'!M331&lt;&gt;"",'01_Input_Raw_Products'!M331,IFERROR(_xlfn.XLOOKUP('01_Input_Raw_Products'!F331,'10_Master_Gem_Types'!A:A,'10_Master_Gem_Types'!K:K),""))</f>
        <v>0</v>
      </c>
      <c r="C331" s="9">
        <f>'01_Input_Raw_Products'!B331</f>
        <v>0</v>
      </c>
      <c r="D331" s="9">
        <f>IF(C331="","",TEXT(I331,"0.00")&amp;" Ct "&amp;IF('01_Input_Raw_Products'!F331&lt;&gt;"",'01_Input_Raw_Products'!F331,'01_Input_Raw_Products'!D331)&amp;" "&amp;'01_Input_Raw_Products'!I331)</f>
        <v>0</v>
      </c>
      <c r="E331" s="9">
        <f>IF(C331="","",D331&amp;" | GemPundit")</f>
        <v>0</v>
      </c>
      <c r="F331" s="9" cm="1">
        <f t="array" ref="F331">IF('01_Input_Raw_Products'!X331&lt;&gt;"",'01_Input_Raw_Products'!X331,IFERROR(_xlfn.XLOOKUP('01_Input_Raw_Products'!F331,'10_Master_Gem_Types'!A:A,'10_Master_Gem_Types'!O:O),LOWER(SUBSTITUTE(IF('01_Input_Raw_Products'!F331&lt;&gt;"",'01_Input_Raw_Products'!F331,'01_Input_Raw_Products'!D331)," ","-"))))</f>
        <v>0</v>
      </c>
      <c r="G331" s="9">
        <f>'01_Input_Raw_Products'!C331</f>
        <v>0</v>
      </c>
      <c r="H331" s="9" cm="1">
        <f t="array" ref="H331">IF('01_Input_Raw_Products'!H331&lt;&gt;"",'01_Input_Raw_Products'!H331,IFERROR(_xlfn.XLOOKUP('01_Input_Raw_Products'!F331,'10_Master_Gem_Types'!A:A,'10_Master_Gem_Types'!D:D),""))</f>
        <v>0</v>
      </c>
      <c r="I331" s="7">
        <f>IF('01_Input_Raw_Products'!N331&lt;&gt;"",'01_Input_Raw_Products'!N331,IF('01_Input_Raw_Products'!O331&lt;&gt;"",'01_Input_Raw_Products'!O331*0.91,""))</f>
        <v>0</v>
      </c>
      <c r="J331" s="9" cm="1">
        <f t="array" ref="J331">IFERROR(_xlfn.XLOOKUP('01_Input_Raw_Products'!F331,'10_Master_Gem_Types'!A:A,'10_Master_Gem_Types'!N:N),"")</f>
        <v>0</v>
      </c>
      <c r="K331" s="9" cm="1">
        <f t="array" ref="K331">IF('01_Input_Raw_Products'!J331&lt;&gt;"",'01_Input_Raw_Products'!J331,IFERROR(_xlfn.XLOOKUP('01_Input_Raw_Products'!F331,'10_Master_Gem_Types'!A:A,'10_Master_Gem_Types'!E:E),""))</f>
        <v>0</v>
      </c>
      <c r="L331" s="9">
        <f>'01_Input_Raw_Products'!P331</f>
        <v>0</v>
      </c>
      <c r="M331" s="9" cm="1">
        <f t="array" ref="M331">IFERROR(_xlfn.XLOOKUP('01_Input_Raw_Products'!K331,'12_Color_Mapping'!A:A,'12_Color_Mapping'!B:B),IFERROR(_xlfn.XLOOKUP('01_Input_Raw_Products'!F331,'10_Master_Gem_Types'!A:A,'10_Master_Gem_Types'!F:F),""))</f>
        <v>0</v>
      </c>
      <c r="N331" s="9">
        <f>IF(C331="","",IF('01_Input_Raw_Products'!F331&lt;&gt;"",'01_Input_Raw_Products'!F331,'01_Input_Raw_Products'!D331))</f>
        <v>0</v>
      </c>
      <c r="O331" s="9">
        <f>IF(C331="","","Catalog Automation")</f>
        <v>0</v>
      </c>
      <c r="P331" s="9">
        <f>'01_Input_Raw_Products'!U331</f>
        <v>0</v>
      </c>
      <c r="Q331" s="7">
        <f>IF('01_Input_Raw_Products'!O331&lt;&gt;"",'01_Input_Raw_Products'!O331,IF('01_Input_Raw_Products'!N331&lt;&gt;"",'01_Input_Raw_Products'!N331*1.1,""))</f>
        <v>0</v>
      </c>
      <c r="R331" s="9">
        <f>'01_Input_Raw_Products'!S331</f>
        <v>0</v>
      </c>
      <c r="S331" s="9" cm="1">
        <f t="array" ref="S331">IFERROR(_xlfn.XLOOKUP('01_Input_Raw_Products'!F331,'10_Master_Gem_Types'!A:A,'10_Master_Gem_Types'!H:H),"")</f>
        <v>0</v>
      </c>
      <c r="T331" s="8">
        <f>'01_Input_Raw_Products'!Q331</f>
        <v>0</v>
      </c>
      <c r="U331" s="8">
        <f>'01_Input_Raw_Products'!R331</f>
        <v>0</v>
      </c>
      <c r="V331" s="7">
        <f>I331</f>
        <v>0</v>
      </c>
      <c r="W331" s="9" cm="1">
        <f t="array" ref="W331">IF('01_Input_Raw_Products'!G331&lt;&gt;"",'01_Input_Raw_Products'!G331,IFERROR(_xlfn.XLOOKUP('01_Input_Raw_Products'!F331,'10_Master_Gem_Types'!A:A,'10_Master_Gem_Types'!L:L),""))</f>
        <v>0</v>
      </c>
      <c r="X331" s="9" cm="1">
        <f t="array" ref="X331">IFERROR(_xlfn.XLOOKUP('01_Input_Raw_Products'!F331,'10_Master_Gem_Types'!A:A,'10_Master_Gem_Types'!J:J),"")</f>
        <v>0</v>
      </c>
      <c r="Y331" s="9" cm="1">
        <f t="array" ref="Y331">IFERROR(_xlfn.XLOOKUP('01_Input_Raw_Products'!F331,'10_Master_Gem_Types'!A:A,'10_Master_Gem_Types'!I:I),"")</f>
        <v>0</v>
      </c>
      <c r="Z331" s="9" cm="1">
        <f t="array" ref="Z331">IFERROR(_xlfn.XLOOKUP('01_Input_Raw_Products'!L331,'13_Certification_Stickers'!A:A,'13_Certification_Stickers'!C:C),"")</f>
        <v>0</v>
      </c>
      <c r="AA331" s="9" cm="1">
        <f t="array" ref="AA331">IFERROR(_xlfn.XLOOKUP('01_Input_Raw_Products'!S331,'14_Shipping_Rules'!A:A,'14_Shipping_Rules'!B:B),"")</f>
        <v>0</v>
      </c>
      <c r="AB331" s="9" cm="1">
        <f t="array" ref="AB331">IFERROR(_xlfn.XLOOKUP('01_Input_Raw_Products'!D331,'16_Astro_Flags'!A:A,'16_Astro_Flags'!B:B),"")</f>
        <v>0</v>
      </c>
      <c r="AC331" s="9">
        <f>IF(C331="","","Catalog, Search")</f>
        <v>0</v>
      </c>
      <c r="AD331" s="9">
        <f>IF(C331="","",IF(OR(F331="",J331="",M331="",S331="",Y331=""),"Manual Review","Ready"))</f>
        <v>0</v>
      </c>
      <c r="AE331" s="9">
        <f>IF(C331="","",TEXTJOIN("; ",TRUE,IF(F331="","Missing url_key",""),IF(J331="","Missing classification",""),IF(M331="","Missing j_colour",""),IF(S331="","Missing hsn_code",""),IF(Y331="","Missing tax_class_id","")))</f>
        <v>0</v>
      </c>
    </row>
    <row r="332" spans="1:31">
      <c r="A332" s="9">
        <f>IF('01_Input_Raw_Products'!B332&lt;&gt;"",20,"")</f>
        <v>0</v>
      </c>
      <c r="B332" s="9" cm="1">
        <f t="array" ref="B332">IF('01_Input_Raw_Products'!M332&lt;&gt;"",'01_Input_Raw_Products'!M332,IFERROR(_xlfn.XLOOKUP('01_Input_Raw_Products'!F332,'10_Master_Gem_Types'!A:A,'10_Master_Gem_Types'!K:K),""))</f>
        <v>0</v>
      </c>
      <c r="C332" s="9">
        <f>'01_Input_Raw_Products'!B332</f>
        <v>0</v>
      </c>
      <c r="D332" s="9">
        <f>IF(C332="","",TEXT(I332,"0.00")&amp;" Ct "&amp;IF('01_Input_Raw_Products'!F332&lt;&gt;"",'01_Input_Raw_Products'!F332,'01_Input_Raw_Products'!D332)&amp;" "&amp;'01_Input_Raw_Products'!I332)</f>
        <v>0</v>
      </c>
      <c r="E332" s="9">
        <f>IF(C332="","",D332&amp;" | GemPundit")</f>
        <v>0</v>
      </c>
      <c r="F332" s="9" cm="1">
        <f t="array" ref="F332">IF('01_Input_Raw_Products'!X332&lt;&gt;"",'01_Input_Raw_Products'!X332,IFERROR(_xlfn.XLOOKUP('01_Input_Raw_Products'!F332,'10_Master_Gem_Types'!A:A,'10_Master_Gem_Types'!O:O),LOWER(SUBSTITUTE(IF('01_Input_Raw_Products'!F332&lt;&gt;"",'01_Input_Raw_Products'!F332,'01_Input_Raw_Products'!D332)," ","-"))))</f>
        <v>0</v>
      </c>
      <c r="G332" s="9">
        <f>'01_Input_Raw_Products'!C332</f>
        <v>0</v>
      </c>
      <c r="H332" s="9" cm="1">
        <f t="array" ref="H332">IF('01_Input_Raw_Products'!H332&lt;&gt;"",'01_Input_Raw_Products'!H332,IFERROR(_xlfn.XLOOKUP('01_Input_Raw_Products'!F332,'10_Master_Gem_Types'!A:A,'10_Master_Gem_Types'!D:D),""))</f>
        <v>0</v>
      </c>
      <c r="I332" s="7">
        <f>IF('01_Input_Raw_Products'!N332&lt;&gt;"",'01_Input_Raw_Products'!N332,IF('01_Input_Raw_Products'!O332&lt;&gt;"",'01_Input_Raw_Products'!O332*0.91,""))</f>
        <v>0</v>
      </c>
      <c r="J332" s="9" cm="1">
        <f t="array" ref="J332">IFERROR(_xlfn.XLOOKUP('01_Input_Raw_Products'!F332,'10_Master_Gem_Types'!A:A,'10_Master_Gem_Types'!N:N),"")</f>
        <v>0</v>
      </c>
      <c r="K332" s="9" cm="1">
        <f t="array" ref="K332">IF('01_Input_Raw_Products'!J332&lt;&gt;"",'01_Input_Raw_Products'!J332,IFERROR(_xlfn.XLOOKUP('01_Input_Raw_Products'!F332,'10_Master_Gem_Types'!A:A,'10_Master_Gem_Types'!E:E),""))</f>
        <v>0</v>
      </c>
      <c r="L332" s="9">
        <f>'01_Input_Raw_Products'!P332</f>
        <v>0</v>
      </c>
      <c r="M332" s="9" cm="1">
        <f t="array" ref="M332">IFERROR(_xlfn.XLOOKUP('01_Input_Raw_Products'!K332,'12_Color_Mapping'!A:A,'12_Color_Mapping'!B:B),IFERROR(_xlfn.XLOOKUP('01_Input_Raw_Products'!F332,'10_Master_Gem_Types'!A:A,'10_Master_Gem_Types'!F:F),""))</f>
        <v>0</v>
      </c>
      <c r="N332" s="9">
        <f>IF(C332="","",IF('01_Input_Raw_Products'!F332&lt;&gt;"",'01_Input_Raw_Products'!F332,'01_Input_Raw_Products'!D332))</f>
        <v>0</v>
      </c>
      <c r="O332" s="9">
        <f>IF(C332="","","Catalog Automation")</f>
        <v>0</v>
      </c>
      <c r="P332" s="9">
        <f>'01_Input_Raw_Products'!U332</f>
        <v>0</v>
      </c>
      <c r="Q332" s="7">
        <f>IF('01_Input_Raw_Products'!O332&lt;&gt;"",'01_Input_Raw_Products'!O332,IF('01_Input_Raw_Products'!N332&lt;&gt;"",'01_Input_Raw_Products'!N332*1.1,""))</f>
        <v>0</v>
      </c>
      <c r="R332" s="9">
        <f>'01_Input_Raw_Products'!S332</f>
        <v>0</v>
      </c>
      <c r="S332" s="9" cm="1">
        <f t="array" ref="S332">IFERROR(_xlfn.XLOOKUP('01_Input_Raw_Products'!F332,'10_Master_Gem_Types'!A:A,'10_Master_Gem_Types'!H:H),"")</f>
        <v>0</v>
      </c>
      <c r="T332" s="8">
        <f>'01_Input_Raw_Products'!Q332</f>
        <v>0</v>
      </c>
      <c r="U332" s="8">
        <f>'01_Input_Raw_Products'!R332</f>
        <v>0</v>
      </c>
      <c r="V332" s="7">
        <f>I332</f>
        <v>0</v>
      </c>
      <c r="W332" s="9" cm="1">
        <f t="array" ref="W332">IF('01_Input_Raw_Products'!G332&lt;&gt;"",'01_Input_Raw_Products'!G332,IFERROR(_xlfn.XLOOKUP('01_Input_Raw_Products'!F332,'10_Master_Gem_Types'!A:A,'10_Master_Gem_Types'!L:L),""))</f>
        <v>0</v>
      </c>
      <c r="X332" s="9" cm="1">
        <f t="array" ref="X332">IFERROR(_xlfn.XLOOKUP('01_Input_Raw_Products'!F332,'10_Master_Gem_Types'!A:A,'10_Master_Gem_Types'!J:J),"")</f>
        <v>0</v>
      </c>
      <c r="Y332" s="9" cm="1">
        <f t="array" ref="Y332">IFERROR(_xlfn.XLOOKUP('01_Input_Raw_Products'!F332,'10_Master_Gem_Types'!A:A,'10_Master_Gem_Types'!I:I),"")</f>
        <v>0</v>
      </c>
      <c r="Z332" s="9" cm="1">
        <f t="array" ref="Z332">IFERROR(_xlfn.XLOOKUP('01_Input_Raw_Products'!L332,'13_Certification_Stickers'!A:A,'13_Certification_Stickers'!C:C),"")</f>
        <v>0</v>
      </c>
      <c r="AA332" s="9" cm="1">
        <f t="array" ref="AA332">IFERROR(_xlfn.XLOOKUP('01_Input_Raw_Products'!S332,'14_Shipping_Rules'!A:A,'14_Shipping_Rules'!B:B),"")</f>
        <v>0</v>
      </c>
      <c r="AB332" s="9" cm="1">
        <f t="array" ref="AB332">IFERROR(_xlfn.XLOOKUP('01_Input_Raw_Products'!D332,'16_Astro_Flags'!A:A,'16_Astro_Flags'!B:B),"")</f>
        <v>0</v>
      </c>
      <c r="AC332" s="9">
        <f>IF(C332="","","Catalog, Search")</f>
        <v>0</v>
      </c>
      <c r="AD332" s="9">
        <f>IF(C332="","",IF(OR(F332="",J332="",M332="",S332="",Y332=""),"Manual Review","Ready"))</f>
        <v>0</v>
      </c>
      <c r="AE332" s="9">
        <f>IF(C332="","",TEXTJOIN("; ",TRUE,IF(F332="","Missing url_key",""),IF(J332="","Missing classification",""),IF(M332="","Missing j_colour",""),IF(S332="","Missing hsn_code",""),IF(Y332="","Missing tax_class_id","")))</f>
        <v>0</v>
      </c>
    </row>
    <row r="333" spans="1:31">
      <c r="A333" s="9">
        <f>IF('01_Input_Raw_Products'!B333&lt;&gt;"",20,"")</f>
        <v>0</v>
      </c>
      <c r="B333" s="9" cm="1">
        <f t="array" ref="B333">IF('01_Input_Raw_Products'!M333&lt;&gt;"",'01_Input_Raw_Products'!M333,IFERROR(_xlfn.XLOOKUP('01_Input_Raw_Products'!F333,'10_Master_Gem_Types'!A:A,'10_Master_Gem_Types'!K:K),""))</f>
        <v>0</v>
      </c>
      <c r="C333" s="9">
        <f>'01_Input_Raw_Products'!B333</f>
        <v>0</v>
      </c>
      <c r="D333" s="9">
        <f>IF(C333="","",TEXT(I333,"0.00")&amp;" Ct "&amp;IF('01_Input_Raw_Products'!F333&lt;&gt;"",'01_Input_Raw_Products'!F333,'01_Input_Raw_Products'!D333)&amp;" "&amp;'01_Input_Raw_Products'!I333)</f>
        <v>0</v>
      </c>
      <c r="E333" s="9">
        <f>IF(C333="","",D333&amp;" | GemPundit")</f>
        <v>0</v>
      </c>
      <c r="F333" s="9" cm="1">
        <f t="array" ref="F333">IF('01_Input_Raw_Products'!X333&lt;&gt;"",'01_Input_Raw_Products'!X333,IFERROR(_xlfn.XLOOKUP('01_Input_Raw_Products'!F333,'10_Master_Gem_Types'!A:A,'10_Master_Gem_Types'!O:O),LOWER(SUBSTITUTE(IF('01_Input_Raw_Products'!F333&lt;&gt;"",'01_Input_Raw_Products'!F333,'01_Input_Raw_Products'!D333)," ","-"))))</f>
        <v>0</v>
      </c>
      <c r="G333" s="9">
        <f>'01_Input_Raw_Products'!C333</f>
        <v>0</v>
      </c>
      <c r="H333" s="9" cm="1">
        <f t="array" ref="H333">IF('01_Input_Raw_Products'!H333&lt;&gt;"",'01_Input_Raw_Products'!H333,IFERROR(_xlfn.XLOOKUP('01_Input_Raw_Products'!F333,'10_Master_Gem_Types'!A:A,'10_Master_Gem_Types'!D:D),""))</f>
        <v>0</v>
      </c>
      <c r="I333" s="7">
        <f>IF('01_Input_Raw_Products'!N333&lt;&gt;"",'01_Input_Raw_Products'!N333,IF('01_Input_Raw_Products'!O333&lt;&gt;"",'01_Input_Raw_Products'!O333*0.91,""))</f>
        <v>0</v>
      </c>
      <c r="J333" s="9" cm="1">
        <f t="array" ref="J333">IFERROR(_xlfn.XLOOKUP('01_Input_Raw_Products'!F333,'10_Master_Gem_Types'!A:A,'10_Master_Gem_Types'!N:N),"")</f>
        <v>0</v>
      </c>
      <c r="K333" s="9" cm="1">
        <f t="array" ref="K333">IF('01_Input_Raw_Products'!J333&lt;&gt;"",'01_Input_Raw_Products'!J333,IFERROR(_xlfn.XLOOKUP('01_Input_Raw_Products'!F333,'10_Master_Gem_Types'!A:A,'10_Master_Gem_Types'!E:E),""))</f>
        <v>0</v>
      </c>
      <c r="L333" s="9">
        <f>'01_Input_Raw_Products'!P333</f>
        <v>0</v>
      </c>
      <c r="M333" s="9" cm="1">
        <f t="array" ref="M333">IFERROR(_xlfn.XLOOKUP('01_Input_Raw_Products'!K333,'12_Color_Mapping'!A:A,'12_Color_Mapping'!B:B),IFERROR(_xlfn.XLOOKUP('01_Input_Raw_Products'!F333,'10_Master_Gem_Types'!A:A,'10_Master_Gem_Types'!F:F),""))</f>
        <v>0</v>
      </c>
      <c r="N333" s="9">
        <f>IF(C333="","",IF('01_Input_Raw_Products'!F333&lt;&gt;"",'01_Input_Raw_Products'!F333,'01_Input_Raw_Products'!D333))</f>
        <v>0</v>
      </c>
      <c r="O333" s="9">
        <f>IF(C333="","","Catalog Automation")</f>
        <v>0</v>
      </c>
      <c r="P333" s="9">
        <f>'01_Input_Raw_Products'!U333</f>
        <v>0</v>
      </c>
      <c r="Q333" s="7">
        <f>IF('01_Input_Raw_Products'!O333&lt;&gt;"",'01_Input_Raw_Products'!O333,IF('01_Input_Raw_Products'!N333&lt;&gt;"",'01_Input_Raw_Products'!N333*1.1,""))</f>
        <v>0</v>
      </c>
      <c r="R333" s="9">
        <f>'01_Input_Raw_Products'!S333</f>
        <v>0</v>
      </c>
      <c r="S333" s="9" cm="1">
        <f t="array" ref="S333">IFERROR(_xlfn.XLOOKUP('01_Input_Raw_Products'!F333,'10_Master_Gem_Types'!A:A,'10_Master_Gem_Types'!H:H),"")</f>
        <v>0</v>
      </c>
      <c r="T333" s="8">
        <f>'01_Input_Raw_Products'!Q333</f>
        <v>0</v>
      </c>
      <c r="U333" s="8">
        <f>'01_Input_Raw_Products'!R333</f>
        <v>0</v>
      </c>
      <c r="V333" s="7">
        <f>I333</f>
        <v>0</v>
      </c>
      <c r="W333" s="9" cm="1">
        <f t="array" ref="W333">IF('01_Input_Raw_Products'!G333&lt;&gt;"",'01_Input_Raw_Products'!G333,IFERROR(_xlfn.XLOOKUP('01_Input_Raw_Products'!F333,'10_Master_Gem_Types'!A:A,'10_Master_Gem_Types'!L:L),""))</f>
        <v>0</v>
      </c>
      <c r="X333" s="9" cm="1">
        <f t="array" ref="X333">IFERROR(_xlfn.XLOOKUP('01_Input_Raw_Products'!F333,'10_Master_Gem_Types'!A:A,'10_Master_Gem_Types'!J:J),"")</f>
        <v>0</v>
      </c>
      <c r="Y333" s="9" cm="1">
        <f t="array" ref="Y333">IFERROR(_xlfn.XLOOKUP('01_Input_Raw_Products'!F333,'10_Master_Gem_Types'!A:A,'10_Master_Gem_Types'!I:I),"")</f>
        <v>0</v>
      </c>
      <c r="Z333" s="9" cm="1">
        <f t="array" ref="Z333">IFERROR(_xlfn.XLOOKUP('01_Input_Raw_Products'!L333,'13_Certification_Stickers'!A:A,'13_Certification_Stickers'!C:C),"")</f>
        <v>0</v>
      </c>
      <c r="AA333" s="9" cm="1">
        <f t="array" ref="AA333">IFERROR(_xlfn.XLOOKUP('01_Input_Raw_Products'!S333,'14_Shipping_Rules'!A:A,'14_Shipping_Rules'!B:B),"")</f>
        <v>0</v>
      </c>
      <c r="AB333" s="9" cm="1">
        <f t="array" ref="AB333">IFERROR(_xlfn.XLOOKUP('01_Input_Raw_Products'!D333,'16_Astro_Flags'!A:A,'16_Astro_Flags'!B:B),"")</f>
        <v>0</v>
      </c>
      <c r="AC333" s="9">
        <f>IF(C333="","","Catalog, Search")</f>
        <v>0</v>
      </c>
      <c r="AD333" s="9">
        <f>IF(C333="","",IF(OR(F333="",J333="",M333="",S333="",Y333=""),"Manual Review","Ready"))</f>
        <v>0</v>
      </c>
      <c r="AE333" s="9">
        <f>IF(C333="","",TEXTJOIN("; ",TRUE,IF(F333="","Missing url_key",""),IF(J333="","Missing classification",""),IF(M333="","Missing j_colour",""),IF(S333="","Missing hsn_code",""),IF(Y333="","Missing tax_class_id","")))</f>
        <v>0</v>
      </c>
    </row>
    <row r="334" spans="1:31">
      <c r="A334" s="9">
        <f>IF('01_Input_Raw_Products'!B334&lt;&gt;"",20,"")</f>
        <v>0</v>
      </c>
      <c r="B334" s="9" cm="1">
        <f t="array" ref="B334">IF('01_Input_Raw_Products'!M334&lt;&gt;"",'01_Input_Raw_Products'!M334,IFERROR(_xlfn.XLOOKUP('01_Input_Raw_Products'!F334,'10_Master_Gem_Types'!A:A,'10_Master_Gem_Types'!K:K),""))</f>
        <v>0</v>
      </c>
      <c r="C334" s="9">
        <f>'01_Input_Raw_Products'!B334</f>
        <v>0</v>
      </c>
      <c r="D334" s="9">
        <f>IF(C334="","",TEXT(I334,"0.00")&amp;" Ct "&amp;IF('01_Input_Raw_Products'!F334&lt;&gt;"",'01_Input_Raw_Products'!F334,'01_Input_Raw_Products'!D334)&amp;" "&amp;'01_Input_Raw_Products'!I334)</f>
        <v>0</v>
      </c>
      <c r="E334" s="9">
        <f>IF(C334="","",D334&amp;" | GemPundit")</f>
        <v>0</v>
      </c>
      <c r="F334" s="9" cm="1">
        <f t="array" ref="F334">IF('01_Input_Raw_Products'!X334&lt;&gt;"",'01_Input_Raw_Products'!X334,IFERROR(_xlfn.XLOOKUP('01_Input_Raw_Products'!F334,'10_Master_Gem_Types'!A:A,'10_Master_Gem_Types'!O:O),LOWER(SUBSTITUTE(IF('01_Input_Raw_Products'!F334&lt;&gt;"",'01_Input_Raw_Products'!F334,'01_Input_Raw_Products'!D334)," ","-"))))</f>
        <v>0</v>
      </c>
      <c r="G334" s="9">
        <f>'01_Input_Raw_Products'!C334</f>
        <v>0</v>
      </c>
      <c r="H334" s="9" cm="1">
        <f t="array" ref="H334">IF('01_Input_Raw_Products'!H334&lt;&gt;"",'01_Input_Raw_Products'!H334,IFERROR(_xlfn.XLOOKUP('01_Input_Raw_Products'!F334,'10_Master_Gem_Types'!A:A,'10_Master_Gem_Types'!D:D),""))</f>
        <v>0</v>
      </c>
      <c r="I334" s="7">
        <f>IF('01_Input_Raw_Products'!N334&lt;&gt;"",'01_Input_Raw_Products'!N334,IF('01_Input_Raw_Products'!O334&lt;&gt;"",'01_Input_Raw_Products'!O334*0.91,""))</f>
        <v>0</v>
      </c>
      <c r="J334" s="9" cm="1">
        <f t="array" ref="J334">IFERROR(_xlfn.XLOOKUP('01_Input_Raw_Products'!F334,'10_Master_Gem_Types'!A:A,'10_Master_Gem_Types'!N:N),"")</f>
        <v>0</v>
      </c>
      <c r="K334" s="9" cm="1">
        <f t="array" ref="K334">IF('01_Input_Raw_Products'!J334&lt;&gt;"",'01_Input_Raw_Products'!J334,IFERROR(_xlfn.XLOOKUP('01_Input_Raw_Products'!F334,'10_Master_Gem_Types'!A:A,'10_Master_Gem_Types'!E:E),""))</f>
        <v>0</v>
      </c>
      <c r="L334" s="9">
        <f>'01_Input_Raw_Products'!P334</f>
        <v>0</v>
      </c>
      <c r="M334" s="9" cm="1">
        <f t="array" ref="M334">IFERROR(_xlfn.XLOOKUP('01_Input_Raw_Products'!K334,'12_Color_Mapping'!A:A,'12_Color_Mapping'!B:B),IFERROR(_xlfn.XLOOKUP('01_Input_Raw_Products'!F334,'10_Master_Gem_Types'!A:A,'10_Master_Gem_Types'!F:F),""))</f>
        <v>0</v>
      </c>
      <c r="N334" s="9">
        <f>IF(C334="","",IF('01_Input_Raw_Products'!F334&lt;&gt;"",'01_Input_Raw_Products'!F334,'01_Input_Raw_Products'!D334))</f>
        <v>0</v>
      </c>
      <c r="O334" s="9">
        <f>IF(C334="","","Catalog Automation")</f>
        <v>0</v>
      </c>
      <c r="P334" s="9">
        <f>'01_Input_Raw_Products'!U334</f>
        <v>0</v>
      </c>
      <c r="Q334" s="7">
        <f>IF('01_Input_Raw_Products'!O334&lt;&gt;"",'01_Input_Raw_Products'!O334,IF('01_Input_Raw_Products'!N334&lt;&gt;"",'01_Input_Raw_Products'!N334*1.1,""))</f>
        <v>0</v>
      </c>
      <c r="R334" s="9">
        <f>'01_Input_Raw_Products'!S334</f>
        <v>0</v>
      </c>
      <c r="S334" s="9" cm="1">
        <f t="array" ref="S334">IFERROR(_xlfn.XLOOKUP('01_Input_Raw_Products'!F334,'10_Master_Gem_Types'!A:A,'10_Master_Gem_Types'!H:H),"")</f>
        <v>0</v>
      </c>
      <c r="T334" s="8">
        <f>'01_Input_Raw_Products'!Q334</f>
        <v>0</v>
      </c>
      <c r="U334" s="8">
        <f>'01_Input_Raw_Products'!R334</f>
        <v>0</v>
      </c>
      <c r="V334" s="7">
        <f>I334</f>
        <v>0</v>
      </c>
      <c r="W334" s="9" cm="1">
        <f t="array" ref="W334">IF('01_Input_Raw_Products'!G334&lt;&gt;"",'01_Input_Raw_Products'!G334,IFERROR(_xlfn.XLOOKUP('01_Input_Raw_Products'!F334,'10_Master_Gem_Types'!A:A,'10_Master_Gem_Types'!L:L),""))</f>
        <v>0</v>
      </c>
      <c r="X334" s="9" cm="1">
        <f t="array" ref="X334">IFERROR(_xlfn.XLOOKUP('01_Input_Raw_Products'!F334,'10_Master_Gem_Types'!A:A,'10_Master_Gem_Types'!J:J),"")</f>
        <v>0</v>
      </c>
      <c r="Y334" s="9" cm="1">
        <f t="array" ref="Y334">IFERROR(_xlfn.XLOOKUP('01_Input_Raw_Products'!F334,'10_Master_Gem_Types'!A:A,'10_Master_Gem_Types'!I:I),"")</f>
        <v>0</v>
      </c>
      <c r="Z334" s="9" cm="1">
        <f t="array" ref="Z334">IFERROR(_xlfn.XLOOKUP('01_Input_Raw_Products'!L334,'13_Certification_Stickers'!A:A,'13_Certification_Stickers'!C:C),"")</f>
        <v>0</v>
      </c>
      <c r="AA334" s="9" cm="1">
        <f t="array" ref="AA334">IFERROR(_xlfn.XLOOKUP('01_Input_Raw_Products'!S334,'14_Shipping_Rules'!A:A,'14_Shipping_Rules'!B:B),"")</f>
        <v>0</v>
      </c>
      <c r="AB334" s="9" cm="1">
        <f t="array" ref="AB334">IFERROR(_xlfn.XLOOKUP('01_Input_Raw_Products'!D334,'16_Astro_Flags'!A:A,'16_Astro_Flags'!B:B),"")</f>
        <v>0</v>
      </c>
      <c r="AC334" s="9">
        <f>IF(C334="","","Catalog, Search")</f>
        <v>0</v>
      </c>
      <c r="AD334" s="9">
        <f>IF(C334="","",IF(OR(F334="",J334="",M334="",S334="",Y334=""),"Manual Review","Ready"))</f>
        <v>0</v>
      </c>
      <c r="AE334" s="9">
        <f>IF(C334="","",TEXTJOIN("; ",TRUE,IF(F334="","Missing url_key",""),IF(J334="","Missing classification",""),IF(M334="","Missing j_colour",""),IF(S334="","Missing hsn_code",""),IF(Y334="","Missing tax_class_id","")))</f>
        <v>0</v>
      </c>
    </row>
    <row r="335" spans="1:31">
      <c r="A335" s="9">
        <f>IF('01_Input_Raw_Products'!B335&lt;&gt;"",20,"")</f>
        <v>0</v>
      </c>
      <c r="B335" s="9" cm="1">
        <f t="array" ref="B335">IF('01_Input_Raw_Products'!M335&lt;&gt;"",'01_Input_Raw_Products'!M335,IFERROR(_xlfn.XLOOKUP('01_Input_Raw_Products'!F335,'10_Master_Gem_Types'!A:A,'10_Master_Gem_Types'!K:K),""))</f>
        <v>0</v>
      </c>
      <c r="C335" s="9">
        <f>'01_Input_Raw_Products'!B335</f>
        <v>0</v>
      </c>
      <c r="D335" s="9">
        <f>IF(C335="","",TEXT(I335,"0.00")&amp;" Ct "&amp;IF('01_Input_Raw_Products'!F335&lt;&gt;"",'01_Input_Raw_Products'!F335,'01_Input_Raw_Products'!D335)&amp;" "&amp;'01_Input_Raw_Products'!I335)</f>
        <v>0</v>
      </c>
      <c r="E335" s="9">
        <f>IF(C335="","",D335&amp;" | GemPundit")</f>
        <v>0</v>
      </c>
      <c r="F335" s="9" cm="1">
        <f t="array" ref="F335">IF('01_Input_Raw_Products'!X335&lt;&gt;"",'01_Input_Raw_Products'!X335,IFERROR(_xlfn.XLOOKUP('01_Input_Raw_Products'!F335,'10_Master_Gem_Types'!A:A,'10_Master_Gem_Types'!O:O),LOWER(SUBSTITUTE(IF('01_Input_Raw_Products'!F335&lt;&gt;"",'01_Input_Raw_Products'!F335,'01_Input_Raw_Products'!D335)," ","-"))))</f>
        <v>0</v>
      </c>
      <c r="G335" s="9">
        <f>'01_Input_Raw_Products'!C335</f>
        <v>0</v>
      </c>
      <c r="H335" s="9" cm="1">
        <f t="array" ref="H335">IF('01_Input_Raw_Products'!H335&lt;&gt;"",'01_Input_Raw_Products'!H335,IFERROR(_xlfn.XLOOKUP('01_Input_Raw_Products'!F335,'10_Master_Gem_Types'!A:A,'10_Master_Gem_Types'!D:D),""))</f>
        <v>0</v>
      </c>
      <c r="I335" s="7">
        <f>IF('01_Input_Raw_Products'!N335&lt;&gt;"",'01_Input_Raw_Products'!N335,IF('01_Input_Raw_Products'!O335&lt;&gt;"",'01_Input_Raw_Products'!O335*0.91,""))</f>
        <v>0</v>
      </c>
      <c r="J335" s="9" cm="1">
        <f t="array" ref="J335">IFERROR(_xlfn.XLOOKUP('01_Input_Raw_Products'!F335,'10_Master_Gem_Types'!A:A,'10_Master_Gem_Types'!N:N),"")</f>
        <v>0</v>
      </c>
      <c r="K335" s="9" cm="1">
        <f t="array" ref="K335">IF('01_Input_Raw_Products'!J335&lt;&gt;"",'01_Input_Raw_Products'!J335,IFERROR(_xlfn.XLOOKUP('01_Input_Raw_Products'!F335,'10_Master_Gem_Types'!A:A,'10_Master_Gem_Types'!E:E),""))</f>
        <v>0</v>
      </c>
      <c r="L335" s="9">
        <f>'01_Input_Raw_Products'!P335</f>
        <v>0</v>
      </c>
      <c r="M335" s="9" cm="1">
        <f t="array" ref="M335">IFERROR(_xlfn.XLOOKUP('01_Input_Raw_Products'!K335,'12_Color_Mapping'!A:A,'12_Color_Mapping'!B:B),IFERROR(_xlfn.XLOOKUP('01_Input_Raw_Products'!F335,'10_Master_Gem_Types'!A:A,'10_Master_Gem_Types'!F:F),""))</f>
        <v>0</v>
      </c>
      <c r="N335" s="9">
        <f>IF(C335="","",IF('01_Input_Raw_Products'!F335&lt;&gt;"",'01_Input_Raw_Products'!F335,'01_Input_Raw_Products'!D335))</f>
        <v>0</v>
      </c>
      <c r="O335" s="9">
        <f>IF(C335="","","Catalog Automation")</f>
        <v>0</v>
      </c>
      <c r="P335" s="9">
        <f>'01_Input_Raw_Products'!U335</f>
        <v>0</v>
      </c>
      <c r="Q335" s="7">
        <f>IF('01_Input_Raw_Products'!O335&lt;&gt;"",'01_Input_Raw_Products'!O335,IF('01_Input_Raw_Products'!N335&lt;&gt;"",'01_Input_Raw_Products'!N335*1.1,""))</f>
        <v>0</v>
      </c>
      <c r="R335" s="9">
        <f>'01_Input_Raw_Products'!S335</f>
        <v>0</v>
      </c>
      <c r="S335" s="9" cm="1">
        <f t="array" ref="S335">IFERROR(_xlfn.XLOOKUP('01_Input_Raw_Products'!F335,'10_Master_Gem_Types'!A:A,'10_Master_Gem_Types'!H:H),"")</f>
        <v>0</v>
      </c>
      <c r="T335" s="8">
        <f>'01_Input_Raw_Products'!Q335</f>
        <v>0</v>
      </c>
      <c r="U335" s="8">
        <f>'01_Input_Raw_Products'!R335</f>
        <v>0</v>
      </c>
      <c r="V335" s="7">
        <f>I335</f>
        <v>0</v>
      </c>
      <c r="W335" s="9" cm="1">
        <f t="array" ref="W335">IF('01_Input_Raw_Products'!G335&lt;&gt;"",'01_Input_Raw_Products'!G335,IFERROR(_xlfn.XLOOKUP('01_Input_Raw_Products'!F335,'10_Master_Gem_Types'!A:A,'10_Master_Gem_Types'!L:L),""))</f>
        <v>0</v>
      </c>
      <c r="X335" s="9" cm="1">
        <f t="array" ref="X335">IFERROR(_xlfn.XLOOKUP('01_Input_Raw_Products'!F335,'10_Master_Gem_Types'!A:A,'10_Master_Gem_Types'!J:J),"")</f>
        <v>0</v>
      </c>
      <c r="Y335" s="9" cm="1">
        <f t="array" ref="Y335">IFERROR(_xlfn.XLOOKUP('01_Input_Raw_Products'!F335,'10_Master_Gem_Types'!A:A,'10_Master_Gem_Types'!I:I),"")</f>
        <v>0</v>
      </c>
      <c r="Z335" s="9" cm="1">
        <f t="array" ref="Z335">IFERROR(_xlfn.XLOOKUP('01_Input_Raw_Products'!L335,'13_Certification_Stickers'!A:A,'13_Certification_Stickers'!C:C),"")</f>
        <v>0</v>
      </c>
      <c r="AA335" s="9" cm="1">
        <f t="array" ref="AA335">IFERROR(_xlfn.XLOOKUP('01_Input_Raw_Products'!S335,'14_Shipping_Rules'!A:A,'14_Shipping_Rules'!B:B),"")</f>
        <v>0</v>
      </c>
      <c r="AB335" s="9" cm="1">
        <f t="array" ref="AB335">IFERROR(_xlfn.XLOOKUP('01_Input_Raw_Products'!D335,'16_Astro_Flags'!A:A,'16_Astro_Flags'!B:B),"")</f>
        <v>0</v>
      </c>
      <c r="AC335" s="9">
        <f>IF(C335="","","Catalog, Search")</f>
        <v>0</v>
      </c>
      <c r="AD335" s="9">
        <f>IF(C335="","",IF(OR(F335="",J335="",M335="",S335="",Y335=""),"Manual Review","Ready"))</f>
        <v>0</v>
      </c>
      <c r="AE335" s="9">
        <f>IF(C335="","",TEXTJOIN("; ",TRUE,IF(F335="","Missing url_key",""),IF(J335="","Missing classification",""),IF(M335="","Missing j_colour",""),IF(S335="","Missing hsn_code",""),IF(Y335="","Missing tax_class_id","")))</f>
        <v>0</v>
      </c>
    </row>
    <row r="336" spans="1:31">
      <c r="A336" s="9">
        <f>IF('01_Input_Raw_Products'!B336&lt;&gt;"",20,"")</f>
        <v>0</v>
      </c>
      <c r="B336" s="9" cm="1">
        <f t="array" ref="B336">IF('01_Input_Raw_Products'!M336&lt;&gt;"",'01_Input_Raw_Products'!M336,IFERROR(_xlfn.XLOOKUP('01_Input_Raw_Products'!F336,'10_Master_Gem_Types'!A:A,'10_Master_Gem_Types'!K:K),""))</f>
        <v>0</v>
      </c>
      <c r="C336" s="9">
        <f>'01_Input_Raw_Products'!B336</f>
        <v>0</v>
      </c>
      <c r="D336" s="9">
        <f>IF(C336="","",TEXT(I336,"0.00")&amp;" Ct "&amp;IF('01_Input_Raw_Products'!F336&lt;&gt;"",'01_Input_Raw_Products'!F336,'01_Input_Raw_Products'!D336)&amp;" "&amp;'01_Input_Raw_Products'!I336)</f>
        <v>0</v>
      </c>
      <c r="E336" s="9">
        <f>IF(C336="","",D336&amp;" | GemPundit")</f>
        <v>0</v>
      </c>
      <c r="F336" s="9" cm="1">
        <f t="array" ref="F336">IF('01_Input_Raw_Products'!X336&lt;&gt;"",'01_Input_Raw_Products'!X336,IFERROR(_xlfn.XLOOKUP('01_Input_Raw_Products'!F336,'10_Master_Gem_Types'!A:A,'10_Master_Gem_Types'!O:O),LOWER(SUBSTITUTE(IF('01_Input_Raw_Products'!F336&lt;&gt;"",'01_Input_Raw_Products'!F336,'01_Input_Raw_Products'!D336)," ","-"))))</f>
        <v>0</v>
      </c>
      <c r="G336" s="9">
        <f>'01_Input_Raw_Products'!C336</f>
        <v>0</v>
      </c>
      <c r="H336" s="9" cm="1">
        <f t="array" ref="H336">IF('01_Input_Raw_Products'!H336&lt;&gt;"",'01_Input_Raw_Products'!H336,IFERROR(_xlfn.XLOOKUP('01_Input_Raw_Products'!F336,'10_Master_Gem_Types'!A:A,'10_Master_Gem_Types'!D:D),""))</f>
        <v>0</v>
      </c>
      <c r="I336" s="7">
        <f>IF('01_Input_Raw_Products'!N336&lt;&gt;"",'01_Input_Raw_Products'!N336,IF('01_Input_Raw_Products'!O336&lt;&gt;"",'01_Input_Raw_Products'!O336*0.91,""))</f>
        <v>0</v>
      </c>
      <c r="J336" s="9" cm="1">
        <f t="array" ref="J336">IFERROR(_xlfn.XLOOKUP('01_Input_Raw_Products'!F336,'10_Master_Gem_Types'!A:A,'10_Master_Gem_Types'!N:N),"")</f>
        <v>0</v>
      </c>
      <c r="K336" s="9" cm="1">
        <f t="array" ref="K336">IF('01_Input_Raw_Products'!J336&lt;&gt;"",'01_Input_Raw_Products'!J336,IFERROR(_xlfn.XLOOKUP('01_Input_Raw_Products'!F336,'10_Master_Gem_Types'!A:A,'10_Master_Gem_Types'!E:E),""))</f>
        <v>0</v>
      </c>
      <c r="L336" s="9">
        <f>'01_Input_Raw_Products'!P336</f>
        <v>0</v>
      </c>
      <c r="M336" s="9" cm="1">
        <f t="array" ref="M336">IFERROR(_xlfn.XLOOKUP('01_Input_Raw_Products'!K336,'12_Color_Mapping'!A:A,'12_Color_Mapping'!B:B),IFERROR(_xlfn.XLOOKUP('01_Input_Raw_Products'!F336,'10_Master_Gem_Types'!A:A,'10_Master_Gem_Types'!F:F),""))</f>
        <v>0</v>
      </c>
      <c r="N336" s="9">
        <f>IF(C336="","",IF('01_Input_Raw_Products'!F336&lt;&gt;"",'01_Input_Raw_Products'!F336,'01_Input_Raw_Products'!D336))</f>
        <v>0</v>
      </c>
      <c r="O336" s="9">
        <f>IF(C336="","","Catalog Automation")</f>
        <v>0</v>
      </c>
      <c r="P336" s="9">
        <f>'01_Input_Raw_Products'!U336</f>
        <v>0</v>
      </c>
      <c r="Q336" s="7">
        <f>IF('01_Input_Raw_Products'!O336&lt;&gt;"",'01_Input_Raw_Products'!O336,IF('01_Input_Raw_Products'!N336&lt;&gt;"",'01_Input_Raw_Products'!N336*1.1,""))</f>
        <v>0</v>
      </c>
      <c r="R336" s="9">
        <f>'01_Input_Raw_Products'!S336</f>
        <v>0</v>
      </c>
      <c r="S336" s="9" cm="1">
        <f t="array" ref="S336">IFERROR(_xlfn.XLOOKUP('01_Input_Raw_Products'!F336,'10_Master_Gem_Types'!A:A,'10_Master_Gem_Types'!H:H),"")</f>
        <v>0</v>
      </c>
      <c r="T336" s="8">
        <f>'01_Input_Raw_Products'!Q336</f>
        <v>0</v>
      </c>
      <c r="U336" s="8">
        <f>'01_Input_Raw_Products'!R336</f>
        <v>0</v>
      </c>
      <c r="V336" s="7">
        <f>I336</f>
        <v>0</v>
      </c>
      <c r="W336" s="9" cm="1">
        <f t="array" ref="W336">IF('01_Input_Raw_Products'!G336&lt;&gt;"",'01_Input_Raw_Products'!G336,IFERROR(_xlfn.XLOOKUP('01_Input_Raw_Products'!F336,'10_Master_Gem_Types'!A:A,'10_Master_Gem_Types'!L:L),""))</f>
        <v>0</v>
      </c>
      <c r="X336" s="9" cm="1">
        <f t="array" ref="X336">IFERROR(_xlfn.XLOOKUP('01_Input_Raw_Products'!F336,'10_Master_Gem_Types'!A:A,'10_Master_Gem_Types'!J:J),"")</f>
        <v>0</v>
      </c>
      <c r="Y336" s="9" cm="1">
        <f t="array" ref="Y336">IFERROR(_xlfn.XLOOKUP('01_Input_Raw_Products'!F336,'10_Master_Gem_Types'!A:A,'10_Master_Gem_Types'!I:I),"")</f>
        <v>0</v>
      </c>
      <c r="Z336" s="9" cm="1">
        <f t="array" ref="Z336">IFERROR(_xlfn.XLOOKUP('01_Input_Raw_Products'!L336,'13_Certification_Stickers'!A:A,'13_Certification_Stickers'!C:C),"")</f>
        <v>0</v>
      </c>
      <c r="AA336" s="9" cm="1">
        <f t="array" ref="AA336">IFERROR(_xlfn.XLOOKUP('01_Input_Raw_Products'!S336,'14_Shipping_Rules'!A:A,'14_Shipping_Rules'!B:B),"")</f>
        <v>0</v>
      </c>
      <c r="AB336" s="9" cm="1">
        <f t="array" ref="AB336">IFERROR(_xlfn.XLOOKUP('01_Input_Raw_Products'!D336,'16_Astro_Flags'!A:A,'16_Astro_Flags'!B:B),"")</f>
        <v>0</v>
      </c>
      <c r="AC336" s="9">
        <f>IF(C336="","","Catalog, Search")</f>
        <v>0</v>
      </c>
      <c r="AD336" s="9">
        <f>IF(C336="","",IF(OR(F336="",J336="",M336="",S336="",Y336=""),"Manual Review","Ready"))</f>
        <v>0</v>
      </c>
      <c r="AE336" s="9">
        <f>IF(C336="","",TEXTJOIN("; ",TRUE,IF(F336="","Missing url_key",""),IF(J336="","Missing classification",""),IF(M336="","Missing j_colour",""),IF(S336="","Missing hsn_code",""),IF(Y336="","Missing tax_class_id","")))</f>
        <v>0</v>
      </c>
    </row>
    <row r="337" spans="1:31">
      <c r="A337" s="9">
        <f>IF('01_Input_Raw_Products'!B337&lt;&gt;"",20,"")</f>
        <v>0</v>
      </c>
      <c r="B337" s="9" cm="1">
        <f t="array" ref="B337">IF('01_Input_Raw_Products'!M337&lt;&gt;"",'01_Input_Raw_Products'!M337,IFERROR(_xlfn.XLOOKUP('01_Input_Raw_Products'!F337,'10_Master_Gem_Types'!A:A,'10_Master_Gem_Types'!K:K),""))</f>
        <v>0</v>
      </c>
      <c r="C337" s="9">
        <f>'01_Input_Raw_Products'!B337</f>
        <v>0</v>
      </c>
      <c r="D337" s="9">
        <f>IF(C337="","",TEXT(I337,"0.00")&amp;" Ct "&amp;IF('01_Input_Raw_Products'!F337&lt;&gt;"",'01_Input_Raw_Products'!F337,'01_Input_Raw_Products'!D337)&amp;" "&amp;'01_Input_Raw_Products'!I337)</f>
        <v>0</v>
      </c>
      <c r="E337" s="9">
        <f>IF(C337="","",D337&amp;" | GemPundit")</f>
        <v>0</v>
      </c>
      <c r="F337" s="9" cm="1">
        <f t="array" ref="F337">IF('01_Input_Raw_Products'!X337&lt;&gt;"",'01_Input_Raw_Products'!X337,IFERROR(_xlfn.XLOOKUP('01_Input_Raw_Products'!F337,'10_Master_Gem_Types'!A:A,'10_Master_Gem_Types'!O:O),LOWER(SUBSTITUTE(IF('01_Input_Raw_Products'!F337&lt;&gt;"",'01_Input_Raw_Products'!F337,'01_Input_Raw_Products'!D337)," ","-"))))</f>
        <v>0</v>
      </c>
      <c r="G337" s="9">
        <f>'01_Input_Raw_Products'!C337</f>
        <v>0</v>
      </c>
      <c r="H337" s="9" cm="1">
        <f t="array" ref="H337">IF('01_Input_Raw_Products'!H337&lt;&gt;"",'01_Input_Raw_Products'!H337,IFERROR(_xlfn.XLOOKUP('01_Input_Raw_Products'!F337,'10_Master_Gem_Types'!A:A,'10_Master_Gem_Types'!D:D),""))</f>
        <v>0</v>
      </c>
      <c r="I337" s="7">
        <f>IF('01_Input_Raw_Products'!N337&lt;&gt;"",'01_Input_Raw_Products'!N337,IF('01_Input_Raw_Products'!O337&lt;&gt;"",'01_Input_Raw_Products'!O337*0.91,""))</f>
        <v>0</v>
      </c>
      <c r="J337" s="9" cm="1">
        <f t="array" ref="J337">IFERROR(_xlfn.XLOOKUP('01_Input_Raw_Products'!F337,'10_Master_Gem_Types'!A:A,'10_Master_Gem_Types'!N:N),"")</f>
        <v>0</v>
      </c>
      <c r="K337" s="9" cm="1">
        <f t="array" ref="K337">IF('01_Input_Raw_Products'!J337&lt;&gt;"",'01_Input_Raw_Products'!J337,IFERROR(_xlfn.XLOOKUP('01_Input_Raw_Products'!F337,'10_Master_Gem_Types'!A:A,'10_Master_Gem_Types'!E:E),""))</f>
        <v>0</v>
      </c>
      <c r="L337" s="9">
        <f>'01_Input_Raw_Products'!P337</f>
        <v>0</v>
      </c>
      <c r="M337" s="9" cm="1">
        <f t="array" ref="M337">IFERROR(_xlfn.XLOOKUP('01_Input_Raw_Products'!K337,'12_Color_Mapping'!A:A,'12_Color_Mapping'!B:B),IFERROR(_xlfn.XLOOKUP('01_Input_Raw_Products'!F337,'10_Master_Gem_Types'!A:A,'10_Master_Gem_Types'!F:F),""))</f>
        <v>0</v>
      </c>
      <c r="N337" s="9">
        <f>IF(C337="","",IF('01_Input_Raw_Products'!F337&lt;&gt;"",'01_Input_Raw_Products'!F337,'01_Input_Raw_Products'!D337))</f>
        <v>0</v>
      </c>
      <c r="O337" s="9">
        <f>IF(C337="","","Catalog Automation")</f>
        <v>0</v>
      </c>
      <c r="P337" s="9">
        <f>'01_Input_Raw_Products'!U337</f>
        <v>0</v>
      </c>
      <c r="Q337" s="7">
        <f>IF('01_Input_Raw_Products'!O337&lt;&gt;"",'01_Input_Raw_Products'!O337,IF('01_Input_Raw_Products'!N337&lt;&gt;"",'01_Input_Raw_Products'!N337*1.1,""))</f>
        <v>0</v>
      </c>
      <c r="R337" s="9">
        <f>'01_Input_Raw_Products'!S337</f>
        <v>0</v>
      </c>
      <c r="S337" s="9" cm="1">
        <f t="array" ref="S337">IFERROR(_xlfn.XLOOKUP('01_Input_Raw_Products'!F337,'10_Master_Gem_Types'!A:A,'10_Master_Gem_Types'!H:H),"")</f>
        <v>0</v>
      </c>
      <c r="T337" s="8">
        <f>'01_Input_Raw_Products'!Q337</f>
        <v>0</v>
      </c>
      <c r="U337" s="8">
        <f>'01_Input_Raw_Products'!R337</f>
        <v>0</v>
      </c>
      <c r="V337" s="7">
        <f>I337</f>
        <v>0</v>
      </c>
      <c r="W337" s="9" cm="1">
        <f t="array" ref="W337">IF('01_Input_Raw_Products'!G337&lt;&gt;"",'01_Input_Raw_Products'!G337,IFERROR(_xlfn.XLOOKUP('01_Input_Raw_Products'!F337,'10_Master_Gem_Types'!A:A,'10_Master_Gem_Types'!L:L),""))</f>
        <v>0</v>
      </c>
      <c r="X337" s="9" cm="1">
        <f t="array" ref="X337">IFERROR(_xlfn.XLOOKUP('01_Input_Raw_Products'!F337,'10_Master_Gem_Types'!A:A,'10_Master_Gem_Types'!J:J),"")</f>
        <v>0</v>
      </c>
      <c r="Y337" s="9" cm="1">
        <f t="array" ref="Y337">IFERROR(_xlfn.XLOOKUP('01_Input_Raw_Products'!F337,'10_Master_Gem_Types'!A:A,'10_Master_Gem_Types'!I:I),"")</f>
        <v>0</v>
      </c>
      <c r="Z337" s="9" cm="1">
        <f t="array" ref="Z337">IFERROR(_xlfn.XLOOKUP('01_Input_Raw_Products'!L337,'13_Certification_Stickers'!A:A,'13_Certification_Stickers'!C:C),"")</f>
        <v>0</v>
      </c>
      <c r="AA337" s="9" cm="1">
        <f t="array" ref="AA337">IFERROR(_xlfn.XLOOKUP('01_Input_Raw_Products'!S337,'14_Shipping_Rules'!A:A,'14_Shipping_Rules'!B:B),"")</f>
        <v>0</v>
      </c>
      <c r="AB337" s="9" cm="1">
        <f t="array" ref="AB337">IFERROR(_xlfn.XLOOKUP('01_Input_Raw_Products'!D337,'16_Astro_Flags'!A:A,'16_Astro_Flags'!B:B),"")</f>
        <v>0</v>
      </c>
      <c r="AC337" s="9">
        <f>IF(C337="","","Catalog, Search")</f>
        <v>0</v>
      </c>
      <c r="AD337" s="9">
        <f>IF(C337="","",IF(OR(F337="",J337="",M337="",S337="",Y337=""),"Manual Review","Ready"))</f>
        <v>0</v>
      </c>
      <c r="AE337" s="9">
        <f>IF(C337="","",TEXTJOIN("; ",TRUE,IF(F337="","Missing url_key",""),IF(J337="","Missing classification",""),IF(M337="","Missing j_colour",""),IF(S337="","Missing hsn_code",""),IF(Y337="","Missing tax_class_id","")))</f>
        <v>0</v>
      </c>
    </row>
    <row r="338" spans="1:31">
      <c r="A338" s="9">
        <f>IF('01_Input_Raw_Products'!B338&lt;&gt;"",20,"")</f>
        <v>0</v>
      </c>
      <c r="B338" s="9" cm="1">
        <f t="array" ref="B338">IF('01_Input_Raw_Products'!M338&lt;&gt;"",'01_Input_Raw_Products'!M338,IFERROR(_xlfn.XLOOKUP('01_Input_Raw_Products'!F338,'10_Master_Gem_Types'!A:A,'10_Master_Gem_Types'!K:K),""))</f>
        <v>0</v>
      </c>
      <c r="C338" s="9">
        <f>'01_Input_Raw_Products'!B338</f>
        <v>0</v>
      </c>
      <c r="D338" s="9">
        <f>IF(C338="","",TEXT(I338,"0.00")&amp;" Ct "&amp;IF('01_Input_Raw_Products'!F338&lt;&gt;"",'01_Input_Raw_Products'!F338,'01_Input_Raw_Products'!D338)&amp;" "&amp;'01_Input_Raw_Products'!I338)</f>
        <v>0</v>
      </c>
      <c r="E338" s="9">
        <f>IF(C338="","",D338&amp;" | GemPundit")</f>
        <v>0</v>
      </c>
      <c r="F338" s="9" cm="1">
        <f t="array" ref="F338">IF('01_Input_Raw_Products'!X338&lt;&gt;"",'01_Input_Raw_Products'!X338,IFERROR(_xlfn.XLOOKUP('01_Input_Raw_Products'!F338,'10_Master_Gem_Types'!A:A,'10_Master_Gem_Types'!O:O),LOWER(SUBSTITUTE(IF('01_Input_Raw_Products'!F338&lt;&gt;"",'01_Input_Raw_Products'!F338,'01_Input_Raw_Products'!D338)," ","-"))))</f>
        <v>0</v>
      </c>
      <c r="G338" s="9">
        <f>'01_Input_Raw_Products'!C338</f>
        <v>0</v>
      </c>
      <c r="H338" s="9" cm="1">
        <f t="array" ref="H338">IF('01_Input_Raw_Products'!H338&lt;&gt;"",'01_Input_Raw_Products'!H338,IFERROR(_xlfn.XLOOKUP('01_Input_Raw_Products'!F338,'10_Master_Gem_Types'!A:A,'10_Master_Gem_Types'!D:D),""))</f>
        <v>0</v>
      </c>
      <c r="I338" s="7">
        <f>IF('01_Input_Raw_Products'!N338&lt;&gt;"",'01_Input_Raw_Products'!N338,IF('01_Input_Raw_Products'!O338&lt;&gt;"",'01_Input_Raw_Products'!O338*0.91,""))</f>
        <v>0</v>
      </c>
      <c r="J338" s="9" cm="1">
        <f t="array" ref="J338">IFERROR(_xlfn.XLOOKUP('01_Input_Raw_Products'!F338,'10_Master_Gem_Types'!A:A,'10_Master_Gem_Types'!N:N),"")</f>
        <v>0</v>
      </c>
      <c r="K338" s="9" cm="1">
        <f t="array" ref="K338">IF('01_Input_Raw_Products'!J338&lt;&gt;"",'01_Input_Raw_Products'!J338,IFERROR(_xlfn.XLOOKUP('01_Input_Raw_Products'!F338,'10_Master_Gem_Types'!A:A,'10_Master_Gem_Types'!E:E),""))</f>
        <v>0</v>
      </c>
      <c r="L338" s="9">
        <f>'01_Input_Raw_Products'!P338</f>
        <v>0</v>
      </c>
      <c r="M338" s="9" cm="1">
        <f t="array" ref="M338">IFERROR(_xlfn.XLOOKUP('01_Input_Raw_Products'!K338,'12_Color_Mapping'!A:A,'12_Color_Mapping'!B:B),IFERROR(_xlfn.XLOOKUP('01_Input_Raw_Products'!F338,'10_Master_Gem_Types'!A:A,'10_Master_Gem_Types'!F:F),""))</f>
        <v>0</v>
      </c>
      <c r="N338" s="9">
        <f>IF(C338="","",IF('01_Input_Raw_Products'!F338&lt;&gt;"",'01_Input_Raw_Products'!F338,'01_Input_Raw_Products'!D338))</f>
        <v>0</v>
      </c>
      <c r="O338" s="9">
        <f>IF(C338="","","Catalog Automation")</f>
        <v>0</v>
      </c>
      <c r="P338" s="9">
        <f>'01_Input_Raw_Products'!U338</f>
        <v>0</v>
      </c>
      <c r="Q338" s="7">
        <f>IF('01_Input_Raw_Products'!O338&lt;&gt;"",'01_Input_Raw_Products'!O338,IF('01_Input_Raw_Products'!N338&lt;&gt;"",'01_Input_Raw_Products'!N338*1.1,""))</f>
        <v>0</v>
      </c>
      <c r="R338" s="9">
        <f>'01_Input_Raw_Products'!S338</f>
        <v>0</v>
      </c>
      <c r="S338" s="9" cm="1">
        <f t="array" ref="S338">IFERROR(_xlfn.XLOOKUP('01_Input_Raw_Products'!F338,'10_Master_Gem_Types'!A:A,'10_Master_Gem_Types'!H:H),"")</f>
        <v>0</v>
      </c>
      <c r="T338" s="8">
        <f>'01_Input_Raw_Products'!Q338</f>
        <v>0</v>
      </c>
      <c r="U338" s="8">
        <f>'01_Input_Raw_Products'!R338</f>
        <v>0</v>
      </c>
      <c r="V338" s="7">
        <f>I338</f>
        <v>0</v>
      </c>
      <c r="W338" s="9" cm="1">
        <f t="array" ref="W338">IF('01_Input_Raw_Products'!G338&lt;&gt;"",'01_Input_Raw_Products'!G338,IFERROR(_xlfn.XLOOKUP('01_Input_Raw_Products'!F338,'10_Master_Gem_Types'!A:A,'10_Master_Gem_Types'!L:L),""))</f>
        <v>0</v>
      </c>
      <c r="X338" s="9" cm="1">
        <f t="array" ref="X338">IFERROR(_xlfn.XLOOKUP('01_Input_Raw_Products'!F338,'10_Master_Gem_Types'!A:A,'10_Master_Gem_Types'!J:J),"")</f>
        <v>0</v>
      </c>
      <c r="Y338" s="9" cm="1">
        <f t="array" ref="Y338">IFERROR(_xlfn.XLOOKUP('01_Input_Raw_Products'!F338,'10_Master_Gem_Types'!A:A,'10_Master_Gem_Types'!I:I),"")</f>
        <v>0</v>
      </c>
      <c r="Z338" s="9" cm="1">
        <f t="array" ref="Z338">IFERROR(_xlfn.XLOOKUP('01_Input_Raw_Products'!L338,'13_Certification_Stickers'!A:A,'13_Certification_Stickers'!C:C),"")</f>
        <v>0</v>
      </c>
      <c r="AA338" s="9" cm="1">
        <f t="array" ref="AA338">IFERROR(_xlfn.XLOOKUP('01_Input_Raw_Products'!S338,'14_Shipping_Rules'!A:A,'14_Shipping_Rules'!B:B),"")</f>
        <v>0</v>
      </c>
      <c r="AB338" s="9" cm="1">
        <f t="array" ref="AB338">IFERROR(_xlfn.XLOOKUP('01_Input_Raw_Products'!D338,'16_Astro_Flags'!A:A,'16_Astro_Flags'!B:B),"")</f>
        <v>0</v>
      </c>
      <c r="AC338" s="9">
        <f>IF(C338="","","Catalog, Search")</f>
        <v>0</v>
      </c>
      <c r="AD338" s="9">
        <f>IF(C338="","",IF(OR(F338="",J338="",M338="",S338="",Y338=""),"Manual Review","Ready"))</f>
        <v>0</v>
      </c>
      <c r="AE338" s="9">
        <f>IF(C338="","",TEXTJOIN("; ",TRUE,IF(F338="","Missing url_key",""),IF(J338="","Missing classification",""),IF(M338="","Missing j_colour",""),IF(S338="","Missing hsn_code",""),IF(Y338="","Missing tax_class_id","")))</f>
        <v>0</v>
      </c>
    </row>
    <row r="339" spans="1:31">
      <c r="A339" s="9">
        <f>IF('01_Input_Raw_Products'!B339&lt;&gt;"",20,"")</f>
        <v>0</v>
      </c>
      <c r="B339" s="9" cm="1">
        <f t="array" ref="B339">IF('01_Input_Raw_Products'!M339&lt;&gt;"",'01_Input_Raw_Products'!M339,IFERROR(_xlfn.XLOOKUP('01_Input_Raw_Products'!F339,'10_Master_Gem_Types'!A:A,'10_Master_Gem_Types'!K:K),""))</f>
        <v>0</v>
      </c>
      <c r="C339" s="9">
        <f>'01_Input_Raw_Products'!B339</f>
        <v>0</v>
      </c>
      <c r="D339" s="9">
        <f>IF(C339="","",TEXT(I339,"0.00")&amp;" Ct "&amp;IF('01_Input_Raw_Products'!F339&lt;&gt;"",'01_Input_Raw_Products'!F339,'01_Input_Raw_Products'!D339)&amp;" "&amp;'01_Input_Raw_Products'!I339)</f>
        <v>0</v>
      </c>
      <c r="E339" s="9">
        <f>IF(C339="","",D339&amp;" | GemPundit")</f>
        <v>0</v>
      </c>
      <c r="F339" s="9" cm="1">
        <f t="array" ref="F339">IF('01_Input_Raw_Products'!X339&lt;&gt;"",'01_Input_Raw_Products'!X339,IFERROR(_xlfn.XLOOKUP('01_Input_Raw_Products'!F339,'10_Master_Gem_Types'!A:A,'10_Master_Gem_Types'!O:O),LOWER(SUBSTITUTE(IF('01_Input_Raw_Products'!F339&lt;&gt;"",'01_Input_Raw_Products'!F339,'01_Input_Raw_Products'!D339)," ","-"))))</f>
        <v>0</v>
      </c>
      <c r="G339" s="9">
        <f>'01_Input_Raw_Products'!C339</f>
        <v>0</v>
      </c>
      <c r="H339" s="9" cm="1">
        <f t="array" ref="H339">IF('01_Input_Raw_Products'!H339&lt;&gt;"",'01_Input_Raw_Products'!H339,IFERROR(_xlfn.XLOOKUP('01_Input_Raw_Products'!F339,'10_Master_Gem_Types'!A:A,'10_Master_Gem_Types'!D:D),""))</f>
        <v>0</v>
      </c>
      <c r="I339" s="7">
        <f>IF('01_Input_Raw_Products'!N339&lt;&gt;"",'01_Input_Raw_Products'!N339,IF('01_Input_Raw_Products'!O339&lt;&gt;"",'01_Input_Raw_Products'!O339*0.91,""))</f>
        <v>0</v>
      </c>
      <c r="J339" s="9" cm="1">
        <f t="array" ref="J339">IFERROR(_xlfn.XLOOKUP('01_Input_Raw_Products'!F339,'10_Master_Gem_Types'!A:A,'10_Master_Gem_Types'!N:N),"")</f>
        <v>0</v>
      </c>
      <c r="K339" s="9" cm="1">
        <f t="array" ref="K339">IF('01_Input_Raw_Products'!J339&lt;&gt;"",'01_Input_Raw_Products'!J339,IFERROR(_xlfn.XLOOKUP('01_Input_Raw_Products'!F339,'10_Master_Gem_Types'!A:A,'10_Master_Gem_Types'!E:E),""))</f>
        <v>0</v>
      </c>
      <c r="L339" s="9">
        <f>'01_Input_Raw_Products'!P339</f>
        <v>0</v>
      </c>
      <c r="M339" s="9" cm="1">
        <f t="array" ref="M339">IFERROR(_xlfn.XLOOKUP('01_Input_Raw_Products'!K339,'12_Color_Mapping'!A:A,'12_Color_Mapping'!B:B),IFERROR(_xlfn.XLOOKUP('01_Input_Raw_Products'!F339,'10_Master_Gem_Types'!A:A,'10_Master_Gem_Types'!F:F),""))</f>
        <v>0</v>
      </c>
      <c r="N339" s="9">
        <f>IF(C339="","",IF('01_Input_Raw_Products'!F339&lt;&gt;"",'01_Input_Raw_Products'!F339,'01_Input_Raw_Products'!D339))</f>
        <v>0</v>
      </c>
      <c r="O339" s="9">
        <f>IF(C339="","","Catalog Automation")</f>
        <v>0</v>
      </c>
      <c r="P339" s="9">
        <f>'01_Input_Raw_Products'!U339</f>
        <v>0</v>
      </c>
      <c r="Q339" s="7">
        <f>IF('01_Input_Raw_Products'!O339&lt;&gt;"",'01_Input_Raw_Products'!O339,IF('01_Input_Raw_Products'!N339&lt;&gt;"",'01_Input_Raw_Products'!N339*1.1,""))</f>
        <v>0</v>
      </c>
      <c r="R339" s="9">
        <f>'01_Input_Raw_Products'!S339</f>
        <v>0</v>
      </c>
      <c r="S339" s="9" cm="1">
        <f t="array" ref="S339">IFERROR(_xlfn.XLOOKUP('01_Input_Raw_Products'!F339,'10_Master_Gem_Types'!A:A,'10_Master_Gem_Types'!H:H),"")</f>
        <v>0</v>
      </c>
      <c r="T339" s="8">
        <f>'01_Input_Raw_Products'!Q339</f>
        <v>0</v>
      </c>
      <c r="U339" s="8">
        <f>'01_Input_Raw_Products'!R339</f>
        <v>0</v>
      </c>
      <c r="V339" s="7">
        <f>I339</f>
        <v>0</v>
      </c>
      <c r="W339" s="9" cm="1">
        <f t="array" ref="W339">IF('01_Input_Raw_Products'!G339&lt;&gt;"",'01_Input_Raw_Products'!G339,IFERROR(_xlfn.XLOOKUP('01_Input_Raw_Products'!F339,'10_Master_Gem_Types'!A:A,'10_Master_Gem_Types'!L:L),""))</f>
        <v>0</v>
      </c>
      <c r="X339" s="9" cm="1">
        <f t="array" ref="X339">IFERROR(_xlfn.XLOOKUP('01_Input_Raw_Products'!F339,'10_Master_Gem_Types'!A:A,'10_Master_Gem_Types'!J:J),"")</f>
        <v>0</v>
      </c>
      <c r="Y339" s="9" cm="1">
        <f t="array" ref="Y339">IFERROR(_xlfn.XLOOKUP('01_Input_Raw_Products'!F339,'10_Master_Gem_Types'!A:A,'10_Master_Gem_Types'!I:I),"")</f>
        <v>0</v>
      </c>
      <c r="Z339" s="9" cm="1">
        <f t="array" ref="Z339">IFERROR(_xlfn.XLOOKUP('01_Input_Raw_Products'!L339,'13_Certification_Stickers'!A:A,'13_Certification_Stickers'!C:C),"")</f>
        <v>0</v>
      </c>
      <c r="AA339" s="9" cm="1">
        <f t="array" ref="AA339">IFERROR(_xlfn.XLOOKUP('01_Input_Raw_Products'!S339,'14_Shipping_Rules'!A:A,'14_Shipping_Rules'!B:B),"")</f>
        <v>0</v>
      </c>
      <c r="AB339" s="9" cm="1">
        <f t="array" ref="AB339">IFERROR(_xlfn.XLOOKUP('01_Input_Raw_Products'!D339,'16_Astro_Flags'!A:A,'16_Astro_Flags'!B:B),"")</f>
        <v>0</v>
      </c>
      <c r="AC339" s="9">
        <f>IF(C339="","","Catalog, Search")</f>
        <v>0</v>
      </c>
      <c r="AD339" s="9">
        <f>IF(C339="","",IF(OR(F339="",J339="",M339="",S339="",Y339=""),"Manual Review","Ready"))</f>
        <v>0</v>
      </c>
      <c r="AE339" s="9">
        <f>IF(C339="","",TEXTJOIN("; ",TRUE,IF(F339="","Missing url_key",""),IF(J339="","Missing classification",""),IF(M339="","Missing j_colour",""),IF(S339="","Missing hsn_code",""),IF(Y339="","Missing tax_class_id","")))</f>
        <v>0</v>
      </c>
    </row>
    <row r="340" spans="1:31">
      <c r="A340" s="9">
        <f>IF('01_Input_Raw_Products'!B340&lt;&gt;"",20,"")</f>
        <v>0</v>
      </c>
      <c r="B340" s="9" cm="1">
        <f t="array" ref="B340">IF('01_Input_Raw_Products'!M340&lt;&gt;"",'01_Input_Raw_Products'!M340,IFERROR(_xlfn.XLOOKUP('01_Input_Raw_Products'!F340,'10_Master_Gem_Types'!A:A,'10_Master_Gem_Types'!K:K),""))</f>
        <v>0</v>
      </c>
      <c r="C340" s="9">
        <f>'01_Input_Raw_Products'!B340</f>
        <v>0</v>
      </c>
      <c r="D340" s="9">
        <f>IF(C340="","",TEXT(I340,"0.00")&amp;" Ct "&amp;IF('01_Input_Raw_Products'!F340&lt;&gt;"",'01_Input_Raw_Products'!F340,'01_Input_Raw_Products'!D340)&amp;" "&amp;'01_Input_Raw_Products'!I340)</f>
        <v>0</v>
      </c>
      <c r="E340" s="9">
        <f>IF(C340="","",D340&amp;" | GemPundit")</f>
        <v>0</v>
      </c>
      <c r="F340" s="9" cm="1">
        <f t="array" ref="F340">IF('01_Input_Raw_Products'!X340&lt;&gt;"",'01_Input_Raw_Products'!X340,IFERROR(_xlfn.XLOOKUP('01_Input_Raw_Products'!F340,'10_Master_Gem_Types'!A:A,'10_Master_Gem_Types'!O:O),LOWER(SUBSTITUTE(IF('01_Input_Raw_Products'!F340&lt;&gt;"",'01_Input_Raw_Products'!F340,'01_Input_Raw_Products'!D340)," ","-"))))</f>
        <v>0</v>
      </c>
      <c r="G340" s="9">
        <f>'01_Input_Raw_Products'!C340</f>
        <v>0</v>
      </c>
      <c r="H340" s="9" cm="1">
        <f t="array" ref="H340">IF('01_Input_Raw_Products'!H340&lt;&gt;"",'01_Input_Raw_Products'!H340,IFERROR(_xlfn.XLOOKUP('01_Input_Raw_Products'!F340,'10_Master_Gem_Types'!A:A,'10_Master_Gem_Types'!D:D),""))</f>
        <v>0</v>
      </c>
      <c r="I340" s="7">
        <f>IF('01_Input_Raw_Products'!N340&lt;&gt;"",'01_Input_Raw_Products'!N340,IF('01_Input_Raw_Products'!O340&lt;&gt;"",'01_Input_Raw_Products'!O340*0.91,""))</f>
        <v>0</v>
      </c>
      <c r="J340" s="9" cm="1">
        <f t="array" ref="J340">IFERROR(_xlfn.XLOOKUP('01_Input_Raw_Products'!F340,'10_Master_Gem_Types'!A:A,'10_Master_Gem_Types'!N:N),"")</f>
        <v>0</v>
      </c>
      <c r="K340" s="9" cm="1">
        <f t="array" ref="K340">IF('01_Input_Raw_Products'!J340&lt;&gt;"",'01_Input_Raw_Products'!J340,IFERROR(_xlfn.XLOOKUP('01_Input_Raw_Products'!F340,'10_Master_Gem_Types'!A:A,'10_Master_Gem_Types'!E:E),""))</f>
        <v>0</v>
      </c>
      <c r="L340" s="9">
        <f>'01_Input_Raw_Products'!P340</f>
        <v>0</v>
      </c>
      <c r="M340" s="9" cm="1">
        <f t="array" ref="M340">IFERROR(_xlfn.XLOOKUP('01_Input_Raw_Products'!K340,'12_Color_Mapping'!A:A,'12_Color_Mapping'!B:B),IFERROR(_xlfn.XLOOKUP('01_Input_Raw_Products'!F340,'10_Master_Gem_Types'!A:A,'10_Master_Gem_Types'!F:F),""))</f>
        <v>0</v>
      </c>
      <c r="N340" s="9">
        <f>IF(C340="","",IF('01_Input_Raw_Products'!F340&lt;&gt;"",'01_Input_Raw_Products'!F340,'01_Input_Raw_Products'!D340))</f>
        <v>0</v>
      </c>
      <c r="O340" s="9">
        <f>IF(C340="","","Catalog Automation")</f>
        <v>0</v>
      </c>
      <c r="P340" s="9">
        <f>'01_Input_Raw_Products'!U340</f>
        <v>0</v>
      </c>
      <c r="Q340" s="7">
        <f>IF('01_Input_Raw_Products'!O340&lt;&gt;"",'01_Input_Raw_Products'!O340,IF('01_Input_Raw_Products'!N340&lt;&gt;"",'01_Input_Raw_Products'!N340*1.1,""))</f>
        <v>0</v>
      </c>
      <c r="R340" s="9">
        <f>'01_Input_Raw_Products'!S340</f>
        <v>0</v>
      </c>
      <c r="S340" s="9" cm="1">
        <f t="array" ref="S340">IFERROR(_xlfn.XLOOKUP('01_Input_Raw_Products'!F340,'10_Master_Gem_Types'!A:A,'10_Master_Gem_Types'!H:H),"")</f>
        <v>0</v>
      </c>
      <c r="T340" s="8">
        <f>'01_Input_Raw_Products'!Q340</f>
        <v>0</v>
      </c>
      <c r="U340" s="8">
        <f>'01_Input_Raw_Products'!R340</f>
        <v>0</v>
      </c>
      <c r="V340" s="7">
        <f>I340</f>
        <v>0</v>
      </c>
      <c r="W340" s="9" cm="1">
        <f t="array" ref="W340">IF('01_Input_Raw_Products'!G340&lt;&gt;"",'01_Input_Raw_Products'!G340,IFERROR(_xlfn.XLOOKUP('01_Input_Raw_Products'!F340,'10_Master_Gem_Types'!A:A,'10_Master_Gem_Types'!L:L),""))</f>
        <v>0</v>
      </c>
      <c r="X340" s="9" cm="1">
        <f t="array" ref="X340">IFERROR(_xlfn.XLOOKUP('01_Input_Raw_Products'!F340,'10_Master_Gem_Types'!A:A,'10_Master_Gem_Types'!J:J),"")</f>
        <v>0</v>
      </c>
      <c r="Y340" s="9" cm="1">
        <f t="array" ref="Y340">IFERROR(_xlfn.XLOOKUP('01_Input_Raw_Products'!F340,'10_Master_Gem_Types'!A:A,'10_Master_Gem_Types'!I:I),"")</f>
        <v>0</v>
      </c>
      <c r="Z340" s="9" cm="1">
        <f t="array" ref="Z340">IFERROR(_xlfn.XLOOKUP('01_Input_Raw_Products'!L340,'13_Certification_Stickers'!A:A,'13_Certification_Stickers'!C:C),"")</f>
        <v>0</v>
      </c>
      <c r="AA340" s="9" cm="1">
        <f t="array" ref="AA340">IFERROR(_xlfn.XLOOKUP('01_Input_Raw_Products'!S340,'14_Shipping_Rules'!A:A,'14_Shipping_Rules'!B:B),"")</f>
        <v>0</v>
      </c>
      <c r="AB340" s="9" cm="1">
        <f t="array" ref="AB340">IFERROR(_xlfn.XLOOKUP('01_Input_Raw_Products'!D340,'16_Astro_Flags'!A:A,'16_Astro_Flags'!B:B),"")</f>
        <v>0</v>
      </c>
      <c r="AC340" s="9">
        <f>IF(C340="","","Catalog, Search")</f>
        <v>0</v>
      </c>
      <c r="AD340" s="9">
        <f>IF(C340="","",IF(OR(F340="",J340="",M340="",S340="",Y340=""),"Manual Review","Ready"))</f>
        <v>0</v>
      </c>
      <c r="AE340" s="9">
        <f>IF(C340="","",TEXTJOIN("; ",TRUE,IF(F340="","Missing url_key",""),IF(J340="","Missing classification",""),IF(M340="","Missing j_colour",""),IF(S340="","Missing hsn_code",""),IF(Y340="","Missing tax_class_id","")))</f>
        <v>0</v>
      </c>
    </row>
    <row r="341" spans="1:31">
      <c r="A341" s="9">
        <f>IF('01_Input_Raw_Products'!B341&lt;&gt;"",20,"")</f>
        <v>0</v>
      </c>
      <c r="B341" s="9" cm="1">
        <f t="array" ref="B341">IF('01_Input_Raw_Products'!M341&lt;&gt;"",'01_Input_Raw_Products'!M341,IFERROR(_xlfn.XLOOKUP('01_Input_Raw_Products'!F341,'10_Master_Gem_Types'!A:A,'10_Master_Gem_Types'!K:K),""))</f>
        <v>0</v>
      </c>
      <c r="C341" s="9">
        <f>'01_Input_Raw_Products'!B341</f>
        <v>0</v>
      </c>
      <c r="D341" s="9">
        <f>IF(C341="","",TEXT(I341,"0.00")&amp;" Ct "&amp;IF('01_Input_Raw_Products'!F341&lt;&gt;"",'01_Input_Raw_Products'!F341,'01_Input_Raw_Products'!D341)&amp;" "&amp;'01_Input_Raw_Products'!I341)</f>
        <v>0</v>
      </c>
      <c r="E341" s="9">
        <f>IF(C341="","",D341&amp;" | GemPundit")</f>
        <v>0</v>
      </c>
      <c r="F341" s="9" cm="1">
        <f t="array" ref="F341">IF('01_Input_Raw_Products'!X341&lt;&gt;"",'01_Input_Raw_Products'!X341,IFERROR(_xlfn.XLOOKUP('01_Input_Raw_Products'!F341,'10_Master_Gem_Types'!A:A,'10_Master_Gem_Types'!O:O),LOWER(SUBSTITUTE(IF('01_Input_Raw_Products'!F341&lt;&gt;"",'01_Input_Raw_Products'!F341,'01_Input_Raw_Products'!D341)," ","-"))))</f>
        <v>0</v>
      </c>
      <c r="G341" s="9">
        <f>'01_Input_Raw_Products'!C341</f>
        <v>0</v>
      </c>
      <c r="H341" s="9" cm="1">
        <f t="array" ref="H341">IF('01_Input_Raw_Products'!H341&lt;&gt;"",'01_Input_Raw_Products'!H341,IFERROR(_xlfn.XLOOKUP('01_Input_Raw_Products'!F341,'10_Master_Gem_Types'!A:A,'10_Master_Gem_Types'!D:D),""))</f>
        <v>0</v>
      </c>
      <c r="I341" s="7">
        <f>IF('01_Input_Raw_Products'!N341&lt;&gt;"",'01_Input_Raw_Products'!N341,IF('01_Input_Raw_Products'!O341&lt;&gt;"",'01_Input_Raw_Products'!O341*0.91,""))</f>
        <v>0</v>
      </c>
      <c r="J341" s="9" cm="1">
        <f t="array" ref="J341">IFERROR(_xlfn.XLOOKUP('01_Input_Raw_Products'!F341,'10_Master_Gem_Types'!A:A,'10_Master_Gem_Types'!N:N),"")</f>
        <v>0</v>
      </c>
      <c r="K341" s="9" cm="1">
        <f t="array" ref="K341">IF('01_Input_Raw_Products'!J341&lt;&gt;"",'01_Input_Raw_Products'!J341,IFERROR(_xlfn.XLOOKUP('01_Input_Raw_Products'!F341,'10_Master_Gem_Types'!A:A,'10_Master_Gem_Types'!E:E),""))</f>
        <v>0</v>
      </c>
      <c r="L341" s="9">
        <f>'01_Input_Raw_Products'!P341</f>
        <v>0</v>
      </c>
      <c r="M341" s="9" cm="1">
        <f t="array" ref="M341">IFERROR(_xlfn.XLOOKUP('01_Input_Raw_Products'!K341,'12_Color_Mapping'!A:A,'12_Color_Mapping'!B:B),IFERROR(_xlfn.XLOOKUP('01_Input_Raw_Products'!F341,'10_Master_Gem_Types'!A:A,'10_Master_Gem_Types'!F:F),""))</f>
        <v>0</v>
      </c>
      <c r="N341" s="9">
        <f>IF(C341="","",IF('01_Input_Raw_Products'!F341&lt;&gt;"",'01_Input_Raw_Products'!F341,'01_Input_Raw_Products'!D341))</f>
        <v>0</v>
      </c>
      <c r="O341" s="9">
        <f>IF(C341="","","Catalog Automation")</f>
        <v>0</v>
      </c>
      <c r="P341" s="9">
        <f>'01_Input_Raw_Products'!U341</f>
        <v>0</v>
      </c>
      <c r="Q341" s="7">
        <f>IF('01_Input_Raw_Products'!O341&lt;&gt;"",'01_Input_Raw_Products'!O341,IF('01_Input_Raw_Products'!N341&lt;&gt;"",'01_Input_Raw_Products'!N341*1.1,""))</f>
        <v>0</v>
      </c>
      <c r="R341" s="9">
        <f>'01_Input_Raw_Products'!S341</f>
        <v>0</v>
      </c>
      <c r="S341" s="9" cm="1">
        <f t="array" ref="S341">IFERROR(_xlfn.XLOOKUP('01_Input_Raw_Products'!F341,'10_Master_Gem_Types'!A:A,'10_Master_Gem_Types'!H:H),"")</f>
        <v>0</v>
      </c>
      <c r="T341" s="8">
        <f>'01_Input_Raw_Products'!Q341</f>
        <v>0</v>
      </c>
      <c r="U341" s="8">
        <f>'01_Input_Raw_Products'!R341</f>
        <v>0</v>
      </c>
      <c r="V341" s="7">
        <f>I341</f>
        <v>0</v>
      </c>
      <c r="W341" s="9" cm="1">
        <f t="array" ref="W341">IF('01_Input_Raw_Products'!G341&lt;&gt;"",'01_Input_Raw_Products'!G341,IFERROR(_xlfn.XLOOKUP('01_Input_Raw_Products'!F341,'10_Master_Gem_Types'!A:A,'10_Master_Gem_Types'!L:L),""))</f>
        <v>0</v>
      </c>
      <c r="X341" s="9" cm="1">
        <f t="array" ref="X341">IFERROR(_xlfn.XLOOKUP('01_Input_Raw_Products'!F341,'10_Master_Gem_Types'!A:A,'10_Master_Gem_Types'!J:J),"")</f>
        <v>0</v>
      </c>
      <c r="Y341" s="9" cm="1">
        <f t="array" ref="Y341">IFERROR(_xlfn.XLOOKUP('01_Input_Raw_Products'!F341,'10_Master_Gem_Types'!A:A,'10_Master_Gem_Types'!I:I),"")</f>
        <v>0</v>
      </c>
      <c r="Z341" s="9" cm="1">
        <f t="array" ref="Z341">IFERROR(_xlfn.XLOOKUP('01_Input_Raw_Products'!L341,'13_Certification_Stickers'!A:A,'13_Certification_Stickers'!C:C),"")</f>
        <v>0</v>
      </c>
      <c r="AA341" s="9" cm="1">
        <f t="array" ref="AA341">IFERROR(_xlfn.XLOOKUP('01_Input_Raw_Products'!S341,'14_Shipping_Rules'!A:A,'14_Shipping_Rules'!B:B),"")</f>
        <v>0</v>
      </c>
      <c r="AB341" s="9" cm="1">
        <f t="array" ref="AB341">IFERROR(_xlfn.XLOOKUP('01_Input_Raw_Products'!D341,'16_Astro_Flags'!A:A,'16_Astro_Flags'!B:B),"")</f>
        <v>0</v>
      </c>
      <c r="AC341" s="9">
        <f>IF(C341="","","Catalog, Search")</f>
        <v>0</v>
      </c>
      <c r="AD341" s="9">
        <f>IF(C341="","",IF(OR(F341="",J341="",M341="",S341="",Y341=""),"Manual Review","Ready"))</f>
        <v>0</v>
      </c>
      <c r="AE341" s="9">
        <f>IF(C341="","",TEXTJOIN("; ",TRUE,IF(F341="","Missing url_key",""),IF(J341="","Missing classification",""),IF(M341="","Missing j_colour",""),IF(S341="","Missing hsn_code",""),IF(Y341="","Missing tax_class_id","")))</f>
        <v>0</v>
      </c>
    </row>
    <row r="342" spans="1:31">
      <c r="A342" s="9">
        <f>IF('01_Input_Raw_Products'!B342&lt;&gt;"",20,"")</f>
        <v>0</v>
      </c>
      <c r="B342" s="9" cm="1">
        <f t="array" ref="B342">IF('01_Input_Raw_Products'!M342&lt;&gt;"",'01_Input_Raw_Products'!M342,IFERROR(_xlfn.XLOOKUP('01_Input_Raw_Products'!F342,'10_Master_Gem_Types'!A:A,'10_Master_Gem_Types'!K:K),""))</f>
        <v>0</v>
      </c>
      <c r="C342" s="9">
        <f>'01_Input_Raw_Products'!B342</f>
        <v>0</v>
      </c>
      <c r="D342" s="9">
        <f>IF(C342="","",TEXT(I342,"0.00")&amp;" Ct "&amp;IF('01_Input_Raw_Products'!F342&lt;&gt;"",'01_Input_Raw_Products'!F342,'01_Input_Raw_Products'!D342)&amp;" "&amp;'01_Input_Raw_Products'!I342)</f>
        <v>0</v>
      </c>
      <c r="E342" s="9">
        <f>IF(C342="","",D342&amp;" | GemPundit")</f>
        <v>0</v>
      </c>
      <c r="F342" s="9" cm="1">
        <f t="array" ref="F342">IF('01_Input_Raw_Products'!X342&lt;&gt;"",'01_Input_Raw_Products'!X342,IFERROR(_xlfn.XLOOKUP('01_Input_Raw_Products'!F342,'10_Master_Gem_Types'!A:A,'10_Master_Gem_Types'!O:O),LOWER(SUBSTITUTE(IF('01_Input_Raw_Products'!F342&lt;&gt;"",'01_Input_Raw_Products'!F342,'01_Input_Raw_Products'!D342)," ","-"))))</f>
        <v>0</v>
      </c>
      <c r="G342" s="9">
        <f>'01_Input_Raw_Products'!C342</f>
        <v>0</v>
      </c>
      <c r="H342" s="9" cm="1">
        <f t="array" ref="H342">IF('01_Input_Raw_Products'!H342&lt;&gt;"",'01_Input_Raw_Products'!H342,IFERROR(_xlfn.XLOOKUP('01_Input_Raw_Products'!F342,'10_Master_Gem_Types'!A:A,'10_Master_Gem_Types'!D:D),""))</f>
        <v>0</v>
      </c>
      <c r="I342" s="7">
        <f>IF('01_Input_Raw_Products'!N342&lt;&gt;"",'01_Input_Raw_Products'!N342,IF('01_Input_Raw_Products'!O342&lt;&gt;"",'01_Input_Raw_Products'!O342*0.91,""))</f>
        <v>0</v>
      </c>
      <c r="J342" s="9" cm="1">
        <f t="array" ref="J342">IFERROR(_xlfn.XLOOKUP('01_Input_Raw_Products'!F342,'10_Master_Gem_Types'!A:A,'10_Master_Gem_Types'!N:N),"")</f>
        <v>0</v>
      </c>
      <c r="K342" s="9" cm="1">
        <f t="array" ref="K342">IF('01_Input_Raw_Products'!J342&lt;&gt;"",'01_Input_Raw_Products'!J342,IFERROR(_xlfn.XLOOKUP('01_Input_Raw_Products'!F342,'10_Master_Gem_Types'!A:A,'10_Master_Gem_Types'!E:E),""))</f>
        <v>0</v>
      </c>
      <c r="L342" s="9">
        <f>'01_Input_Raw_Products'!P342</f>
        <v>0</v>
      </c>
      <c r="M342" s="9" cm="1">
        <f t="array" ref="M342">IFERROR(_xlfn.XLOOKUP('01_Input_Raw_Products'!K342,'12_Color_Mapping'!A:A,'12_Color_Mapping'!B:B),IFERROR(_xlfn.XLOOKUP('01_Input_Raw_Products'!F342,'10_Master_Gem_Types'!A:A,'10_Master_Gem_Types'!F:F),""))</f>
        <v>0</v>
      </c>
      <c r="N342" s="9">
        <f>IF(C342="","",IF('01_Input_Raw_Products'!F342&lt;&gt;"",'01_Input_Raw_Products'!F342,'01_Input_Raw_Products'!D342))</f>
        <v>0</v>
      </c>
      <c r="O342" s="9">
        <f>IF(C342="","","Catalog Automation")</f>
        <v>0</v>
      </c>
      <c r="P342" s="9">
        <f>'01_Input_Raw_Products'!U342</f>
        <v>0</v>
      </c>
      <c r="Q342" s="7">
        <f>IF('01_Input_Raw_Products'!O342&lt;&gt;"",'01_Input_Raw_Products'!O342,IF('01_Input_Raw_Products'!N342&lt;&gt;"",'01_Input_Raw_Products'!N342*1.1,""))</f>
        <v>0</v>
      </c>
      <c r="R342" s="9">
        <f>'01_Input_Raw_Products'!S342</f>
        <v>0</v>
      </c>
      <c r="S342" s="9" cm="1">
        <f t="array" ref="S342">IFERROR(_xlfn.XLOOKUP('01_Input_Raw_Products'!F342,'10_Master_Gem_Types'!A:A,'10_Master_Gem_Types'!H:H),"")</f>
        <v>0</v>
      </c>
      <c r="T342" s="8">
        <f>'01_Input_Raw_Products'!Q342</f>
        <v>0</v>
      </c>
      <c r="U342" s="8">
        <f>'01_Input_Raw_Products'!R342</f>
        <v>0</v>
      </c>
      <c r="V342" s="7">
        <f>I342</f>
        <v>0</v>
      </c>
      <c r="W342" s="9" cm="1">
        <f t="array" ref="W342">IF('01_Input_Raw_Products'!G342&lt;&gt;"",'01_Input_Raw_Products'!G342,IFERROR(_xlfn.XLOOKUP('01_Input_Raw_Products'!F342,'10_Master_Gem_Types'!A:A,'10_Master_Gem_Types'!L:L),""))</f>
        <v>0</v>
      </c>
      <c r="X342" s="9" cm="1">
        <f t="array" ref="X342">IFERROR(_xlfn.XLOOKUP('01_Input_Raw_Products'!F342,'10_Master_Gem_Types'!A:A,'10_Master_Gem_Types'!J:J),"")</f>
        <v>0</v>
      </c>
      <c r="Y342" s="9" cm="1">
        <f t="array" ref="Y342">IFERROR(_xlfn.XLOOKUP('01_Input_Raw_Products'!F342,'10_Master_Gem_Types'!A:A,'10_Master_Gem_Types'!I:I),"")</f>
        <v>0</v>
      </c>
      <c r="Z342" s="9" cm="1">
        <f t="array" ref="Z342">IFERROR(_xlfn.XLOOKUP('01_Input_Raw_Products'!L342,'13_Certification_Stickers'!A:A,'13_Certification_Stickers'!C:C),"")</f>
        <v>0</v>
      </c>
      <c r="AA342" s="9" cm="1">
        <f t="array" ref="AA342">IFERROR(_xlfn.XLOOKUP('01_Input_Raw_Products'!S342,'14_Shipping_Rules'!A:A,'14_Shipping_Rules'!B:B),"")</f>
        <v>0</v>
      </c>
      <c r="AB342" s="9" cm="1">
        <f t="array" ref="AB342">IFERROR(_xlfn.XLOOKUP('01_Input_Raw_Products'!D342,'16_Astro_Flags'!A:A,'16_Astro_Flags'!B:B),"")</f>
        <v>0</v>
      </c>
      <c r="AC342" s="9">
        <f>IF(C342="","","Catalog, Search")</f>
        <v>0</v>
      </c>
      <c r="AD342" s="9">
        <f>IF(C342="","",IF(OR(F342="",J342="",M342="",S342="",Y342=""),"Manual Review","Ready"))</f>
        <v>0</v>
      </c>
      <c r="AE342" s="9">
        <f>IF(C342="","",TEXTJOIN("; ",TRUE,IF(F342="","Missing url_key",""),IF(J342="","Missing classification",""),IF(M342="","Missing j_colour",""),IF(S342="","Missing hsn_code",""),IF(Y342="","Missing tax_class_id","")))</f>
        <v>0</v>
      </c>
    </row>
    <row r="343" spans="1:31">
      <c r="A343" s="9">
        <f>IF('01_Input_Raw_Products'!B343&lt;&gt;"",20,"")</f>
        <v>0</v>
      </c>
      <c r="B343" s="9" cm="1">
        <f t="array" ref="B343">IF('01_Input_Raw_Products'!M343&lt;&gt;"",'01_Input_Raw_Products'!M343,IFERROR(_xlfn.XLOOKUP('01_Input_Raw_Products'!F343,'10_Master_Gem_Types'!A:A,'10_Master_Gem_Types'!K:K),""))</f>
        <v>0</v>
      </c>
      <c r="C343" s="9">
        <f>'01_Input_Raw_Products'!B343</f>
        <v>0</v>
      </c>
      <c r="D343" s="9">
        <f>IF(C343="","",TEXT(I343,"0.00")&amp;" Ct "&amp;IF('01_Input_Raw_Products'!F343&lt;&gt;"",'01_Input_Raw_Products'!F343,'01_Input_Raw_Products'!D343)&amp;" "&amp;'01_Input_Raw_Products'!I343)</f>
        <v>0</v>
      </c>
      <c r="E343" s="9">
        <f>IF(C343="","",D343&amp;" | GemPundit")</f>
        <v>0</v>
      </c>
      <c r="F343" s="9" cm="1">
        <f t="array" ref="F343">IF('01_Input_Raw_Products'!X343&lt;&gt;"",'01_Input_Raw_Products'!X343,IFERROR(_xlfn.XLOOKUP('01_Input_Raw_Products'!F343,'10_Master_Gem_Types'!A:A,'10_Master_Gem_Types'!O:O),LOWER(SUBSTITUTE(IF('01_Input_Raw_Products'!F343&lt;&gt;"",'01_Input_Raw_Products'!F343,'01_Input_Raw_Products'!D343)," ","-"))))</f>
        <v>0</v>
      </c>
      <c r="G343" s="9">
        <f>'01_Input_Raw_Products'!C343</f>
        <v>0</v>
      </c>
      <c r="H343" s="9" cm="1">
        <f t="array" ref="H343">IF('01_Input_Raw_Products'!H343&lt;&gt;"",'01_Input_Raw_Products'!H343,IFERROR(_xlfn.XLOOKUP('01_Input_Raw_Products'!F343,'10_Master_Gem_Types'!A:A,'10_Master_Gem_Types'!D:D),""))</f>
        <v>0</v>
      </c>
      <c r="I343" s="7">
        <f>IF('01_Input_Raw_Products'!N343&lt;&gt;"",'01_Input_Raw_Products'!N343,IF('01_Input_Raw_Products'!O343&lt;&gt;"",'01_Input_Raw_Products'!O343*0.91,""))</f>
        <v>0</v>
      </c>
      <c r="J343" s="9" cm="1">
        <f t="array" ref="J343">IFERROR(_xlfn.XLOOKUP('01_Input_Raw_Products'!F343,'10_Master_Gem_Types'!A:A,'10_Master_Gem_Types'!N:N),"")</f>
        <v>0</v>
      </c>
      <c r="K343" s="9" cm="1">
        <f t="array" ref="K343">IF('01_Input_Raw_Products'!J343&lt;&gt;"",'01_Input_Raw_Products'!J343,IFERROR(_xlfn.XLOOKUP('01_Input_Raw_Products'!F343,'10_Master_Gem_Types'!A:A,'10_Master_Gem_Types'!E:E),""))</f>
        <v>0</v>
      </c>
      <c r="L343" s="9">
        <f>'01_Input_Raw_Products'!P343</f>
        <v>0</v>
      </c>
      <c r="M343" s="9" cm="1">
        <f t="array" ref="M343">IFERROR(_xlfn.XLOOKUP('01_Input_Raw_Products'!K343,'12_Color_Mapping'!A:A,'12_Color_Mapping'!B:B),IFERROR(_xlfn.XLOOKUP('01_Input_Raw_Products'!F343,'10_Master_Gem_Types'!A:A,'10_Master_Gem_Types'!F:F),""))</f>
        <v>0</v>
      </c>
      <c r="N343" s="9">
        <f>IF(C343="","",IF('01_Input_Raw_Products'!F343&lt;&gt;"",'01_Input_Raw_Products'!F343,'01_Input_Raw_Products'!D343))</f>
        <v>0</v>
      </c>
      <c r="O343" s="9">
        <f>IF(C343="","","Catalog Automation")</f>
        <v>0</v>
      </c>
      <c r="P343" s="9">
        <f>'01_Input_Raw_Products'!U343</f>
        <v>0</v>
      </c>
      <c r="Q343" s="7">
        <f>IF('01_Input_Raw_Products'!O343&lt;&gt;"",'01_Input_Raw_Products'!O343,IF('01_Input_Raw_Products'!N343&lt;&gt;"",'01_Input_Raw_Products'!N343*1.1,""))</f>
        <v>0</v>
      </c>
      <c r="R343" s="9">
        <f>'01_Input_Raw_Products'!S343</f>
        <v>0</v>
      </c>
      <c r="S343" s="9" cm="1">
        <f t="array" ref="S343">IFERROR(_xlfn.XLOOKUP('01_Input_Raw_Products'!F343,'10_Master_Gem_Types'!A:A,'10_Master_Gem_Types'!H:H),"")</f>
        <v>0</v>
      </c>
      <c r="T343" s="8">
        <f>'01_Input_Raw_Products'!Q343</f>
        <v>0</v>
      </c>
      <c r="U343" s="8">
        <f>'01_Input_Raw_Products'!R343</f>
        <v>0</v>
      </c>
      <c r="V343" s="7">
        <f>I343</f>
        <v>0</v>
      </c>
      <c r="W343" s="9" cm="1">
        <f t="array" ref="W343">IF('01_Input_Raw_Products'!G343&lt;&gt;"",'01_Input_Raw_Products'!G343,IFERROR(_xlfn.XLOOKUP('01_Input_Raw_Products'!F343,'10_Master_Gem_Types'!A:A,'10_Master_Gem_Types'!L:L),""))</f>
        <v>0</v>
      </c>
      <c r="X343" s="9" cm="1">
        <f t="array" ref="X343">IFERROR(_xlfn.XLOOKUP('01_Input_Raw_Products'!F343,'10_Master_Gem_Types'!A:A,'10_Master_Gem_Types'!J:J),"")</f>
        <v>0</v>
      </c>
      <c r="Y343" s="9" cm="1">
        <f t="array" ref="Y343">IFERROR(_xlfn.XLOOKUP('01_Input_Raw_Products'!F343,'10_Master_Gem_Types'!A:A,'10_Master_Gem_Types'!I:I),"")</f>
        <v>0</v>
      </c>
      <c r="Z343" s="9" cm="1">
        <f t="array" ref="Z343">IFERROR(_xlfn.XLOOKUP('01_Input_Raw_Products'!L343,'13_Certification_Stickers'!A:A,'13_Certification_Stickers'!C:C),"")</f>
        <v>0</v>
      </c>
      <c r="AA343" s="9" cm="1">
        <f t="array" ref="AA343">IFERROR(_xlfn.XLOOKUP('01_Input_Raw_Products'!S343,'14_Shipping_Rules'!A:A,'14_Shipping_Rules'!B:B),"")</f>
        <v>0</v>
      </c>
      <c r="AB343" s="9" cm="1">
        <f t="array" ref="AB343">IFERROR(_xlfn.XLOOKUP('01_Input_Raw_Products'!D343,'16_Astro_Flags'!A:A,'16_Astro_Flags'!B:B),"")</f>
        <v>0</v>
      </c>
      <c r="AC343" s="9">
        <f>IF(C343="","","Catalog, Search")</f>
        <v>0</v>
      </c>
      <c r="AD343" s="9">
        <f>IF(C343="","",IF(OR(F343="",J343="",M343="",S343="",Y343=""),"Manual Review","Ready"))</f>
        <v>0</v>
      </c>
      <c r="AE343" s="9">
        <f>IF(C343="","",TEXTJOIN("; ",TRUE,IF(F343="","Missing url_key",""),IF(J343="","Missing classification",""),IF(M343="","Missing j_colour",""),IF(S343="","Missing hsn_code",""),IF(Y343="","Missing tax_class_id","")))</f>
        <v>0</v>
      </c>
    </row>
    <row r="344" spans="1:31">
      <c r="A344" s="9">
        <f>IF('01_Input_Raw_Products'!B344&lt;&gt;"",20,"")</f>
        <v>0</v>
      </c>
      <c r="B344" s="9" cm="1">
        <f t="array" ref="B344">IF('01_Input_Raw_Products'!M344&lt;&gt;"",'01_Input_Raw_Products'!M344,IFERROR(_xlfn.XLOOKUP('01_Input_Raw_Products'!F344,'10_Master_Gem_Types'!A:A,'10_Master_Gem_Types'!K:K),""))</f>
        <v>0</v>
      </c>
      <c r="C344" s="9">
        <f>'01_Input_Raw_Products'!B344</f>
        <v>0</v>
      </c>
      <c r="D344" s="9">
        <f>IF(C344="","",TEXT(I344,"0.00")&amp;" Ct "&amp;IF('01_Input_Raw_Products'!F344&lt;&gt;"",'01_Input_Raw_Products'!F344,'01_Input_Raw_Products'!D344)&amp;" "&amp;'01_Input_Raw_Products'!I344)</f>
        <v>0</v>
      </c>
      <c r="E344" s="9">
        <f>IF(C344="","",D344&amp;" | GemPundit")</f>
        <v>0</v>
      </c>
      <c r="F344" s="9" cm="1">
        <f t="array" ref="F344">IF('01_Input_Raw_Products'!X344&lt;&gt;"",'01_Input_Raw_Products'!X344,IFERROR(_xlfn.XLOOKUP('01_Input_Raw_Products'!F344,'10_Master_Gem_Types'!A:A,'10_Master_Gem_Types'!O:O),LOWER(SUBSTITUTE(IF('01_Input_Raw_Products'!F344&lt;&gt;"",'01_Input_Raw_Products'!F344,'01_Input_Raw_Products'!D344)," ","-"))))</f>
        <v>0</v>
      </c>
      <c r="G344" s="9">
        <f>'01_Input_Raw_Products'!C344</f>
        <v>0</v>
      </c>
      <c r="H344" s="9" cm="1">
        <f t="array" ref="H344">IF('01_Input_Raw_Products'!H344&lt;&gt;"",'01_Input_Raw_Products'!H344,IFERROR(_xlfn.XLOOKUP('01_Input_Raw_Products'!F344,'10_Master_Gem_Types'!A:A,'10_Master_Gem_Types'!D:D),""))</f>
        <v>0</v>
      </c>
      <c r="I344" s="7">
        <f>IF('01_Input_Raw_Products'!N344&lt;&gt;"",'01_Input_Raw_Products'!N344,IF('01_Input_Raw_Products'!O344&lt;&gt;"",'01_Input_Raw_Products'!O344*0.91,""))</f>
        <v>0</v>
      </c>
      <c r="J344" s="9" cm="1">
        <f t="array" ref="J344">IFERROR(_xlfn.XLOOKUP('01_Input_Raw_Products'!F344,'10_Master_Gem_Types'!A:A,'10_Master_Gem_Types'!N:N),"")</f>
        <v>0</v>
      </c>
      <c r="K344" s="9" cm="1">
        <f t="array" ref="K344">IF('01_Input_Raw_Products'!J344&lt;&gt;"",'01_Input_Raw_Products'!J344,IFERROR(_xlfn.XLOOKUP('01_Input_Raw_Products'!F344,'10_Master_Gem_Types'!A:A,'10_Master_Gem_Types'!E:E),""))</f>
        <v>0</v>
      </c>
      <c r="L344" s="9">
        <f>'01_Input_Raw_Products'!P344</f>
        <v>0</v>
      </c>
      <c r="M344" s="9" cm="1">
        <f t="array" ref="M344">IFERROR(_xlfn.XLOOKUP('01_Input_Raw_Products'!K344,'12_Color_Mapping'!A:A,'12_Color_Mapping'!B:B),IFERROR(_xlfn.XLOOKUP('01_Input_Raw_Products'!F344,'10_Master_Gem_Types'!A:A,'10_Master_Gem_Types'!F:F),""))</f>
        <v>0</v>
      </c>
      <c r="N344" s="9">
        <f>IF(C344="","",IF('01_Input_Raw_Products'!F344&lt;&gt;"",'01_Input_Raw_Products'!F344,'01_Input_Raw_Products'!D344))</f>
        <v>0</v>
      </c>
      <c r="O344" s="9">
        <f>IF(C344="","","Catalog Automation")</f>
        <v>0</v>
      </c>
      <c r="P344" s="9">
        <f>'01_Input_Raw_Products'!U344</f>
        <v>0</v>
      </c>
      <c r="Q344" s="7">
        <f>IF('01_Input_Raw_Products'!O344&lt;&gt;"",'01_Input_Raw_Products'!O344,IF('01_Input_Raw_Products'!N344&lt;&gt;"",'01_Input_Raw_Products'!N344*1.1,""))</f>
        <v>0</v>
      </c>
      <c r="R344" s="9">
        <f>'01_Input_Raw_Products'!S344</f>
        <v>0</v>
      </c>
      <c r="S344" s="9" cm="1">
        <f t="array" ref="S344">IFERROR(_xlfn.XLOOKUP('01_Input_Raw_Products'!F344,'10_Master_Gem_Types'!A:A,'10_Master_Gem_Types'!H:H),"")</f>
        <v>0</v>
      </c>
      <c r="T344" s="8">
        <f>'01_Input_Raw_Products'!Q344</f>
        <v>0</v>
      </c>
      <c r="U344" s="8">
        <f>'01_Input_Raw_Products'!R344</f>
        <v>0</v>
      </c>
      <c r="V344" s="7">
        <f>I344</f>
        <v>0</v>
      </c>
      <c r="W344" s="9" cm="1">
        <f t="array" ref="W344">IF('01_Input_Raw_Products'!G344&lt;&gt;"",'01_Input_Raw_Products'!G344,IFERROR(_xlfn.XLOOKUP('01_Input_Raw_Products'!F344,'10_Master_Gem_Types'!A:A,'10_Master_Gem_Types'!L:L),""))</f>
        <v>0</v>
      </c>
      <c r="X344" s="9" cm="1">
        <f t="array" ref="X344">IFERROR(_xlfn.XLOOKUP('01_Input_Raw_Products'!F344,'10_Master_Gem_Types'!A:A,'10_Master_Gem_Types'!J:J),"")</f>
        <v>0</v>
      </c>
      <c r="Y344" s="9" cm="1">
        <f t="array" ref="Y344">IFERROR(_xlfn.XLOOKUP('01_Input_Raw_Products'!F344,'10_Master_Gem_Types'!A:A,'10_Master_Gem_Types'!I:I),"")</f>
        <v>0</v>
      </c>
      <c r="Z344" s="9" cm="1">
        <f t="array" ref="Z344">IFERROR(_xlfn.XLOOKUP('01_Input_Raw_Products'!L344,'13_Certification_Stickers'!A:A,'13_Certification_Stickers'!C:C),"")</f>
        <v>0</v>
      </c>
      <c r="AA344" s="9" cm="1">
        <f t="array" ref="AA344">IFERROR(_xlfn.XLOOKUP('01_Input_Raw_Products'!S344,'14_Shipping_Rules'!A:A,'14_Shipping_Rules'!B:B),"")</f>
        <v>0</v>
      </c>
      <c r="AB344" s="9" cm="1">
        <f t="array" ref="AB344">IFERROR(_xlfn.XLOOKUP('01_Input_Raw_Products'!D344,'16_Astro_Flags'!A:A,'16_Astro_Flags'!B:B),"")</f>
        <v>0</v>
      </c>
      <c r="AC344" s="9">
        <f>IF(C344="","","Catalog, Search")</f>
        <v>0</v>
      </c>
      <c r="AD344" s="9">
        <f>IF(C344="","",IF(OR(F344="",J344="",M344="",S344="",Y344=""),"Manual Review","Ready"))</f>
        <v>0</v>
      </c>
      <c r="AE344" s="9">
        <f>IF(C344="","",TEXTJOIN("; ",TRUE,IF(F344="","Missing url_key",""),IF(J344="","Missing classification",""),IF(M344="","Missing j_colour",""),IF(S344="","Missing hsn_code",""),IF(Y344="","Missing tax_class_id","")))</f>
        <v>0</v>
      </c>
    </row>
    <row r="345" spans="1:31">
      <c r="A345" s="9">
        <f>IF('01_Input_Raw_Products'!B345&lt;&gt;"",20,"")</f>
        <v>0</v>
      </c>
      <c r="B345" s="9" cm="1">
        <f t="array" ref="B345">IF('01_Input_Raw_Products'!M345&lt;&gt;"",'01_Input_Raw_Products'!M345,IFERROR(_xlfn.XLOOKUP('01_Input_Raw_Products'!F345,'10_Master_Gem_Types'!A:A,'10_Master_Gem_Types'!K:K),""))</f>
        <v>0</v>
      </c>
      <c r="C345" s="9">
        <f>'01_Input_Raw_Products'!B345</f>
        <v>0</v>
      </c>
      <c r="D345" s="9">
        <f>IF(C345="","",TEXT(I345,"0.00")&amp;" Ct "&amp;IF('01_Input_Raw_Products'!F345&lt;&gt;"",'01_Input_Raw_Products'!F345,'01_Input_Raw_Products'!D345)&amp;" "&amp;'01_Input_Raw_Products'!I345)</f>
        <v>0</v>
      </c>
      <c r="E345" s="9">
        <f>IF(C345="","",D345&amp;" | GemPundit")</f>
        <v>0</v>
      </c>
      <c r="F345" s="9" cm="1">
        <f t="array" ref="F345">IF('01_Input_Raw_Products'!X345&lt;&gt;"",'01_Input_Raw_Products'!X345,IFERROR(_xlfn.XLOOKUP('01_Input_Raw_Products'!F345,'10_Master_Gem_Types'!A:A,'10_Master_Gem_Types'!O:O),LOWER(SUBSTITUTE(IF('01_Input_Raw_Products'!F345&lt;&gt;"",'01_Input_Raw_Products'!F345,'01_Input_Raw_Products'!D345)," ","-"))))</f>
        <v>0</v>
      </c>
      <c r="G345" s="9">
        <f>'01_Input_Raw_Products'!C345</f>
        <v>0</v>
      </c>
      <c r="H345" s="9" cm="1">
        <f t="array" ref="H345">IF('01_Input_Raw_Products'!H345&lt;&gt;"",'01_Input_Raw_Products'!H345,IFERROR(_xlfn.XLOOKUP('01_Input_Raw_Products'!F345,'10_Master_Gem_Types'!A:A,'10_Master_Gem_Types'!D:D),""))</f>
        <v>0</v>
      </c>
      <c r="I345" s="7">
        <f>IF('01_Input_Raw_Products'!N345&lt;&gt;"",'01_Input_Raw_Products'!N345,IF('01_Input_Raw_Products'!O345&lt;&gt;"",'01_Input_Raw_Products'!O345*0.91,""))</f>
        <v>0</v>
      </c>
      <c r="J345" s="9" cm="1">
        <f t="array" ref="J345">IFERROR(_xlfn.XLOOKUP('01_Input_Raw_Products'!F345,'10_Master_Gem_Types'!A:A,'10_Master_Gem_Types'!N:N),"")</f>
        <v>0</v>
      </c>
      <c r="K345" s="9" cm="1">
        <f t="array" ref="K345">IF('01_Input_Raw_Products'!J345&lt;&gt;"",'01_Input_Raw_Products'!J345,IFERROR(_xlfn.XLOOKUP('01_Input_Raw_Products'!F345,'10_Master_Gem_Types'!A:A,'10_Master_Gem_Types'!E:E),""))</f>
        <v>0</v>
      </c>
      <c r="L345" s="9">
        <f>'01_Input_Raw_Products'!P345</f>
        <v>0</v>
      </c>
      <c r="M345" s="9" cm="1">
        <f t="array" ref="M345">IFERROR(_xlfn.XLOOKUP('01_Input_Raw_Products'!K345,'12_Color_Mapping'!A:A,'12_Color_Mapping'!B:B),IFERROR(_xlfn.XLOOKUP('01_Input_Raw_Products'!F345,'10_Master_Gem_Types'!A:A,'10_Master_Gem_Types'!F:F),""))</f>
        <v>0</v>
      </c>
      <c r="N345" s="9">
        <f>IF(C345="","",IF('01_Input_Raw_Products'!F345&lt;&gt;"",'01_Input_Raw_Products'!F345,'01_Input_Raw_Products'!D345))</f>
        <v>0</v>
      </c>
      <c r="O345" s="9">
        <f>IF(C345="","","Catalog Automation")</f>
        <v>0</v>
      </c>
      <c r="P345" s="9">
        <f>'01_Input_Raw_Products'!U345</f>
        <v>0</v>
      </c>
      <c r="Q345" s="7">
        <f>IF('01_Input_Raw_Products'!O345&lt;&gt;"",'01_Input_Raw_Products'!O345,IF('01_Input_Raw_Products'!N345&lt;&gt;"",'01_Input_Raw_Products'!N345*1.1,""))</f>
        <v>0</v>
      </c>
      <c r="R345" s="9">
        <f>'01_Input_Raw_Products'!S345</f>
        <v>0</v>
      </c>
      <c r="S345" s="9" cm="1">
        <f t="array" ref="S345">IFERROR(_xlfn.XLOOKUP('01_Input_Raw_Products'!F345,'10_Master_Gem_Types'!A:A,'10_Master_Gem_Types'!H:H),"")</f>
        <v>0</v>
      </c>
      <c r="T345" s="8">
        <f>'01_Input_Raw_Products'!Q345</f>
        <v>0</v>
      </c>
      <c r="U345" s="8">
        <f>'01_Input_Raw_Products'!R345</f>
        <v>0</v>
      </c>
      <c r="V345" s="7">
        <f>I345</f>
        <v>0</v>
      </c>
      <c r="W345" s="9" cm="1">
        <f t="array" ref="W345">IF('01_Input_Raw_Products'!G345&lt;&gt;"",'01_Input_Raw_Products'!G345,IFERROR(_xlfn.XLOOKUP('01_Input_Raw_Products'!F345,'10_Master_Gem_Types'!A:A,'10_Master_Gem_Types'!L:L),""))</f>
        <v>0</v>
      </c>
      <c r="X345" s="9" cm="1">
        <f t="array" ref="X345">IFERROR(_xlfn.XLOOKUP('01_Input_Raw_Products'!F345,'10_Master_Gem_Types'!A:A,'10_Master_Gem_Types'!J:J),"")</f>
        <v>0</v>
      </c>
      <c r="Y345" s="9" cm="1">
        <f t="array" ref="Y345">IFERROR(_xlfn.XLOOKUP('01_Input_Raw_Products'!F345,'10_Master_Gem_Types'!A:A,'10_Master_Gem_Types'!I:I),"")</f>
        <v>0</v>
      </c>
      <c r="Z345" s="9" cm="1">
        <f t="array" ref="Z345">IFERROR(_xlfn.XLOOKUP('01_Input_Raw_Products'!L345,'13_Certification_Stickers'!A:A,'13_Certification_Stickers'!C:C),"")</f>
        <v>0</v>
      </c>
      <c r="AA345" s="9" cm="1">
        <f t="array" ref="AA345">IFERROR(_xlfn.XLOOKUP('01_Input_Raw_Products'!S345,'14_Shipping_Rules'!A:A,'14_Shipping_Rules'!B:B),"")</f>
        <v>0</v>
      </c>
      <c r="AB345" s="9" cm="1">
        <f t="array" ref="AB345">IFERROR(_xlfn.XLOOKUP('01_Input_Raw_Products'!D345,'16_Astro_Flags'!A:A,'16_Astro_Flags'!B:B),"")</f>
        <v>0</v>
      </c>
      <c r="AC345" s="9">
        <f>IF(C345="","","Catalog, Search")</f>
        <v>0</v>
      </c>
      <c r="AD345" s="9">
        <f>IF(C345="","",IF(OR(F345="",J345="",M345="",S345="",Y345=""),"Manual Review","Ready"))</f>
        <v>0</v>
      </c>
      <c r="AE345" s="9">
        <f>IF(C345="","",TEXTJOIN("; ",TRUE,IF(F345="","Missing url_key",""),IF(J345="","Missing classification",""),IF(M345="","Missing j_colour",""),IF(S345="","Missing hsn_code",""),IF(Y345="","Missing tax_class_id","")))</f>
        <v>0</v>
      </c>
    </row>
    <row r="346" spans="1:31">
      <c r="A346" s="9">
        <f>IF('01_Input_Raw_Products'!B346&lt;&gt;"",20,"")</f>
        <v>0</v>
      </c>
      <c r="B346" s="9" cm="1">
        <f t="array" ref="B346">IF('01_Input_Raw_Products'!M346&lt;&gt;"",'01_Input_Raw_Products'!M346,IFERROR(_xlfn.XLOOKUP('01_Input_Raw_Products'!F346,'10_Master_Gem_Types'!A:A,'10_Master_Gem_Types'!K:K),""))</f>
        <v>0</v>
      </c>
      <c r="C346" s="9">
        <f>'01_Input_Raw_Products'!B346</f>
        <v>0</v>
      </c>
      <c r="D346" s="9">
        <f>IF(C346="","",TEXT(I346,"0.00")&amp;" Ct "&amp;IF('01_Input_Raw_Products'!F346&lt;&gt;"",'01_Input_Raw_Products'!F346,'01_Input_Raw_Products'!D346)&amp;" "&amp;'01_Input_Raw_Products'!I346)</f>
        <v>0</v>
      </c>
      <c r="E346" s="9">
        <f>IF(C346="","",D346&amp;" | GemPundit")</f>
        <v>0</v>
      </c>
      <c r="F346" s="9" cm="1">
        <f t="array" ref="F346">IF('01_Input_Raw_Products'!X346&lt;&gt;"",'01_Input_Raw_Products'!X346,IFERROR(_xlfn.XLOOKUP('01_Input_Raw_Products'!F346,'10_Master_Gem_Types'!A:A,'10_Master_Gem_Types'!O:O),LOWER(SUBSTITUTE(IF('01_Input_Raw_Products'!F346&lt;&gt;"",'01_Input_Raw_Products'!F346,'01_Input_Raw_Products'!D346)," ","-"))))</f>
        <v>0</v>
      </c>
      <c r="G346" s="9">
        <f>'01_Input_Raw_Products'!C346</f>
        <v>0</v>
      </c>
      <c r="H346" s="9" cm="1">
        <f t="array" ref="H346">IF('01_Input_Raw_Products'!H346&lt;&gt;"",'01_Input_Raw_Products'!H346,IFERROR(_xlfn.XLOOKUP('01_Input_Raw_Products'!F346,'10_Master_Gem_Types'!A:A,'10_Master_Gem_Types'!D:D),""))</f>
        <v>0</v>
      </c>
      <c r="I346" s="7">
        <f>IF('01_Input_Raw_Products'!N346&lt;&gt;"",'01_Input_Raw_Products'!N346,IF('01_Input_Raw_Products'!O346&lt;&gt;"",'01_Input_Raw_Products'!O346*0.91,""))</f>
        <v>0</v>
      </c>
      <c r="J346" s="9" cm="1">
        <f t="array" ref="J346">IFERROR(_xlfn.XLOOKUP('01_Input_Raw_Products'!F346,'10_Master_Gem_Types'!A:A,'10_Master_Gem_Types'!N:N),"")</f>
        <v>0</v>
      </c>
      <c r="K346" s="9" cm="1">
        <f t="array" ref="K346">IF('01_Input_Raw_Products'!J346&lt;&gt;"",'01_Input_Raw_Products'!J346,IFERROR(_xlfn.XLOOKUP('01_Input_Raw_Products'!F346,'10_Master_Gem_Types'!A:A,'10_Master_Gem_Types'!E:E),""))</f>
        <v>0</v>
      </c>
      <c r="L346" s="9">
        <f>'01_Input_Raw_Products'!P346</f>
        <v>0</v>
      </c>
      <c r="M346" s="9" cm="1">
        <f t="array" ref="M346">IFERROR(_xlfn.XLOOKUP('01_Input_Raw_Products'!K346,'12_Color_Mapping'!A:A,'12_Color_Mapping'!B:B),IFERROR(_xlfn.XLOOKUP('01_Input_Raw_Products'!F346,'10_Master_Gem_Types'!A:A,'10_Master_Gem_Types'!F:F),""))</f>
        <v>0</v>
      </c>
      <c r="N346" s="9">
        <f>IF(C346="","",IF('01_Input_Raw_Products'!F346&lt;&gt;"",'01_Input_Raw_Products'!F346,'01_Input_Raw_Products'!D346))</f>
        <v>0</v>
      </c>
      <c r="O346" s="9">
        <f>IF(C346="","","Catalog Automation")</f>
        <v>0</v>
      </c>
      <c r="P346" s="9">
        <f>'01_Input_Raw_Products'!U346</f>
        <v>0</v>
      </c>
      <c r="Q346" s="7">
        <f>IF('01_Input_Raw_Products'!O346&lt;&gt;"",'01_Input_Raw_Products'!O346,IF('01_Input_Raw_Products'!N346&lt;&gt;"",'01_Input_Raw_Products'!N346*1.1,""))</f>
        <v>0</v>
      </c>
      <c r="R346" s="9">
        <f>'01_Input_Raw_Products'!S346</f>
        <v>0</v>
      </c>
      <c r="S346" s="9" cm="1">
        <f t="array" ref="S346">IFERROR(_xlfn.XLOOKUP('01_Input_Raw_Products'!F346,'10_Master_Gem_Types'!A:A,'10_Master_Gem_Types'!H:H),"")</f>
        <v>0</v>
      </c>
      <c r="T346" s="8">
        <f>'01_Input_Raw_Products'!Q346</f>
        <v>0</v>
      </c>
      <c r="U346" s="8">
        <f>'01_Input_Raw_Products'!R346</f>
        <v>0</v>
      </c>
      <c r="V346" s="7">
        <f>I346</f>
        <v>0</v>
      </c>
      <c r="W346" s="9" cm="1">
        <f t="array" ref="W346">IF('01_Input_Raw_Products'!G346&lt;&gt;"",'01_Input_Raw_Products'!G346,IFERROR(_xlfn.XLOOKUP('01_Input_Raw_Products'!F346,'10_Master_Gem_Types'!A:A,'10_Master_Gem_Types'!L:L),""))</f>
        <v>0</v>
      </c>
      <c r="X346" s="9" cm="1">
        <f t="array" ref="X346">IFERROR(_xlfn.XLOOKUP('01_Input_Raw_Products'!F346,'10_Master_Gem_Types'!A:A,'10_Master_Gem_Types'!J:J),"")</f>
        <v>0</v>
      </c>
      <c r="Y346" s="9" cm="1">
        <f t="array" ref="Y346">IFERROR(_xlfn.XLOOKUP('01_Input_Raw_Products'!F346,'10_Master_Gem_Types'!A:A,'10_Master_Gem_Types'!I:I),"")</f>
        <v>0</v>
      </c>
      <c r="Z346" s="9" cm="1">
        <f t="array" ref="Z346">IFERROR(_xlfn.XLOOKUP('01_Input_Raw_Products'!L346,'13_Certification_Stickers'!A:A,'13_Certification_Stickers'!C:C),"")</f>
        <v>0</v>
      </c>
      <c r="AA346" s="9" cm="1">
        <f t="array" ref="AA346">IFERROR(_xlfn.XLOOKUP('01_Input_Raw_Products'!S346,'14_Shipping_Rules'!A:A,'14_Shipping_Rules'!B:B),"")</f>
        <v>0</v>
      </c>
      <c r="AB346" s="9" cm="1">
        <f t="array" ref="AB346">IFERROR(_xlfn.XLOOKUP('01_Input_Raw_Products'!D346,'16_Astro_Flags'!A:A,'16_Astro_Flags'!B:B),"")</f>
        <v>0</v>
      </c>
      <c r="AC346" s="9">
        <f>IF(C346="","","Catalog, Search")</f>
        <v>0</v>
      </c>
      <c r="AD346" s="9">
        <f>IF(C346="","",IF(OR(F346="",J346="",M346="",S346="",Y346=""),"Manual Review","Ready"))</f>
        <v>0</v>
      </c>
      <c r="AE346" s="9">
        <f>IF(C346="","",TEXTJOIN("; ",TRUE,IF(F346="","Missing url_key",""),IF(J346="","Missing classification",""),IF(M346="","Missing j_colour",""),IF(S346="","Missing hsn_code",""),IF(Y346="","Missing tax_class_id","")))</f>
        <v>0</v>
      </c>
    </row>
    <row r="347" spans="1:31">
      <c r="A347" s="9">
        <f>IF('01_Input_Raw_Products'!B347&lt;&gt;"",20,"")</f>
        <v>0</v>
      </c>
      <c r="B347" s="9" cm="1">
        <f t="array" ref="B347">IF('01_Input_Raw_Products'!M347&lt;&gt;"",'01_Input_Raw_Products'!M347,IFERROR(_xlfn.XLOOKUP('01_Input_Raw_Products'!F347,'10_Master_Gem_Types'!A:A,'10_Master_Gem_Types'!K:K),""))</f>
        <v>0</v>
      </c>
      <c r="C347" s="9">
        <f>'01_Input_Raw_Products'!B347</f>
        <v>0</v>
      </c>
      <c r="D347" s="9">
        <f>IF(C347="","",TEXT(I347,"0.00")&amp;" Ct "&amp;IF('01_Input_Raw_Products'!F347&lt;&gt;"",'01_Input_Raw_Products'!F347,'01_Input_Raw_Products'!D347)&amp;" "&amp;'01_Input_Raw_Products'!I347)</f>
        <v>0</v>
      </c>
      <c r="E347" s="9">
        <f>IF(C347="","",D347&amp;" | GemPundit")</f>
        <v>0</v>
      </c>
      <c r="F347" s="9" cm="1">
        <f t="array" ref="F347">IF('01_Input_Raw_Products'!X347&lt;&gt;"",'01_Input_Raw_Products'!X347,IFERROR(_xlfn.XLOOKUP('01_Input_Raw_Products'!F347,'10_Master_Gem_Types'!A:A,'10_Master_Gem_Types'!O:O),LOWER(SUBSTITUTE(IF('01_Input_Raw_Products'!F347&lt;&gt;"",'01_Input_Raw_Products'!F347,'01_Input_Raw_Products'!D347)," ","-"))))</f>
        <v>0</v>
      </c>
      <c r="G347" s="9">
        <f>'01_Input_Raw_Products'!C347</f>
        <v>0</v>
      </c>
      <c r="H347" s="9" cm="1">
        <f t="array" ref="H347">IF('01_Input_Raw_Products'!H347&lt;&gt;"",'01_Input_Raw_Products'!H347,IFERROR(_xlfn.XLOOKUP('01_Input_Raw_Products'!F347,'10_Master_Gem_Types'!A:A,'10_Master_Gem_Types'!D:D),""))</f>
        <v>0</v>
      </c>
      <c r="I347" s="7">
        <f>IF('01_Input_Raw_Products'!N347&lt;&gt;"",'01_Input_Raw_Products'!N347,IF('01_Input_Raw_Products'!O347&lt;&gt;"",'01_Input_Raw_Products'!O347*0.91,""))</f>
        <v>0</v>
      </c>
      <c r="J347" s="9" cm="1">
        <f t="array" ref="J347">IFERROR(_xlfn.XLOOKUP('01_Input_Raw_Products'!F347,'10_Master_Gem_Types'!A:A,'10_Master_Gem_Types'!N:N),"")</f>
        <v>0</v>
      </c>
      <c r="K347" s="9" cm="1">
        <f t="array" ref="K347">IF('01_Input_Raw_Products'!J347&lt;&gt;"",'01_Input_Raw_Products'!J347,IFERROR(_xlfn.XLOOKUP('01_Input_Raw_Products'!F347,'10_Master_Gem_Types'!A:A,'10_Master_Gem_Types'!E:E),""))</f>
        <v>0</v>
      </c>
      <c r="L347" s="9">
        <f>'01_Input_Raw_Products'!P347</f>
        <v>0</v>
      </c>
      <c r="M347" s="9" cm="1">
        <f t="array" ref="M347">IFERROR(_xlfn.XLOOKUP('01_Input_Raw_Products'!K347,'12_Color_Mapping'!A:A,'12_Color_Mapping'!B:B),IFERROR(_xlfn.XLOOKUP('01_Input_Raw_Products'!F347,'10_Master_Gem_Types'!A:A,'10_Master_Gem_Types'!F:F),""))</f>
        <v>0</v>
      </c>
      <c r="N347" s="9">
        <f>IF(C347="","",IF('01_Input_Raw_Products'!F347&lt;&gt;"",'01_Input_Raw_Products'!F347,'01_Input_Raw_Products'!D347))</f>
        <v>0</v>
      </c>
      <c r="O347" s="9">
        <f>IF(C347="","","Catalog Automation")</f>
        <v>0</v>
      </c>
      <c r="P347" s="9">
        <f>'01_Input_Raw_Products'!U347</f>
        <v>0</v>
      </c>
      <c r="Q347" s="7">
        <f>IF('01_Input_Raw_Products'!O347&lt;&gt;"",'01_Input_Raw_Products'!O347,IF('01_Input_Raw_Products'!N347&lt;&gt;"",'01_Input_Raw_Products'!N347*1.1,""))</f>
        <v>0</v>
      </c>
      <c r="R347" s="9">
        <f>'01_Input_Raw_Products'!S347</f>
        <v>0</v>
      </c>
      <c r="S347" s="9" cm="1">
        <f t="array" ref="S347">IFERROR(_xlfn.XLOOKUP('01_Input_Raw_Products'!F347,'10_Master_Gem_Types'!A:A,'10_Master_Gem_Types'!H:H),"")</f>
        <v>0</v>
      </c>
      <c r="T347" s="8">
        <f>'01_Input_Raw_Products'!Q347</f>
        <v>0</v>
      </c>
      <c r="U347" s="8">
        <f>'01_Input_Raw_Products'!R347</f>
        <v>0</v>
      </c>
      <c r="V347" s="7">
        <f>I347</f>
        <v>0</v>
      </c>
      <c r="W347" s="9" cm="1">
        <f t="array" ref="W347">IF('01_Input_Raw_Products'!G347&lt;&gt;"",'01_Input_Raw_Products'!G347,IFERROR(_xlfn.XLOOKUP('01_Input_Raw_Products'!F347,'10_Master_Gem_Types'!A:A,'10_Master_Gem_Types'!L:L),""))</f>
        <v>0</v>
      </c>
      <c r="X347" s="9" cm="1">
        <f t="array" ref="X347">IFERROR(_xlfn.XLOOKUP('01_Input_Raw_Products'!F347,'10_Master_Gem_Types'!A:A,'10_Master_Gem_Types'!J:J),"")</f>
        <v>0</v>
      </c>
      <c r="Y347" s="9" cm="1">
        <f t="array" ref="Y347">IFERROR(_xlfn.XLOOKUP('01_Input_Raw_Products'!F347,'10_Master_Gem_Types'!A:A,'10_Master_Gem_Types'!I:I),"")</f>
        <v>0</v>
      </c>
      <c r="Z347" s="9" cm="1">
        <f t="array" ref="Z347">IFERROR(_xlfn.XLOOKUP('01_Input_Raw_Products'!L347,'13_Certification_Stickers'!A:A,'13_Certification_Stickers'!C:C),"")</f>
        <v>0</v>
      </c>
      <c r="AA347" s="9" cm="1">
        <f t="array" ref="AA347">IFERROR(_xlfn.XLOOKUP('01_Input_Raw_Products'!S347,'14_Shipping_Rules'!A:A,'14_Shipping_Rules'!B:B),"")</f>
        <v>0</v>
      </c>
      <c r="AB347" s="9" cm="1">
        <f t="array" ref="AB347">IFERROR(_xlfn.XLOOKUP('01_Input_Raw_Products'!D347,'16_Astro_Flags'!A:A,'16_Astro_Flags'!B:B),"")</f>
        <v>0</v>
      </c>
      <c r="AC347" s="9">
        <f>IF(C347="","","Catalog, Search")</f>
        <v>0</v>
      </c>
      <c r="AD347" s="9">
        <f>IF(C347="","",IF(OR(F347="",J347="",M347="",S347="",Y347=""),"Manual Review","Ready"))</f>
        <v>0</v>
      </c>
      <c r="AE347" s="9">
        <f>IF(C347="","",TEXTJOIN("; ",TRUE,IF(F347="","Missing url_key",""),IF(J347="","Missing classification",""),IF(M347="","Missing j_colour",""),IF(S347="","Missing hsn_code",""),IF(Y347="","Missing tax_class_id","")))</f>
        <v>0</v>
      </c>
    </row>
    <row r="348" spans="1:31">
      <c r="A348" s="9">
        <f>IF('01_Input_Raw_Products'!B348&lt;&gt;"",20,"")</f>
        <v>0</v>
      </c>
      <c r="B348" s="9" cm="1">
        <f t="array" ref="B348">IF('01_Input_Raw_Products'!M348&lt;&gt;"",'01_Input_Raw_Products'!M348,IFERROR(_xlfn.XLOOKUP('01_Input_Raw_Products'!F348,'10_Master_Gem_Types'!A:A,'10_Master_Gem_Types'!K:K),""))</f>
        <v>0</v>
      </c>
      <c r="C348" s="9">
        <f>'01_Input_Raw_Products'!B348</f>
        <v>0</v>
      </c>
      <c r="D348" s="9">
        <f>IF(C348="","",TEXT(I348,"0.00")&amp;" Ct "&amp;IF('01_Input_Raw_Products'!F348&lt;&gt;"",'01_Input_Raw_Products'!F348,'01_Input_Raw_Products'!D348)&amp;" "&amp;'01_Input_Raw_Products'!I348)</f>
        <v>0</v>
      </c>
      <c r="E348" s="9">
        <f>IF(C348="","",D348&amp;" | GemPundit")</f>
        <v>0</v>
      </c>
      <c r="F348" s="9" cm="1">
        <f t="array" ref="F348">IF('01_Input_Raw_Products'!X348&lt;&gt;"",'01_Input_Raw_Products'!X348,IFERROR(_xlfn.XLOOKUP('01_Input_Raw_Products'!F348,'10_Master_Gem_Types'!A:A,'10_Master_Gem_Types'!O:O),LOWER(SUBSTITUTE(IF('01_Input_Raw_Products'!F348&lt;&gt;"",'01_Input_Raw_Products'!F348,'01_Input_Raw_Products'!D348)," ","-"))))</f>
        <v>0</v>
      </c>
      <c r="G348" s="9">
        <f>'01_Input_Raw_Products'!C348</f>
        <v>0</v>
      </c>
      <c r="H348" s="9" cm="1">
        <f t="array" ref="H348">IF('01_Input_Raw_Products'!H348&lt;&gt;"",'01_Input_Raw_Products'!H348,IFERROR(_xlfn.XLOOKUP('01_Input_Raw_Products'!F348,'10_Master_Gem_Types'!A:A,'10_Master_Gem_Types'!D:D),""))</f>
        <v>0</v>
      </c>
      <c r="I348" s="7">
        <f>IF('01_Input_Raw_Products'!N348&lt;&gt;"",'01_Input_Raw_Products'!N348,IF('01_Input_Raw_Products'!O348&lt;&gt;"",'01_Input_Raw_Products'!O348*0.91,""))</f>
        <v>0</v>
      </c>
      <c r="J348" s="9" cm="1">
        <f t="array" ref="J348">IFERROR(_xlfn.XLOOKUP('01_Input_Raw_Products'!F348,'10_Master_Gem_Types'!A:A,'10_Master_Gem_Types'!N:N),"")</f>
        <v>0</v>
      </c>
      <c r="K348" s="9" cm="1">
        <f t="array" ref="K348">IF('01_Input_Raw_Products'!J348&lt;&gt;"",'01_Input_Raw_Products'!J348,IFERROR(_xlfn.XLOOKUP('01_Input_Raw_Products'!F348,'10_Master_Gem_Types'!A:A,'10_Master_Gem_Types'!E:E),""))</f>
        <v>0</v>
      </c>
      <c r="L348" s="9">
        <f>'01_Input_Raw_Products'!P348</f>
        <v>0</v>
      </c>
      <c r="M348" s="9" cm="1">
        <f t="array" ref="M348">IFERROR(_xlfn.XLOOKUP('01_Input_Raw_Products'!K348,'12_Color_Mapping'!A:A,'12_Color_Mapping'!B:B),IFERROR(_xlfn.XLOOKUP('01_Input_Raw_Products'!F348,'10_Master_Gem_Types'!A:A,'10_Master_Gem_Types'!F:F),""))</f>
        <v>0</v>
      </c>
      <c r="N348" s="9">
        <f>IF(C348="","",IF('01_Input_Raw_Products'!F348&lt;&gt;"",'01_Input_Raw_Products'!F348,'01_Input_Raw_Products'!D348))</f>
        <v>0</v>
      </c>
      <c r="O348" s="9">
        <f>IF(C348="","","Catalog Automation")</f>
        <v>0</v>
      </c>
      <c r="P348" s="9">
        <f>'01_Input_Raw_Products'!U348</f>
        <v>0</v>
      </c>
      <c r="Q348" s="7">
        <f>IF('01_Input_Raw_Products'!O348&lt;&gt;"",'01_Input_Raw_Products'!O348,IF('01_Input_Raw_Products'!N348&lt;&gt;"",'01_Input_Raw_Products'!N348*1.1,""))</f>
        <v>0</v>
      </c>
      <c r="R348" s="9">
        <f>'01_Input_Raw_Products'!S348</f>
        <v>0</v>
      </c>
      <c r="S348" s="9" cm="1">
        <f t="array" ref="S348">IFERROR(_xlfn.XLOOKUP('01_Input_Raw_Products'!F348,'10_Master_Gem_Types'!A:A,'10_Master_Gem_Types'!H:H),"")</f>
        <v>0</v>
      </c>
      <c r="T348" s="8">
        <f>'01_Input_Raw_Products'!Q348</f>
        <v>0</v>
      </c>
      <c r="U348" s="8">
        <f>'01_Input_Raw_Products'!R348</f>
        <v>0</v>
      </c>
      <c r="V348" s="7">
        <f>I348</f>
        <v>0</v>
      </c>
      <c r="W348" s="9" cm="1">
        <f t="array" ref="W348">IF('01_Input_Raw_Products'!G348&lt;&gt;"",'01_Input_Raw_Products'!G348,IFERROR(_xlfn.XLOOKUP('01_Input_Raw_Products'!F348,'10_Master_Gem_Types'!A:A,'10_Master_Gem_Types'!L:L),""))</f>
        <v>0</v>
      </c>
      <c r="X348" s="9" cm="1">
        <f t="array" ref="X348">IFERROR(_xlfn.XLOOKUP('01_Input_Raw_Products'!F348,'10_Master_Gem_Types'!A:A,'10_Master_Gem_Types'!J:J),"")</f>
        <v>0</v>
      </c>
      <c r="Y348" s="9" cm="1">
        <f t="array" ref="Y348">IFERROR(_xlfn.XLOOKUP('01_Input_Raw_Products'!F348,'10_Master_Gem_Types'!A:A,'10_Master_Gem_Types'!I:I),"")</f>
        <v>0</v>
      </c>
      <c r="Z348" s="9" cm="1">
        <f t="array" ref="Z348">IFERROR(_xlfn.XLOOKUP('01_Input_Raw_Products'!L348,'13_Certification_Stickers'!A:A,'13_Certification_Stickers'!C:C),"")</f>
        <v>0</v>
      </c>
      <c r="AA348" s="9" cm="1">
        <f t="array" ref="AA348">IFERROR(_xlfn.XLOOKUP('01_Input_Raw_Products'!S348,'14_Shipping_Rules'!A:A,'14_Shipping_Rules'!B:B),"")</f>
        <v>0</v>
      </c>
      <c r="AB348" s="9" cm="1">
        <f t="array" ref="AB348">IFERROR(_xlfn.XLOOKUP('01_Input_Raw_Products'!D348,'16_Astro_Flags'!A:A,'16_Astro_Flags'!B:B),"")</f>
        <v>0</v>
      </c>
      <c r="AC348" s="9">
        <f>IF(C348="","","Catalog, Search")</f>
        <v>0</v>
      </c>
      <c r="AD348" s="9">
        <f>IF(C348="","",IF(OR(F348="",J348="",M348="",S348="",Y348=""),"Manual Review","Ready"))</f>
        <v>0</v>
      </c>
      <c r="AE348" s="9">
        <f>IF(C348="","",TEXTJOIN("; ",TRUE,IF(F348="","Missing url_key",""),IF(J348="","Missing classification",""),IF(M348="","Missing j_colour",""),IF(S348="","Missing hsn_code",""),IF(Y348="","Missing tax_class_id","")))</f>
        <v>0</v>
      </c>
    </row>
    <row r="349" spans="1:31">
      <c r="A349" s="9">
        <f>IF('01_Input_Raw_Products'!B349&lt;&gt;"",20,"")</f>
        <v>0</v>
      </c>
      <c r="B349" s="9" cm="1">
        <f t="array" ref="B349">IF('01_Input_Raw_Products'!M349&lt;&gt;"",'01_Input_Raw_Products'!M349,IFERROR(_xlfn.XLOOKUP('01_Input_Raw_Products'!F349,'10_Master_Gem_Types'!A:A,'10_Master_Gem_Types'!K:K),""))</f>
        <v>0</v>
      </c>
      <c r="C349" s="9">
        <f>'01_Input_Raw_Products'!B349</f>
        <v>0</v>
      </c>
      <c r="D349" s="9">
        <f>IF(C349="","",TEXT(I349,"0.00")&amp;" Ct "&amp;IF('01_Input_Raw_Products'!F349&lt;&gt;"",'01_Input_Raw_Products'!F349,'01_Input_Raw_Products'!D349)&amp;" "&amp;'01_Input_Raw_Products'!I349)</f>
        <v>0</v>
      </c>
      <c r="E349" s="9">
        <f>IF(C349="","",D349&amp;" | GemPundit")</f>
        <v>0</v>
      </c>
      <c r="F349" s="9" cm="1">
        <f t="array" ref="F349">IF('01_Input_Raw_Products'!X349&lt;&gt;"",'01_Input_Raw_Products'!X349,IFERROR(_xlfn.XLOOKUP('01_Input_Raw_Products'!F349,'10_Master_Gem_Types'!A:A,'10_Master_Gem_Types'!O:O),LOWER(SUBSTITUTE(IF('01_Input_Raw_Products'!F349&lt;&gt;"",'01_Input_Raw_Products'!F349,'01_Input_Raw_Products'!D349)," ","-"))))</f>
        <v>0</v>
      </c>
      <c r="G349" s="9">
        <f>'01_Input_Raw_Products'!C349</f>
        <v>0</v>
      </c>
      <c r="H349" s="9" cm="1">
        <f t="array" ref="H349">IF('01_Input_Raw_Products'!H349&lt;&gt;"",'01_Input_Raw_Products'!H349,IFERROR(_xlfn.XLOOKUP('01_Input_Raw_Products'!F349,'10_Master_Gem_Types'!A:A,'10_Master_Gem_Types'!D:D),""))</f>
        <v>0</v>
      </c>
      <c r="I349" s="7">
        <f>IF('01_Input_Raw_Products'!N349&lt;&gt;"",'01_Input_Raw_Products'!N349,IF('01_Input_Raw_Products'!O349&lt;&gt;"",'01_Input_Raw_Products'!O349*0.91,""))</f>
        <v>0</v>
      </c>
      <c r="J349" s="9" cm="1">
        <f t="array" ref="J349">IFERROR(_xlfn.XLOOKUP('01_Input_Raw_Products'!F349,'10_Master_Gem_Types'!A:A,'10_Master_Gem_Types'!N:N),"")</f>
        <v>0</v>
      </c>
      <c r="K349" s="9" cm="1">
        <f t="array" ref="K349">IF('01_Input_Raw_Products'!J349&lt;&gt;"",'01_Input_Raw_Products'!J349,IFERROR(_xlfn.XLOOKUP('01_Input_Raw_Products'!F349,'10_Master_Gem_Types'!A:A,'10_Master_Gem_Types'!E:E),""))</f>
        <v>0</v>
      </c>
      <c r="L349" s="9">
        <f>'01_Input_Raw_Products'!P349</f>
        <v>0</v>
      </c>
      <c r="M349" s="9" cm="1">
        <f t="array" ref="M349">IFERROR(_xlfn.XLOOKUP('01_Input_Raw_Products'!K349,'12_Color_Mapping'!A:A,'12_Color_Mapping'!B:B),IFERROR(_xlfn.XLOOKUP('01_Input_Raw_Products'!F349,'10_Master_Gem_Types'!A:A,'10_Master_Gem_Types'!F:F),""))</f>
        <v>0</v>
      </c>
      <c r="N349" s="9">
        <f>IF(C349="","",IF('01_Input_Raw_Products'!F349&lt;&gt;"",'01_Input_Raw_Products'!F349,'01_Input_Raw_Products'!D349))</f>
        <v>0</v>
      </c>
      <c r="O349" s="9">
        <f>IF(C349="","","Catalog Automation")</f>
        <v>0</v>
      </c>
      <c r="P349" s="9">
        <f>'01_Input_Raw_Products'!U349</f>
        <v>0</v>
      </c>
      <c r="Q349" s="7">
        <f>IF('01_Input_Raw_Products'!O349&lt;&gt;"",'01_Input_Raw_Products'!O349,IF('01_Input_Raw_Products'!N349&lt;&gt;"",'01_Input_Raw_Products'!N349*1.1,""))</f>
        <v>0</v>
      </c>
      <c r="R349" s="9">
        <f>'01_Input_Raw_Products'!S349</f>
        <v>0</v>
      </c>
      <c r="S349" s="9" cm="1">
        <f t="array" ref="S349">IFERROR(_xlfn.XLOOKUP('01_Input_Raw_Products'!F349,'10_Master_Gem_Types'!A:A,'10_Master_Gem_Types'!H:H),"")</f>
        <v>0</v>
      </c>
      <c r="T349" s="8">
        <f>'01_Input_Raw_Products'!Q349</f>
        <v>0</v>
      </c>
      <c r="U349" s="8">
        <f>'01_Input_Raw_Products'!R349</f>
        <v>0</v>
      </c>
      <c r="V349" s="7">
        <f>I349</f>
        <v>0</v>
      </c>
      <c r="W349" s="9" cm="1">
        <f t="array" ref="W349">IF('01_Input_Raw_Products'!G349&lt;&gt;"",'01_Input_Raw_Products'!G349,IFERROR(_xlfn.XLOOKUP('01_Input_Raw_Products'!F349,'10_Master_Gem_Types'!A:A,'10_Master_Gem_Types'!L:L),""))</f>
        <v>0</v>
      </c>
      <c r="X349" s="9" cm="1">
        <f t="array" ref="X349">IFERROR(_xlfn.XLOOKUP('01_Input_Raw_Products'!F349,'10_Master_Gem_Types'!A:A,'10_Master_Gem_Types'!J:J),"")</f>
        <v>0</v>
      </c>
      <c r="Y349" s="9" cm="1">
        <f t="array" ref="Y349">IFERROR(_xlfn.XLOOKUP('01_Input_Raw_Products'!F349,'10_Master_Gem_Types'!A:A,'10_Master_Gem_Types'!I:I),"")</f>
        <v>0</v>
      </c>
      <c r="Z349" s="9" cm="1">
        <f t="array" ref="Z349">IFERROR(_xlfn.XLOOKUP('01_Input_Raw_Products'!L349,'13_Certification_Stickers'!A:A,'13_Certification_Stickers'!C:C),"")</f>
        <v>0</v>
      </c>
      <c r="AA349" s="9" cm="1">
        <f t="array" ref="AA349">IFERROR(_xlfn.XLOOKUP('01_Input_Raw_Products'!S349,'14_Shipping_Rules'!A:A,'14_Shipping_Rules'!B:B),"")</f>
        <v>0</v>
      </c>
      <c r="AB349" s="9" cm="1">
        <f t="array" ref="AB349">IFERROR(_xlfn.XLOOKUP('01_Input_Raw_Products'!D349,'16_Astro_Flags'!A:A,'16_Astro_Flags'!B:B),"")</f>
        <v>0</v>
      </c>
      <c r="AC349" s="9">
        <f>IF(C349="","","Catalog, Search")</f>
        <v>0</v>
      </c>
      <c r="AD349" s="9">
        <f>IF(C349="","",IF(OR(F349="",J349="",M349="",S349="",Y349=""),"Manual Review","Ready"))</f>
        <v>0</v>
      </c>
      <c r="AE349" s="9">
        <f>IF(C349="","",TEXTJOIN("; ",TRUE,IF(F349="","Missing url_key",""),IF(J349="","Missing classification",""),IF(M349="","Missing j_colour",""),IF(S349="","Missing hsn_code",""),IF(Y349="","Missing tax_class_id","")))</f>
        <v>0</v>
      </c>
    </row>
    <row r="350" spans="1:31">
      <c r="A350" s="9">
        <f>IF('01_Input_Raw_Products'!B350&lt;&gt;"",20,"")</f>
        <v>0</v>
      </c>
      <c r="B350" s="9" cm="1">
        <f t="array" ref="B350">IF('01_Input_Raw_Products'!M350&lt;&gt;"",'01_Input_Raw_Products'!M350,IFERROR(_xlfn.XLOOKUP('01_Input_Raw_Products'!F350,'10_Master_Gem_Types'!A:A,'10_Master_Gem_Types'!K:K),""))</f>
        <v>0</v>
      </c>
      <c r="C350" s="9">
        <f>'01_Input_Raw_Products'!B350</f>
        <v>0</v>
      </c>
      <c r="D350" s="9">
        <f>IF(C350="","",TEXT(I350,"0.00")&amp;" Ct "&amp;IF('01_Input_Raw_Products'!F350&lt;&gt;"",'01_Input_Raw_Products'!F350,'01_Input_Raw_Products'!D350)&amp;" "&amp;'01_Input_Raw_Products'!I350)</f>
        <v>0</v>
      </c>
      <c r="E350" s="9">
        <f>IF(C350="","",D350&amp;" | GemPundit")</f>
        <v>0</v>
      </c>
      <c r="F350" s="9" cm="1">
        <f t="array" ref="F350">IF('01_Input_Raw_Products'!X350&lt;&gt;"",'01_Input_Raw_Products'!X350,IFERROR(_xlfn.XLOOKUP('01_Input_Raw_Products'!F350,'10_Master_Gem_Types'!A:A,'10_Master_Gem_Types'!O:O),LOWER(SUBSTITUTE(IF('01_Input_Raw_Products'!F350&lt;&gt;"",'01_Input_Raw_Products'!F350,'01_Input_Raw_Products'!D350)," ","-"))))</f>
        <v>0</v>
      </c>
      <c r="G350" s="9">
        <f>'01_Input_Raw_Products'!C350</f>
        <v>0</v>
      </c>
      <c r="H350" s="9" cm="1">
        <f t="array" ref="H350">IF('01_Input_Raw_Products'!H350&lt;&gt;"",'01_Input_Raw_Products'!H350,IFERROR(_xlfn.XLOOKUP('01_Input_Raw_Products'!F350,'10_Master_Gem_Types'!A:A,'10_Master_Gem_Types'!D:D),""))</f>
        <v>0</v>
      </c>
      <c r="I350" s="7">
        <f>IF('01_Input_Raw_Products'!N350&lt;&gt;"",'01_Input_Raw_Products'!N350,IF('01_Input_Raw_Products'!O350&lt;&gt;"",'01_Input_Raw_Products'!O350*0.91,""))</f>
        <v>0</v>
      </c>
      <c r="J350" s="9" cm="1">
        <f t="array" ref="J350">IFERROR(_xlfn.XLOOKUP('01_Input_Raw_Products'!F350,'10_Master_Gem_Types'!A:A,'10_Master_Gem_Types'!N:N),"")</f>
        <v>0</v>
      </c>
      <c r="K350" s="9" cm="1">
        <f t="array" ref="K350">IF('01_Input_Raw_Products'!J350&lt;&gt;"",'01_Input_Raw_Products'!J350,IFERROR(_xlfn.XLOOKUP('01_Input_Raw_Products'!F350,'10_Master_Gem_Types'!A:A,'10_Master_Gem_Types'!E:E),""))</f>
        <v>0</v>
      </c>
      <c r="L350" s="9">
        <f>'01_Input_Raw_Products'!P350</f>
        <v>0</v>
      </c>
      <c r="M350" s="9" cm="1">
        <f t="array" ref="M350">IFERROR(_xlfn.XLOOKUP('01_Input_Raw_Products'!K350,'12_Color_Mapping'!A:A,'12_Color_Mapping'!B:B),IFERROR(_xlfn.XLOOKUP('01_Input_Raw_Products'!F350,'10_Master_Gem_Types'!A:A,'10_Master_Gem_Types'!F:F),""))</f>
        <v>0</v>
      </c>
      <c r="N350" s="9">
        <f>IF(C350="","",IF('01_Input_Raw_Products'!F350&lt;&gt;"",'01_Input_Raw_Products'!F350,'01_Input_Raw_Products'!D350))</f>
        <v>0</v>
      </c>
      <c r="O350" s="9">
        <f>IF(C350="","","Catalog Automation")</f>
        <v>0</v>
      </c>
      <c r="P350" s="9">
        <f>'01_Input_Raw_Products'!U350</f>
        <v>0</v>
      </c>
      <c r="Q350" s="7">
        <f>IF('01_Input_Raw_Products'!O350&lt;&gt;"",'01_Input_Raw_Products'!O350,IF('01_Input_Raw_Products'!N350&lt;&gt;"",'01_Input_Raw_Products'!N350*1.1,""))</f>
        <v>0</v>
      </c>
      <c r="R350" s="9">
        <f>'01_Input_Raw_Products'!S350</f>
        <v>0</v>
      </c>
      <c r="S350" s="9" cm="1">
        <f t="array" ref="S350">IFERROR(_xlfn.XLOOKUP('01_Input_Raw_Products'!F350,'10_Master_Gem_Types'!A:A,'10_Master_Gem_Types'!H:H),"")</f>
        <v>0</v>
      </c>
      <c r="T350" s="8">
        <f>'01_Input_Raw_Products'!Q350</f>
        <v>0</v>
      </c>
      <c r="U350" s="8">
        <f>'01_Input_Raw_Products'!R350</f>
        <v>0</v>
      </c>
      <c r="V350" s="7">
        <f>I350</f>
        <v>0</v>
      </c>
      <c r="W350" s="9" cm="1">
        <f t="array" ref="W350">IF('01_Input_Raw_Products'!G350&lt;&gt;"",'01_Input_Raw_Products'!G350,IFERROR(_xlfn.XLOOKUP('01_Input_Raw_Products'!F350,'10_Master_Gem_Types'!A:A,'10_Master_Gem_Types'!L:L),""))</f>
        <v>0</v>
      </c>
      <c r="X350" s="9" cm="1">
        <f t="array" ref="X350">IFERROR(_xlfn.XLOOKUP('01_Input_Raw_Products'!F350,'10_Master_Gem_Types'!A:A,'10_Master_Gem_Types'!J:J),"")</f>
        <v>0</v>
      </c>
      <c r="Y350" s="9" cm="1">
        <f t="array" ref="Y350">IFERROR(_xlfn.XLOOKUP('01_Input_Raw_Products'!F350,'10_Master_Gem_Types'!A:A,'10_Master_Gem_Types'!I:I),"")</f>
        <v>0</v>
      </c>
      <c r="Z350" s="9" cm="1">
        <f t="array" ref="Z350">IFERROR(_xlfn.XLOOKUP('01_Input_Raw_Products'!L350,'13_Certification_Stickers'!A:A,'13_Certification_Stickers'!C:C),"")</f>
        <v>0</v>
      </c>
      <c r="AA350" s="9" cm="1">
        <f t="array" ref="AA350">IFERROR(_xlfn.XLOOKUP('01_Input_Raw_Products'!S350,'14_Shipping_Rules'!A:A,'14_Shipping_Rules'!B:B),"")</f>
        <v>0</v>
      </c>
      <c r="AB350" s="9" cm="1">
        <f t="array" ref="AB350">IFERROR(_xlfn.XLOOKUP('01_Input_Raw_Products'!D350,'16_Astro_Flags'!A:A,'16_Astro_Flags'!B:B),"")</f>
        <v>0</v>
      </c>
      <c r="AC350" s="9">
        <f>IF(C350="","","Catalog, Search")</f>
        <v>0</v>
      </c>
      <c r="AD350" s="9">
        <f>IF(C350="","",IF(OR(F350="",J350="",M350="",S350="",Y350=""),"Manual Review","Ready"))</f>
        <v>0</v>
      </c>
      <c r="AE350" s="9">
        <f>IF(C350="","",TEXTJOIN("; ",TRUE,IF(F350="","Missing url_key",""),IF(J350="","Missing classification",""),IF(M350="","Missing j_colour",""),IF(S350="","Missing hsn_code",""),IF(Y350="","Missing tax_class_id","")))</f>
        <v>0</v>
      </c>
    </row>
    <row r="351" spans="1:31">
      <c r="A351" s="9">
        <f>IF('01_Input_Raw_Products'!B351&lt;&gt;"",20,"")</f>
        <v>0</v>
      </c>
      <c r="B351" s="9" cm="1">
        <f t="array" ref="B351">IF('01_Input_Raw_Products'!M351&lt;&gt;"",'01_Input_Raw_Products'!M351,IFERROR(_xlfn.XLOOKUP('01_Input_Raw_Products'!F351,'10_Master_Gem_Types'!A:A,'10_Master_Gem_Types'!K:K),""))</f>
        <v>0</v>
      </c>
      <c r="C351" s="9">
        <f>'01_Input_Raw_Products'!B351</f>
        <v>0</v>
      </c>
      <c r="D351" s="9">
        <f>IF(C351="","",TEXT(I351,"0.00")&amp;" Ct "&amp;IF('01_Input_Raw_Products'!F351&lt;&gt;"",'01_Input_Raw_Products'!F351,'01_Input_Raw_Products'!D351)&amp;" "&amp;'01_Input_Raw_Products'!I351)</f>
        <v>0</v>
      </c>
      <c r="E351" s="9">
        <f>IF(C351="","",D351&amp;" | GemPundit")</f>
        <v>0</v>
      </c>
      <c r="F351" s="9" cm="1">
        <f t="array" ref="F351">IF('01_Input_Raw_Products'!X351&lt;&gt;"",'01_Input_Raw_Products'!X351,IFERROR(_xlfn.XLOOKUP('01_Input_Raw_Products'!F351,'10_Master_Gem_Types'!A:A,'10_Master_Gem_Types'!O:O),LOWER(SUBSTITUTE(IF('01_Input_Raw_Products'!F351&lt;&gt;"",'01_Input_Raw_Products'!F351,'01_Input_Raw_Products'!D351)," ","-"))))</f>
        <v>0</v>
      </c>
      <c r="G351" s="9">
        <f>'01_Input_Raw_Products'!C351</f>
        <v>0</v>
      </c>
      <c r="H351" s="9" cm="1">
        <f t="array" ref="H351">IF('01_Input_Raw_Products'!H351&lt;&gt;"",'01_Input_Raw_Products'!H351,IFERROR(_xlfn.XLOOKUP('01_Input_Raw_Products'!F351,'10_Master_Gem_Types'!A:A,'10_Master_Gem_Types'!D:D),""))</f>
        <v>0</v>
      </c>
      <c r="I351" s="7">
        <f>IF('01_Input_Raw_Products'!N351&lt;&gt;"",'01_Input_Raw_Products'!N351,IF('01_Input_Raw_Products'!O351&lt;&gt;"",'01_Input_Raw_Products'!O351*0.91,""))</f>
        <v>0</v>
      </c>
      <c r="J351" s="9" cm="1">
        <f t="array" ref="J351">IFERROR(_xlfn.XLOOKUP('01_Input_Raw_Products'!F351,'10_Master_Gem_Types'!A:A,'10_Master_Gem_Types'!N:N),"")</f>
        <v>0</v>
      </c>
      <c r="K351" s="9" cm="1">
        <f t="array" ref="K351">IF('01_Input_Raw_Products'!J351&lt;&gt;"",'01_Input_Raw_Products'!J351,IFERROR(_xlfn.XLOOKUP('01_Input_Raw_Products'!F351,'10_Master_Gem_Types'!A:A,'10_Master_Gem_Types'!E:E),""))</f>
        <v>0</v>
      </c>
      <c r="L351" s="9">
        <f>'01_Input_Raw_Products'!P351</f>
        <v>0</v>
      </c>
      <c r="M351" s="9" cm="1">
        <f t="array" ref="M351">IFERROR(_xlfn.XLOOKUP('01_Input_Raw_Products'!K351,'12_Color_Mapping'!A:A,'12_Color_Mapping'!B:B),IFERROR(_xlfn.XLOOKUP('01_Input_Raw_Products'!F351,'10_Master_Gem_Types'!A:A,'10_Master_Gem_Types'!F:F),""))</f>
        <v>0</v>
      </c>
      <c r="N351" s="9">
        <f>IF(C351="","",IF('01_Input_Raw_Products'!F351&lt;&gt;"",'01_Input_Raw_Products'!F351,'01_Input_Raw_Products'!D351))</f>
        <v>0</v>
      </c>
      <c r="O351" s="9">
        <f>IF(C351="","","Catalog Automation")</f>
        <v>0</v>
      </c>
      <c r="P351" s="9">
        <f>'01_Input_Raw_Products'!U351</f>
        <v>0</v>
      </c>
      <c r="Q351" s="7">
        <f>IF('01_Input_Raw_Products'!O351&lt;&gt;"",'01_Input_Raw_Products'!O351,IF('01_Input_Raw_Products'!N351&lt;&gt;"",'01_Input_Raw_Products'!N351*1.1,""))</f>
        <v>0</v>
      </c>
      <c r="R351" s="9">
        <f>'01_Input_Raw_Products'!S351</f>
        <v>0</v>
      </c>
      <c r="S351" s="9" cm="1">
        <f t="array" ref="S351">IFERROR(_xlfn.XLOOKUP('01_Input_Raw_Products'!F351,'10_Master_Gem_Types'!A:A,'10_Master_Gem_Types'!H:H),"")</f>
        <v>0</v>
      </c>
      <c r="T351" s="8">
        <f>'01_Input_Raw_Products'!Q351</f>
        <v>0</v>
      </c>
      <c r="U351" s="8">
        <f>'01_Input_Raw_Products'!R351</f>
        <v>0</v>
      </c>
      <c r="V351" s="7">
        <f>I351</f>
        <v>0</v>
      </c>
      <c r="W351" s="9" cm="1">
        <f t="array" ref="W351">IF('01_Input_Raw_Products'!G351&lt;&gt;"",'01_Input_Raw_Products'!G351,IFERROR(_xlfn.XLOOKUP('01_Input_Raw_Products'!F351,'10_Master_Gem_Types'!A:A,'10_Master_Gem_Types'!L:L),""))</f>
        <v>0</v>
      </c>
      <c r="X351" s="9" cm="1">
        <f t="array" ref="X351">IFERROR(_xlfn.XLOOKUP('01_Input_Raw_Products'!F351,'10_Master_Gem_Types'!A:A,'10_Master_Gem_Types'!J:J),"")</f>
        <v>0</v>
      </c>
      <c r="Y351" s="9" cm="1">
        <f t="array" ref="Y351">IFERROR(_xlfn.XLOOKUP('01_Input_Raw_Products'!F351,'10_Master_Gem_Types'!A:A,'10_Master_Gem_Types'!I:I),"")</f>
        <v>0</v>
      </c>
      <c r="Z351" s="9" cm="1">
        <f t="array" ref="Z351">IFERROR(_xlfn.XLOOKUP('01_Input_Raw_Products'!L351,'13_Certification_Stickers'!A:A,'13_Certification_Stickers'!C:C),"")</f>
        <v>0</v>
      </c>
      <c r="AA351" s="9" cm="1">
        <f t="array" ref="AA351">IFERROR(_xlfn.XLOOKUP('01_Input_Raw_Products'!S351,'14_Shipping_Rules'!A:A,'14_Shipping_Rules'!B:B),"")</f>
        <v>0</v>
      </c>
      <c r="AB351" s="9" cm="1">
        <f t="array" ref="AB351">IFERROR(_xlfn.XLOOKUP('01_Input_Raw_Products'!D351,'16_Astro_Flags'!A:A,'16_Astro_Flags'!B:B),"")</f>
        <v>0</v>
      </c>
      <c r="AC351" s="9">
        <f>IF(C351="","","Catalog, Search")</f>
        <v>0</v>
      </c>
      <c r="AD351" s="9">
        <f>IF(C351="","",IF(OR(F351="",J351="",M351="",S351="",Y351=""),"Manual Review","Ready"))</f>
        <v>0</v>
      </c>
      <c r="AE351" s="9">
        <f>IF(C351="","",TEXTJOIN("; ",TRUE,IF(F351="","Missing url_key",""),IF(J351="","Missing classification",""),IF(M351="","Missing j_colour",""),IF(S351="","Missing hsn_code",""),IF(Y351="","Missing tax_class_id","")))</f>
        <v>0</v>
      </c>
    </row>
    <row r="352" spans="1:31">
      <c r="A352" s="9">
        <f>IF('01_Input_Raw_Products'!B352&lt;&gt;"",20,"")</f>
        <v>0</v>
      </c>
      <c r="B352" s="9" cm="1">
        <f t="array" ref="B352">IF('01_Input_Raw_Products'!M352&lt;&gt;"",'01_Input_Raw_Products'!M352,IFERROR(_xlfn.XLOOKUP('01_Input_Raw_Products'!F352,'10_Master_Gem_Types'!A:A,'10_Master_Gem_Types'!K:K),""))</f>
        <v>0</v>
      </c>
      <c r="C352" s="9">
        <f>'01_Input_Raw_Products'!B352</f>
        <v>0</v>
      </c>
      <c r="D352" s="9">
        <f>IF(C352="","",TEXT(I352,"0.00")&amp;" Ct "&amp;IF('01_Input_Raw_Products'!F352&lt;&gt;"",'01_Input_Raw_Products'!F352,'01_Input_Raw_Products'!D352)&amp;" "&amp;'01_Input_Raw_Products'!I352)</f>
        <v>0</v>
      </c>
      <c r="E352" s="9">
        <f>IF(C352="","",D352&amp;" | GemPundit")</f>
        <v>0</v>
      </c>
      <c r="F352" s="9" cm="1">
        <f t="array" ref="F352">IF('01_Input_Raw_Products'!X352&lt;&gt;"",'01_Input_Raw_Products'!X352,IFERROR(_xlfn.XLOOKUP('01_Input_Raw_Products'!F352,'10_Master_Gem_Types'!A:A,'10_Master_Gem_Types'!O:O),LOWER(SUBSTITUTE(IF('01_Input_Raw_Products'!F352&lt;&gt;"",'01_Input_Raw_Products'!F352,'01_Input_Raw_Products'!D352)," ","-"))))</f>
        <v>0</v>
      </c>
      <c r="G352" s="9">
        <f>'01_Input_Raw_Products'!C352</f>
        <v>0</v>
      </c>
      <c r="H352" s="9" cm="1">
        <f t="array" ref="H352">IF('01_Input_Raw_Products'!H352&lt;&gt;"",'01_Input_Raw_Products'!H352,IFERROR(_xlfn.XLOOKUP('01_Input_Raw_Products'!F352,'10_Master_Gem_Types'!A:A,'10_Master_Gem_Types'!D:D),""))</f>
        <v>0</v>
      </c>
      <c r="I352" s="7">
        <f>IF('01_Input_Raw_Products'!N352&lt;&gt;"",'01_Input_Raw_Products'!N352,IF('01_Input_Raw_Products'!O352&lt;&gt;"",'01_Input_Raw_Products'!O352*0.91,""))</f>
        <v>0</v>
      </c>
      <c r="J352" s="9" cm="1">
        <f t="array" ref="J352">IFERROR(_xlfn.XLOOKUP('01_Input_Raw_Products'!F352,'10_Master_Gem_Types'!A:A,'10_Master_Gem_Types'!N:N),"")</f>
        <v>0</v>
      </c>
      <c r="K352" s="9" cm="1">
        <f t="array" ref="K352">IF('01_Input_Raw_Products'!J352&lt;&gt;"",'01_Input_Raw_Products'!J352,IFERROR(_xlfn.XLOOKUP('01_Input_Raw_Products'!F352,'10_Master_Gem_Types'!A:A,'10_Master_Gem_Types'!E:E),""))</f>
        <v>0</v>
      </c>
      <c r="L352" s="9">
        <f>'01_Input_Raw_Products'!P352</f>
        <v>0</v>
      </c>
      <c r="M352" s="9" cm="1">
        <f t="array" ref="M352">IFERROR(_xlfn.XLOOKUP('01_Input_Raw_Products'!K352,'12_Color_Mapping'!A:A,'12_Color_Mapping'!B:B),IFERROR(_xlfn.XLOOKUP('01_Input_Raw_Products'!F352,'10_Master_Gem_Types'!A:A,'10_Master_Gem_Types'!F:F),""))</f>
        <v>0</v>
      </c>
      <c r="N352" s="9">
        <f>IF(C352="","",IF('01_Input_Raw_Products'!F352&lt;&gt;"",'01_Input_Raw_Products'!F352,'01_Input_Raw_Products'!D352))</f>
        <v>0</v>
      </c>
      <c r="O352" s="9">
        <f>IF(C352="","","Catalog Automation")</f>
        <v>0</v>
      </c>
      <c r="P352" s="9">
        <f>'01_Input_Raw_Products'!U352</f>
        <v>0</v>
      </c>
      <c r="Q352" s="7">
        <f>IF('01_Input_Raw_Products'!O352&lt;&gt;"",'01_Input_Raw_Products'!O352,IF('01_Input_Raw_Products'!N352&lt;&gt;"",'01_Input_Raw_Products'!N352*1.1,""))</f>
        <v>0</v>
      </c>
      <c r="R352" s="9">
        <f>'01_Input_Raw_Products'!S352</f>
        <v>0</v>
      </c>
      <c r="S352" s="9" cm="1">
        <f t="array" ref="S352">IFERROR(_xlfn.XLOOKUP('01_Input_Raw_Products'!F352,'10_Master_Gem_Types'!A:A,'10_Master_Gem_Types'!H:H),"")</f>
        <v>0</v>
      </c>
      <c r="T352" s="8">
        <f>'01_Input_Raw_Products'!Q352</f>
        <v>0</v>
      </c>
      <c r="U352" s="8">
        <f>'01_Input_Raw_Products'!R352</f>
        <v>0</v>
      </c>
      <c r="V352" s="7">
        <f>I352</f>
        <v>0</v>
      </c>
      <c r="W352" s="9" cm="1">
        <f t="array" ref="W352">IF('01_Input_Raw_Products'!G352&lt;&gt;"",'01_Input_Raw_Products'!G352,IFERROR(_xlfn.XLOOKUP('01_Input_Raw_Products'!F352,'10_Master_Gem_Types'!A:A,'10_Master_Gem_Types'!L:L),""))</f>
        <v>0</v>
      </c>
      <c r="X352" s="9" cm="1">
        <f t="array" ref="X352">IFERROR(_xlfn.XLOOKUP('01_Input_Raw_Products'!F352,'10_Master_Gem_Types'!A:A,'10_Master_Gem_Types'!J:J),"")</f>
        <v>0</v>
      </c>
      <c r="Y352" s="9" cm="1">
        <f t="array" ref="Y352">IFERROR(_xlfn.XLOOKUP('01_Input_Raw_Products'!F352,'10_Master_Gem_Types'!A:A,'10_Master_Gem_Types'!I:I),"")</f>
        <v>0</v>
      </c>
      <c r="Z352" s="9" cm="1">
        <f t="array" ref="Z352">IFERROR(_xlfn.XLOOKUP('01_Input_Raw_Products'!L352,'13_Certification_Stickers'!A:A,'13_Certification_Stickers'!C:C),"")</f>
        <v>0</v>
      </c>
      <c r="AA352" s="9" cm="1">
        <f t="array" ref="AA352">IFERROR(_xlfn.XLOOKUP('01_Input_Raw_Products'!S352,'14_Shipping_Rules'!A:A,'14_Shipping_Rules'!B:B),"")</f>
        <v>0</v>
      </c>
      <c r="AB352" s="9" cm="1">
        <f t="array" ref="AB352">IFERROR(_xlfn.XLOOKUP('01_Input_Raw_Products'!D352,'16_Astro_Flags'!A:A,'16_Astro_Flags'!B:B),"")</f>
        <v>0</v>
      </c>
      <c r="AC352" s="9">
        <f>IF(C352="","","Catalog, Search")</f>
        <v>0</v>
      </c>
      <c r="AD352" s="9">
        <f>IF(C352="","",IF(OR(F352="",J352="",M352="",S352="",Y352=""),"Manual Review","Ready"))</f>
        <v>0</v>
      </c>
      <c r="AE352" s="9">
        <f>IF(C352="","",TEXTJOIN("; ",TRUE,IF(F352="","Missing url_key",""),IF(J352="","Missing classification",""),IF(M352="","Missing j_colour",""),IF(S352="","Missing hsn_code",""),IF(Y352="","Missing tax_class_id","")))</f>
        <v>0</v>
      </c>
    </row>
    <row r="353" spans="1:31">
      <c r="A353" s="9">
        <f>IF('01_Input_Raw_Products'!B353&lt;&gt;"",20,"")</f>
        <v>0</v>
      </c>
      <c r="B353" s="9" cm="1">
        <f t="array" ref="B353">IF('01_Input_Raw_Products'!M353&lt;&gt;"",'01_Input_Raw_Products'!M353,IFERROR(_xlfn.XLOOKUP('01_Input_Raw_Products'!F353,'10_Master_Gem_Types'!A:A,'10_Master_Gem_Types'!K:K),""))</f>
        <v>0</v>
      </c>
      <c r="C353" s="9">
        <f>'01_Input_Raw_Products'!B353</f>
        <v>0</v>
      </c>
      <c r="D353" s="9">
        <f>IF(C353="","",TEXT(I353,"0.00")&amp;" Ct "&amp;IF('01_Input_Raw_Products'!F353&lt;&gt;"",'01_Input_Raw_Products'!F353,'01_Input_Raw_Products'!D353)&amp;" "&amp;'01_Input_Raw_Products'!I353)</f>
        <v>0</v>
      </c>
      <c r="E353" s="9">
        <f>IF(C353="","",D353&amp;" | GemPundit")</f>
        <v>0</v>
      </c>
      <c r="F353" s="9" cm="1">
        <f t="array" ref="F353">IF('01_Input_Raw_Products'!X353&lt;&gt;"",'01_Input_Raw_Products'!X353,IFERROR(_xlfn.XLOOKUP('01_Input_Raw_Products'!F353,'10_Master_Gem_Types'!A:A,'10_Master_Gem_Types'!O:O),LOWER(SUBSTITUTE(IF('01_Input_Raw_Products'!F353&lt;&gt;"",'01_Input_Raw_Products'!F353,'01_Input_Raw_Products'!D353)," ","-"))))</f>
        <v>0</v>
      </c>
      <c r="G353" s="9">
        <f>'01_Input_Raw_Products'!C353</f>
        <v>0</v>
      </c>
      <c r="H353" s="9" cm="1">
        <f t="array" ref="H353">IF('01_Input_Raw_Products'!H353&lt;&gt;"",'01_Input_Raw_Products'!H353,IFERROR(_xlfn.XLOOKUP('01_Input_Raw_Products'!F353,'10_Master_Gem_Types'!A:A,'10_Master_Gem_Types'!D:D),""))</f>
        <v>0</v>
      </c>
      <c r="I353" s="7">
        <f>IF('01_Input_Raw_Products'!N353&lt;&gt;"",'01_Input_Raw_Products'!N353,IF('01_Input_Raw_Products'!O353&lt;&gt;"",'01_Input_Raw_Products'!O353*0.91,""))</f>
        <v>0</v>
      </c>
      <c r="J353" s="9" cm="1">
        <f t="array" ref="J353">IFERROR(_xlfn.XLOOKUP('01_Input_Raw_Products'!F353,'10_Master_Gem_Types'!A:A,'10_Master_Gem_Types'!N:N),"")</f>
        <v>0</v>
      </c>
      <c r="K353" s="9" cm="1">
        <f t="array" ref="K353">IF('01_Input_Raw_Products'!J353&lt;&gt;"",'01_Input_Raw_Products'!J353,IFERROR(_xlfn.XLOOKUP('01_Input_Raw_Products'!F353,'10_Master_Gem_Types'!A:A,'10_Master_Gem_Types'!E:E),""))</f>
        <v>0</v>
      </c>
      <c r="L353" s="9">
        <f>'01_Input_Raw_Products'!P353</f>
        <v>0</v>
      </c>
      <c r="M353" s="9" cm="1">
        <f t="array" ref="M353">IFERROR(_xlfn.XLOOKUP('01_Input_Raw_Products'!K353,'12_Color_Mapping'!A:A,'12_Color_Mapping'!B:B),IFERROR(_xlfn.XLOOKUP('01_Input_Raw_Products'!F353,'10_Master_Gem_Types'!A:A,'10_Master_Gem_Types'!F:F),""))</f>
        <v>0</v>
      </c>
      <c r="N353" s="9">
        <f>IF(C353="","",IF('01_Input_Raw_Products'!F353&lt;&gt;"",'01_Input_Raw_Products'!F353,'01_Input_Raw_Products'!D353))</f>
        <v>0</v>
      </c>
      <c r="O353" s="9">
        <f>IF(C353="","","Catalog Automation")</f>
        <v>0</v>
      </c>
      <c r="P353" s="9">
        <f>'01_Input_Raw_Products'!U353</f>
        <v>0</v>
      </c>
      <c r="Q353" s="7">
        <f>IF('01_Input_Raw_Products'!O353&lt;&gt;"",'01_Input_Raw_Products'!O353,IF('01_Input_Raw_Products'!N353&lt;&gt;"",'01_Input_Raw_Products'!N353*1.1,""))</f>
        <v>0</v>
      </c>
      <c r="R353" s="9">
        <f>'01_Input_Raw_Products'!S353</f>
        <v>0</v>
      </c>
      <c r="S353" s="9" cm="1">
        <f t="array" ref="S353">IFERROR(_xlfn.XLOOKUP('01_Input_Raw_Products'!F353,'10_Master_Gem_Types'!A:A,'10_Master_Gem_Types'!H:H),"")</f>
        <v>0</v>
      </c>
      <c r="T353" s="8">
        <f>'01_Input_Raw_Products'!Q353</f>
        <v>0</v>
      </c>
      <c r="U353" s="8">
        <f>'01_Input_Raw_Products'!R353</f>
        <v>0</v>
      </c>
      <c r="V353" s="7">
        <f>I353</f>
        <v>0</v>
      </c>
      <c r="W353" s="9" cm="1">
        <f t="array" ref="W353">IF('01_Input_Raw_Products'!G353&lt;&gt;"",'01_Input_Raw_Products'!G353,IFERROR(_xlfn.XLOOKUP('01_Input_Raw_Products'!F353,'10_Master_Gem_Types'!A:A,'10_Master_Gem_Types'!L:L),""))</f>
        <v>0</v>
      </c>
      <c r="X353" s="9" cm="1">
        <f t="array" ref="X353">IFERROR(_xlfn.XLOOKUP('01_Input_Raw_Products'!F353,'10_Master_Gem_Types'!A:A,'10_Master_Gem_Types'!J:J),"")</f>
        <v>0</v>
      </c>
      <c r="Y353" s="9" cm="1">
        <f t="array" ref="Y353">IFERROR(_xlfn.XLOOKUP('01_Input_Raw_Products'!F353,'10_Master_Gem_Types'!A:A,'10_Master_Gem_Types'!I:I),"")</f>
        <v>0</v>
      </c>
      <c r="Z353" s="9" cm="1">
        <f t="array" ref="Z353">IFERROR(_xlfn.XLOOKUP('01_Input_Raw_Products'!L353,'13_Certification_Stickers'!A:A,'13_Certification_Stickers'!C:C),"")</f>
        <v>0</v>
      </c>
      <c r="AA353" s="9" cm="1">
        <f t="array" ref="AA353">IFERROR(_xlfn.XLOOKUP('01_Input_Raw_Products'!S353,'14_Shipping_Rules'!A:A,'14_Shipping_Rules'!B:B),"")</f>
        <v>0</v>
      </c>
      <c r="AB353" s="9" cm="1">
        <f t="array" ref="AB353">IFERROR(_xlfn.XLOOKUP('01_Input_Raw_Products'!D353,'16_Astro_Flags'!A:A,'16_Astro_Flags'!B:B),"")</f>
        <v>0</v>
      </c>
      <c r="AC353" s="9">
        <f>IF(C353="","","Catalog, Search")</f>
        <v>0</v>
      </c>
      <c r="AD353" s="9">
        <f>IF(C353="","",IF(OR(F353="",J353="",M353="",S353="",Y353=""),"Manual Review","Ready"))</f>
        <v>0</v>
      </c>
      <c r="AE353" s="9">
        <f>IF(C353="","",TEXTJOIN("; ",TRUE,IF(F353="","Missing url_key",""),IF(J353="","Missing classification",""),IF(M353="","Missing j_colour",""),IF(S353="","Missing hsn_code",""),IF(Y353="","Missing tax_class_id","")))</f>
        <v>0</v>
      </c>
    </row>
    <row r="354" spans="1:31">
      <c r="A354" s="9">
        <f>IF('01_Input_Raw_Products'!B354&lt;&gt;"",20,"")</f>
        <v>0</v>
      </c>
      <c r="B354" s="9" cm="1">
        <f t="array" ref="B354">IF('01_Input_Raw_Products'!M354&lt;&gt;"",'01_Input_Raw_Products'!M354,IFERROR(_xlfn.XLOOKUP('01_Input_Raw_Products'!F354,'10_Master_Gem_Types'!A:A,'10_Master_Gem_Types'!K:K),""))</f>
        <v>0</v>
      </c>
      <c r="C354" s="9">
        <f>'01_Input_Raw_Products'!B354</f>
        <v>0</v>
      </c>
      <c r="D354" s="9">
        <f>IF(C354="","",TEXT(I354,"0.00")&amp;" Ct "&amp;IF('01_Input_Raw_Products'!F354&lt;&gt;"",'01_Input_Raw_Products'!F354,'01_Input_Raw_Products'!D354)&amp;" "&amp;'01_Input_Raw_Products'!I354)</f>
        <v>0</v>
      </c>
      <c r="E354" s="9">
        <f>IF(C354="","",D354&amp;" | GemPundit")</f>
        <v>0</v>
      </c>
      <c r="F354" s="9" cm="1">
        <f t="array" ref="F354">IF('01_Input_Raw_Products'!X354&lt;&gt;"",'01_Input_Raw_Products'!X354,IFERROR(_xlfn.XLOOKUP('01_Input_Raw_Products'!F354,'10_Master_Gem_Types'!A:A,'10_Master_Gem_Types'!O:O),LOWER(SUBSTITUTE(IF('01_Input_Raw_Products'!F354&lt;&gt;"",'01_Input_Raw_Products'!F354,'01_Input_Raw_Products'!D354)," ","-"))))</f>
        <v>0</v>
      </c>
      <c r="G354" s="9">
        <f>'01_Input_Raw_Products'!C354</f>
        <v>0</v>
      </c>
      <c r="H354" s="9" cm="1">
        <f t="array" ref="H354">IF('01_Input_Raw_Products'!H354&lt;&gt;"",'01_Input_Raw_Products'!H354,IFERROR(_xlfn.XLOOKUP('01_Input_Raw_Products'!F354,'10_Master_Gem_Types'!A:A,'10_Master_Gem_Types'!D:D),""))</f>
        <v>0</v>
      </c>
      <c r="I354" s="7">
        <f>IF('01_Input_Raw_Products'!N354&lt;&gt;"",'01_Input_Raw_Products'!N354,IF('01_Input_Raw_Products'!O354&lt;&gt;"",'01_Input_Raw_Products'!O354*0.91,""))</f>
        <v>0</v>
      </c>
      <c r="J354" s="9" cm="1">
        <f t="array" ref="J354">IFERROR(_xlfn.XLOOKUP('01_Input_Raw_Products'!F354,'10_Master_Gem_Types'!A:A,'10_Master_Gem_Types'!N:N),"")</f>
        <v>0</v>
      </c>
      <c r="K354" s="9" cm="1">
        <f t="array" ref="K354">IF('01_Input_Raw_Products'!J354&lt;&gt;"",'01_Input_Raw_Products'!J354,IFERROR(_xlfn.XLOOKUP('01_Input_Raw_Products'!F354,'10_Master_Gem_Types'!A:A,'10_Master_Gem_Types'!E:E),""))</f>
        <v>0</v>
      </c>
      <c r="L354" s="9">
        <f>'01_Input_Raw_Products'!P354</f>
        <v>0</v>
      </c>
      <c r="M354" s="9" cm="1">
        <f t="array" ref="M354">IFERROR(_xlfn.XLOOKUP('01_Input_Raw_Products'!K354,'12_Color_Mapping'!A:A,'12_Color_Mapping'!B:B),IFERROR(_xlfn.XLOOKUP('01_Input_Raw_Products'!F354,'10_Master_Gem_Types'!A:A,'10_Master_Gem_Types'!F:F),""))</f>
        <v>0</v>
      </c>
      <c r="N354" s="9">
        <f>IF(C354="","",IF('01_Input_Raw_Products'!F354&lt;&gt;"",'01_Input_Raw_Products'!F354,'01_Input_Raw_Products'!D354))</f>
        <v>0</v>
      </c>
      <c r="O354" s="9">
        <f>IF(C354="","","Catalog Automation")</f>
        <v>0</v>
      </c>
      <c r="P354" s="9">
        <f>'01_Input_Raw_Products'!U354</f>
        <v>0</v>
      </c>
      <c r="Q354" s="7">
        <f>IF('01_Input_Raw_Products'!O354&lt;&gt;"",'01_Input_Raw_Products'!O354,IF('01_Input_Raw_Products'!N354&lt;&gt;"",'01_Input_Raw_Products'!N354*1.1,""))</f>
        <v>0</v>
      </c>
      <c r="R354" s="9">
        <f>'01_Input_Raw_Products'!S354</f>
        <v>0</v>
      </c>
      <c r="S354" s="9" cm="1">
        <f t="array" ref="S354">IFERROR(_xlfn.XLOOKUP('01_Input_Raw_Products'!F354,'10_Master_Gem_Types'!A:A,'10_Master_Gem_Types'!H:H),"")</f>
        <v>0</v>
      </c>
      <c r="T354" s="8">
        <f>'01_Input_Raw_Products'!Q354</f>
        <v>0</v>
      </c>
      <c r="U354" s="8">
        <f>'01_Input_Raw_Products'!R354</f>
        <v>0</v>
      </c>
      <c r="V354" s="7">
        <f>I354</f>
        <v>0</v>
      </c>
      <c r="W354" s="9" cm="1">
        <f t="array" ref="W354">IF('01_Input_Raw_Products'!G354&lt;&gt;"",'01_Input_Raw_Products'!G354,IFERROR(_xlfn.XLOOKUP('01_Input_Raw_Products'!F354,'10_Master_Gem_Types'!A:A,'10_Master_Gem_Types'!L:L),""))</f>
        <v>0</v>
      </c>
      <c r="X354" s="9" cm="1">
        <f t="array" ref="X354">IFERROR(_xlfn.XLOOKUP('01_Input_Raw_Products'!F354,'10_Master_Gem_Types'!A:A,'10_Master_Gem_Types'!J:J),"")</f>
        <v>0</v>
      </c>
      <c r="Y354" s="9" cm="1">
        <f t="array" ref="Y354">IFERROR(_xlfn.XLOOKUP('01_Input_Raw_Products'!F354,'10_Master_Gem_Types'!A:A,'10_Master_Gem_Types'!I:I),"")</f>
        <v>0</v>
      </c>
      <c r="Z354" s="9" cm="1">
        <f t="array" ref="Z354">IFERROR(_xlfn.XLOOKUP('01_Input_Raw_Products'!L354,'13_Certification_Stickers'!A:A,'13_Certification_Stickers'!C:C),"")</f>
        <v>0</v>
      </c>
      <c r="AA354" s="9" cm="1">
        <f t="array" ref="AA354">IFERROR(_xlfn.XLOOKUP('01_Input_Raw_Products'!S354,'14_Shipping_Rules'!A:A,'14_Shipping_Rules'!B:B),"")</f>
        <v>0</v>
      </c>
      <c r="AB354" s="9" cm="1">
        <f t="array" ref="AB354">IFERROR(_xlfn.XLOOKUP('01_Input_Raw_Products'!D354,'16_Astro_Flags'!A:A,'16_Astro_Flags'!B:B),"")</f>
        <v>0</v>
      </c>
      <c r="AC354" s="9">
        <f>IF(C354="","","Catalog, Search")</f>
        <v>0</v>
      </c>
      <c r="AD354" s="9">
        <f>IF(C354="","",IF(OR(F354="",J354="",M354="",S354="",Y354=""),"Manual Review","Ready"))</f>
        <v>0</v>
      </c>
      <c r="AE354" s="9">
        <f>IF(C354="","",TEXTJOIN("; ",TRUE,IF(F354="","Missing url_key",""),IF(J354="","Missing classification",""),IF(M354="","Missing j_colour",""),IF(S354="","Missing hsn_code",""),IF(Y354="","Missing tax_class_id","")))</f>
        <v>0</v>
      </c>
    </row>
    <row r="355" spans="1:31">
      <c r="A355" s="9">
        <f>IF('01_Input_Raw_Products'!B355&lt;&gt;"",20,"")</f>
        <v>0</v>
      </c>
      <c r="B355" s="9" cm="1">
        <f t="array" ref="B355">IF('01_Input_Raw_Products'!M355&lt;&gt;"",'01_Input_Raw_Products'!M355,IFERROR(_xlfn.XLOOKUP('01_Input_Raw_Products'!F355,'10_Master_Gem_Types'!A:A,'10_Master_Gem_Types'!K:K),""))</f>
        <v>0</v>
      </c>
      <c r="C355" s="9">
        <f>'01_Input_Raw_Products'!B355</f>
        <v>0</v>
      </c>
      <c r="D355" s="9">
        <f>IF(C355="","",TEXT(I355,"0.00")&amp;" Ct "&amp;IF('01_Input_Raw_Products'!F355&lt;&gt;"",'01_Input_Raw_Products'!F355,'01_Input_Raw_Products'!D355)&amp;" "&amp;'01_Input_Raw_Products'!I355)</f>
        <v>0</v>
      </c>
      <c r="E355" s="9">
        <f>IF(C355="","",D355&amp;" | GemPundit")</f>
        <v>0</v>
      </c>
      <c r="F355" s="9" cm="1">
        <f t="array" ref="F355">IF('01_Input_Raw_Products'!X355&lt;&gt;"",'01_Input_Raw_Products'!X355,IFERROR(_xlfn.XLOOKUP('01_Input_Raw_Products'!F355,'10_Master_Gem_Types'!A:A,'10_Master_Gem_Types'!O:O),LOWER(SUBSTITUTE(IF('01_Input_Raw_Products'!F355&lt;&gt;"",'01_Input_Raw_Products'!F355,'01_Input_Raw_Products'!D355)," ","-"))))</f>
        <v>0</v>
      </c>
      <c r="G355" s="9">
        <f>'01_Input_Raw_Products'!C355</f>
        <v>0</v>
      </c>
      <c r="H355" s="9" cm="1">
        <f t="array" ref="H355">IF('01_Input_Raw_Products'!H355&lt;&gt;"",'01_Input_Raw_Products'!H355,IFERROR(_xlfn.XLOOKUP('01_Input_Raw_Products'!F355,'10_Master_Gem_Types'!A:A,'10_Master_Gem_Types'!D:D),""))</f>
        <v>0</v>
      </c>
      <c r="I355" s="7">
        <f>IF('01_Input_Raw_Products'!N355&lt;&gt;"",'01_Input_Raw_Products'!N355,IF('01_Input_Raw_Products'!O355&lt;&gt;"",'01_Input_Raw_Products'!O355*0.91,""))</f>
        <v>0</v>
      </c>
      <c r="J355" s="9" cm="1">
        <f t="array" ref="J355">IFERROR(_xlfn.XLOOKUP('01_Input_Raw_Products'!F355,'10_Master_Gem_Types'!A:A,'10_Master_Gem_Types'!N:N),"")</f>
        <v>0</v>
      </c>
      <c r="K355" s="9" cm="1">
        <f t="array" ref="K355">IF('01_Input_Raw_Products'!J355&lt;&gt;"",'01_Input_Raw_Products'!J355,IFERROR(_xlfn.XLOOKUP('01_Input_Raw_Products'!F355,'10_Master_Gem_Types'!A:A,'10_Master_Gem_Types'!E:E),""))</f>
        <v>0</v>
      </c>
      <c r="L355" s="9">
        <f>'01_Input_Raw_Products'!P355</f>
        <v>0</v>
      </c>
      <c r="M355" s="9" cm="1">
        <f t="array" ref="M355">IFERROR(_xlfn.XLOOKUP('01_Input_Raw_Products'!K355,'12_Color_Mapping'!A:A,'12_Color_Mapping'!B:B),IFERROR(_xlfn.XLOOKUP('01_Input_Raw_Products'!F355,'10_Master_Gem_Types'!A:A,'10_Master_Gem_Types'!F:F),""))</f>
        <v>0</v>
      </c>
      <c r="N355" s="9">
        <f>IF(C355="","",IF('01_Input_Raw_Products'!F355&lt;&gt;"",'01_Input_Raw_Products'!F355,'01_Input_Raw_Products'!D355))</f>
        <v>0</v>
      </c>
      <c r="O355" s="9">
        <f>IF(C355="","","Catalog Automation")</f>
        <v>0</v>
      </c>
      <c r="P355" s="9">
        <f>'01_Input_Raw_Products'!U355</f>
        <v>0</v>
      </c>
      <c r="Q355" s="7">
        <f>IF('01_Input_Raw_Products'!O355&lt;&gt;"",'01_Input_Raw_Products'!O355,IF('01_Input_Raw_Products'!N355&lt;&gt;"",'01_Input_Raw_Products'!N355*1.1,""))</f>
        <v>0</v>
      </c>
      <c r="R355" s="9">
        <f>'01_Input_Raw_Products'!S355</f>
        <v>0</v>
      </c>
      <c r="S355" s="9" cm="1">
        <f t="array" ref="S355">IFERROR(_xlfn.XLOOKUP('01_Input_Raw_Products'!F355,'10_Master_Gem_Types'!A:A,'10_Master_Gem_Types'!H:H),"")</f>
        <v>0</v>
      </c>
      <c r="T355" s="8">
        <f>'01_Input_Raw_Products'!Q355</f>
        <v>0</v>
      </c>
      <c r="U355" s="8">
        <f>'01_Input_Raw_Products'!R355</f>
        <v>0</v>
      </c>
      <c r="V355" s="7">
        <f>I355</f>
        <v>0</v>
      </c>
      <c r="W355" s="9" cm="1">
        <f t="array" ref="W355">IF('01_Input_Raw_Products'!G355&lt;&gt;"",'01_Input_Raw_Products'!G355,IFERROR(_xlfn.XLOOKUP('01_Input_Raw_Products'!F355,'10_Master_Gem_Types'!A:A,'10_Master_Gem_Types'!L:L),""))</f>
        <v>0</v>
      </c>
      <c r="X355" s="9" cm="1">
        <f t="array" ref="X355">IFERROR(_xlfn.XLOOKUP('01_Input_Raw_Products'!F355,'10_Master_Gem_Types'!A:A,'10_Master_Gem_Types'!J:J),"")</f>
        <v>0</v>
      </c>
      <c r="Y355" s="9" cm="1">
        <f t="array" ref="Y355">IFERROR(_xlfn.XLOOKUP('01_Input_Raw_Products'!F355,'10_Master_Gem_Types'!A:A,'10_Master_Gem_Types'!I:I),"")</f>
        <v>0</v>
      </c>
      <c r="Z355" s="9" cm="1">
        <f t="array" ref="Z355">IFERROR(_xlfn.XLOOKUP('01_Input_Raw_Products'!L355,'13_Certification_Stickers'!A:A,'13_Certification_Stickers'!C:C),"")</f>
        <v>0</v>
      </c>
      <c r="AA355" s="9" cm="1">
        <f t="array" ref="AA355">IFERROR(_xlfn.XLOOKUP('01_Input_Raw_Products'!S355,'14_Shipping_Rules'!A:A,'14_Shipping_Rules'!B:B),"")</f>
        <v>0</v>
      </c>
      <c r="AB355" s="9" cm="1">
        <f t="array" ref="AB355">IFERROR(_xlfn.XLOOKUP('01_Input_Raw_Products'!D355,'16_Astro_Flags'!A:A,'16_Astro_Flags'!B:B),"")</f>
        <v>0</v>
      </c>
      <c r="AC355" s="9">
        <f>IF(C355="","","Catalog, Search")</f>
        <v>0</v>
      </c>
      <c r="AD355" s="9">
        <f>IF(C355="","",IF(OR(F355="",J355="",M355="",S355="",Y355=""),"Manual Review","Ready"))</f>
        <v>0</v>
      </c>
      <c r="AE355" s="9">
        <f>IF(C355="","",TEXTJOIN("; ",TRUE,IF(F355="","Missing url_key",""),IF(J355="","Missing classification",""),IF(M355="","Missing j_colour",""),IF(S355="","Missing hsn_code",""),IF(Y355="","Missing tax_class_id","")))</f>
        <v>0</v>
      </c>
    </row>
    <row r="356" spans="1:31">
      <c r="A356" s="9">
        <f>IF('01_Input_Raw_Products'!B356&lt;&gt;"",20,"")</f>
        <v>0</v>
      </c>
      <c r="B356" s="9" cm="1">
        <f t="array" ref="B356">IF('01_Input_Raw_Products'!M356&lt;&gt;"",'01_Input_Raw_Products'!M356,IFERROR(_xlfn.XLOOKUP('01_Input_Raw_Products'!F356,'10_Master_Gem_Types'!A:A,'10_Master_Gem_Types'!K:K),""))</f>
        <v>0</v>
      </c>
      <c r="C356" s="9">
        <f>'01_Input_Raw_Products'!B356</f>
        <v>0</v>
      </c>
      <c r="D356" s="9">
        <f>IF(C356="","",TEXT(I356,"0.00")&amp;" Ct "&amp;IF('01_Input_Raw_Products'!F356&lt;&gt;"",'01_Input_Raw_Products'!F356,'01_Input_Raw_Products'!D356)&amp;" "&amp;'01_Input_Raw_Products'!I356)</f>
        <v>0</v>
      </c>
      <c r="E356" s="9">
        <f>IF(C356="","",D356&amp;" | GemPundit")</f>
        <v>0</v>
      </c>
      <c r="F356" s="9" cm="1">
        <f t="array" ref="F356">IF('01_Input_Raw_Products'!X356&lt;&gt;"",'01_Input_Raw_Products'!X356,IFERROR(_xlfn.XLOOKUP('01_Input_Raw_Products'!F356,'10_Master_Gem_Types'!A:A,'10_Master_Gem_Types'!O:O),LOWER(SUBSTITUTE(IF('01_Input_Raw_Products'!F356&lt;&gt;"",'01_Input_Raw_Products'!F356,'01_Input_Raw_Products'!D356)," ","-"))))</f>
        <v>0</v>
      </c>
      <c r="G356" s="9">
        <f>'01_Input_Raw_Products'!C356</f>
        <v>0</v>
      </c>
      <c r="H356" s="9" cm="1">
        <f t="array" ref="H356">IF('01_Input_Raw_Products'!H356&lt;&gt;"",'01_Input_Raw_Products'!H356,IFERROR(_xlfn.XLOOKUP('01_Input_Raw_Products'!F356,'10_Master_Gem_Types'!A:A,'10_Master_Gem_Types'!D:D),""))</f>
        <v>0</v>
      </c>
      <c r="I356" s="7">
        <f>IF('01_Input_Raw_Products'!N356&lt;&gt;"",'01_Input_Raw_Products'!N356,IF('01_Input_Raw_Products'!O356&lt;&gt;"",'01_Input_Raw_Products'!O356*0.91,""))</f>
        <v>0</v>
      </c>
      <c r="J356" s="9" cm="1">
        <f t="array" ref="J356">IFERROR(_xlfn.XLOOKUP('01_Input_Raw_Products'!F356,'10_Master_Gem_Types'!A:A,'10_Master_Gem_Types'!N:N),"")</f>
        <v>0</v>
      </c>
      <c r="K356" s="9" cm="1">
        <f t="array" ref="K356">IF('01_Input_Raw_Products'!J356&lt;&gt;"",'01_Input_Raw_Products'!J356,IFERROR(_xlfn.XLOOKUP('01_Input_Raw_Products'!F356,'10_Master_Gem_Types'!A:A,'10_Master_Gem_Types'!E:E),""))</f>
        <v>0</v>
      </c>
      <c r="L356" s="9">
        <f>'01_Input_Raw_Products'!P356</f>
        <v>0</v>
      </c>
      <c r="M356" s="9" cm="1">
        <f t="array" ref="M356">IFERROR(_xlfn.XLOOKUP('01_Input_Raw_Products'!K356,'12_Color_Mapping'!A:A,'12_Color_Mapping'!B:B),IFERROR(_xlfn.XLOOKUP('01_Input_Raw_Products'!F356,'10_Master_Gem_Types'!A:A,'10_Master_Gem_Types'!F:F),""))</f>
        <v>0</v>
      </c>
      <c r="N356" s="9">
        <f>IF(C356="","",IF('01_Input_Raw_Products'!F356&lt;&gt;"",'01_Input_Raw_Products'!F356,'01_Input_Raw_Products'!D356))</f>
        <v>0</v>
      </c>
      <c r="O356" s="9">
        <f>IF(C356="","","Catalog Automation")</f>
        <v>0</v>
      </c>
      <c r="P356" s="9">
        <f>'01_Input_Raw_Products'!U356</f>
        <v>0</v>
      </c>
      <c r="Q356" s="7">
        <f>IF('01_Input_Raw_Products'!O356&lt;&gt;"",'01_Input_Raw_Products'!O356,IF('01_Input_Raw_Products'!N356&lt;&gt;"",'01_Input_Raw_Products'!N356*1.1,""))</f>
        <v>0</v>
      </c>
      <c r="R356" s="9">
        <f>'01_Input_Raw_Products'!S356</f>
        <v>0</v>
      </c>
      <c r="S356" s="9" cm="1">
        <f t="array" ref="S356">IFERROR(_xlfn.XLOOKUP('01_Input_Raw_Products'!F356,'10_Master_Gem_Types'!A:A,'10_Master_Gem_Types'!H:H),"")</f>
        <v>0</v>
      </c>
      <c r="T356" s="8">
        <f>'01_Input_Raw_Products'!Q356</f>
        <v>0</v>
      </c>
      <c r="U356" s="8">
        <f>'01_Input_Raw_Products'!R356</f>
        <v>0</v>
      </c>
      <c r="V356" s="7">
        <f>I356</f>
        <v>0</v>
      </c>
      <c r="W356" s="9" cm="1">
        <f t="array" ref="W356">IF('01_Input_Raw_Products'!G356&lt;&gt;"",'01_Input_Raw_Products'!G356,IFERROR(_xlfn.XLOOKUP('01_Input_Raw_Products'!F356,'10_Master_Gem_Types'!A:A,'10_Master_Gem_Types'!L:L),""))</f>
        <v>0</v>
      </c>
      <c r="X356" s="9" cm="1">
        <f t="array" ref="X356">IFERROR(_xlfn.XLOOKUP('01_Input_Raw_Products'!F356,'10_Master_Gem_Types'!A:A,'10_Master_Gem_Types'!J:J),"")</f>
        <v>0</v>
      </c>
      <c r="Y356" s="9" cm="1">
        <f t="array" ref="Y356">IFERROR(_xlfn.XLOOKUP('01_Input_Raw_Products'!F356,'10_Master_Gem_Types'!A:A,'10_Master_Gem_Types'!I:I),"")</f>
        <v>0</v>
      </c>
      <c r="Z356" s="9" cm="1">
        <f t="array" ref="Z356">IFERROR(_xlfn.XLOOKUP('01_Input_Raw_Products'!L356,'13_Certification_Stickers'!A:A,'13_Certification_Stickers'!C:C),"")</f>
        <v>0</v>
      </c>
      <c r="AA356" s="9" cm="1">
        <f t="array" ref="AA356">IFERROR(_xlfn.XLOOKUP('01_Input_Raw_Products'!S356,'14_Shipping_Rules'!A:A,'14_Shipping_Rules'!B:B),"")</f>
        <v>0</v>
      </c>
      <c r="AB356" s="9" cm="1">
        <f t="array" ref="AB356">IFERROR(_xlfn.XLOOKUP('01_Input_Raw_Products'!D356,'16_Astro_Flags'!A:A,'16_Astro_Flags'!B:B),"")</f>
        <v>0</v>
      </c>
      <c r="AC356" s="9">
        <f>IF(C356="","","Catalog, Search")</f>
        <v>0</v>
      </c>
      <c r="AD356" s="9">
        <f>IF(C356="","",IF(OR(F356="",J356="",M356="",S356="",Y356=""),"Manual Review","Ready"))</f>
        <v>0</v>
      </c>
      <c r="AE356" s="9">
        <f>IF(C356="","",TEXTJOIN("; ",TRUE,IF(F356="","Missing url_key",""),IF(J356="","Missing classification",""),IF(M356="","Missing j_colour",""),IF(S356="","Missing hsn_code",""),IF(Y356="","Missing tax_class_id","")))</f>
        <v>0</v>
      </c>
    </row>
    <row r="357" spans="1:31">
      <c r="A357" s="9">
        <f>IF('01_Input_Raw_Products'!B357&lt;&gt;"",20,"")</f>
        <v>0</v>
      </c>
      <c r="B357" s="9" cm="1">
        <f t="array" ref="B357">IF('01_Input_Raw_Products'!M357&lt;&gt;"",'01_Input_Raw_Products'!M357,IFERROR(_xlfn.XLOOKUP('01_Input_Raw_Products'!F357,'10_Master_Gem_Types'!A:A,'10_Master_Gem_Types'!K:K),""))</f>
        <v>0</v>
      </c>
      <c r="C357" s="9">
        <f>'01_Input_Raw_Products'!B357</f>
        <v>0</v>
      </c>
      <c r="D357" s="9">
        <f>IF(C357="","",TEXT(I357,"0.00")&amp;" Ct "&amp;IF('01_Input_Raw_Products'!F357&lt;&gt;"",'01_Input_Raw_Products'!F357,'01_Input_Raw_Products'!D357)&amp;" "&amp;'01_Input_Raw_Products'!I357)</f>
        <v>0</v>
      </c>
      <c r="E357" s="9">
        <f>IF(C357="","",D357&amp;" | GemPundit")</f>
        <v>0</v>
      </c>
      <c r="F357" s="9" cm="1">
        <f t="array" ref="F357">IF('01_Input_Raw_Products'!X357&lt;&gt;"",'01_Input_Raw_Products'!X357,IFERROR(_xlfn.XLOOKUP('01_Input_Raw_Products'!F357,'10_Master_Gem_Types'!A:A,'10_Master_Gem_Types'!O:O),LOWER(SUBSTITUTE(IF('01_Input_Raw_Products'!F357&lt;&gt;"",'01_Input_Raw_Products'!F357,'01_Input_Raw_Products'!D357)," ","-"))))</f>
        <v>0</v>
      </c>
      <c r="G357" s="9">
        <f>'01_Input_Raw_Products'!C357</f>
        <v>0</v>
      </c>
      <c r="H357" s="9" cm="1">
        <f t="array" ref="H357">IF('01_Input_Raw_Products'!H357&lt;&gt;"",'01_Input_Raw_Products'!H357,IFERROR(_xlfn.XLOOKUP('01_Input_Raw_Products'!F357,'10_Master_Gem_Types'!A:A,'10_Master_Gem_Types'!D:D),""))</f>
        <v>0</v>
      </c>
      <c r="I357" s="7">
        <f>IF('01_Input_Raw_Products'!N357&lt;&gt;"",'01_Input_Raw_Products'!N357,IF('01_Input_Raw_Products'!O357&lt;&gt;"",'01_Input_Raw_Products'!O357*0.91,""))</f>
        <v>0</v>
      </c>
      <c r="J357" s="9" cm="1">
        <f t="array" ref="J357">IFERROR(_xlfn.XLOOKUP('01_Input_Raw_Products'!F357,'10_Master_Gem_Types'!A:A,'10_Master_Gem_Types'!N:N),"")</f>
        <v>0</v>
      </c>
      <c r="K357" s="9" cm="1">
        <f t="array" ref="K357">IF('01_Input_Raw_Products'!J357&lt;&gt;"",'01_Input_Raw_Products'!J357,IFERROR(_xlfn.XLOOKUP('01_Input_Raw_Products'!F357,'10_Master_Gem_Types'!A:A,'10_Master_Gem_Types'!E:E),""))</f>
        <v>0</v>
      </c>
      <c r="L357" s="9">
        <f>'01_Input_Raw_Products'!P357</f>
        <v>0</v>
      </c>
      <c r="M357" s="9" cm="1">
        <f t="array" ref="M357">IFERROR(_xlfn.XLOOKUP('01_Input_Raw_Products'!K357,'12_Color_Mapping'!A:A,'12_Color_Mapping'!B:B),IFERROR(_xlfn.XLOOKUP('01_Input_Raw_Products'!F357,'10_Master_Gem_Types'!A:A,'10_Master_Gem_Types'!F:F),""))</f>
        <v>0</v>
      </c>
      <c r="N357" s="9">
        <f>IF(C357="","",IF('01_Input_Raw_Products'!F357&lt;&gt;"",'01_Input_Raw_Products'!F357,'01_Input_Raw_Products'!D357))</f>
        <v>0</v>
      </c>
      <c r="O357" s="9">
        <f>IF(C357="","","Catalog Automation")</f>
        <v>0</v>
      </c>
      <c r="P357" s="9">
        <f>'01_Input_Raw_Products'!U357</f>
        <v>0</v>
      </c>
      <c r="Q357" s="7">
        <f>IF('01_Input_Raw_Products'!O357&lt;&gt;"",'01_Input_Raw_Products'!O357,IF('01_Input_Raw_Products'!N357&lt;&gt;"",'01_Input_Raw_Products'!N357*1.1,""))</f>
        <v>0</v>
      </c>
      <c r="R357" s="9">
        <f>'01_Input_Raw_Products'!S357</f>
        <v>0</v>
      </c>
      <c r="S357" s="9" cm="1">
        <f t="array" ref="S357">IFERROR(_xlfn.XLOOKUP('01_Input_Raw_Products'!F357,'10_Master_Gem_Types'!A:A,'10_Master_Gem_Types'!H:H),"")</f>
        <v>0</v>
      </c>
      <c r="T357" s="8">
        <f>'01_Input_Raw_Products'!Q357</f>
        <v>0</v>
      </c>
      <c r="U357" s="8">
        <f>'01_Input_Raw_Products'!R357</f>
        <v>0</v>
      </c>
      <c r="V357" s="7">
        <f>I357</f>
        <v>0</v>
      </c>
      <c r="W357" s="9" cm="1">
        <f t="array" ref="W357">IF('01_Input_Raw_Products'!G357&lt;&gt;"",'01_Input_Raw_Products'!G357,IFERROR(_xlfn.XLOOKUP('01_Input_Raw_Products'!F357,'10_Master_Gem_Types'!A:A,'10_Master_Gem_Types'!L:L),""))</f>
        <v>0</v>
      </c>
      <c r="X357" s="9" cm="1">
        <f t="array" ref="X357">IFERROR(_xlfn.XLOOKUP('01_Input_Raw_Products'!F357,'10_Master_Gem_Types'!A:A,'10_Master_Gem_Types'!J:J),"")</f>
        <v>0</v>
      </c>
      <c r="Y357" s="9" cm="1">
        <f t="array" ref="Y357">IFERROR(_xlfn.XLOOKUP('01_Input_Raw_Products'!F357,'10_Master_Gem_Types'!A:A,'10_Master_Gem_Types'!I:I),"")</f>
        <v>0</v>
      </c>
      <c r="Z357" s="9" cm="1">
        <f t="array" ref="Z357">IFERROR(_xlfn.XLOOKUP('01_Input_Raw_Products'!L357,'13_Certification_Stickers'!A:A,'13_Certification_Stickers'!C:C),"")</f>
        <v>0</v>
      </c>
      <c r="AA357" s="9" cm="1">
        <f t="array" ref="AA357">IFERROR(_xlfn.XLOOKUP('01_Input_Raw_Products'!S357,'14_Shipping_Rules'!A:A,'14_Shipping_Rules'!B:B),"")</f>
        <v>0</v>
      </c>
      <c r="AB357" s="9" cm="1">
        <f t="array" ref="AB357">IFERROR(_xlfn.XLOOKUP('01_Input_Raw_Products'!D357,'16_Astro_Flags'!A:A,'16_Astro_Flags'!B:B),"")</f>
        <v>0</v>
      </c>
      <c r="AC357" s="9">
        <f>IF(C357="","","Catalog, Search")</f>
        <v>0</v>
      </c>
      <c r="AD357" s="9">
        <f>IF(C357="","",IF(OR(F357="",J357="",M357="",S357="",Y357=""),"Manual Review","Ready"))</f>
        <v>0</v>
      </c>
      <c r="AE357" s="9">
        <f>IF(C357="","",TEXTJOIN("; ",TRUE,IF(F357="","Missing url_key",""),IF(J357="","Missing classification",""),IF(M357="","Missing j_colour",""),IF(S357="","Missing hsn_code",""),IF(Y357="","Missing tax_class_id","")))</f>
        <v>0</v>
      </c>
    </row>
    <row r="358" spans="1:31">
      <c r="A358" s="9">
        <f>IF('01_Input_Raw_Products'!B358&lt;&gt;"",20,"")</f>
        <v>0</v>
      </c>
      <c r="B358" s="9" cm="1">
        <f t="array" ref="B358">IF('01_Input_Raw_Products'!M358&lt;&gt;"",'01_Input_Raw_Products'!M358,IFERROR(_xlfn.XLOOKUP('01_Input_Raw_Products'!F358,'10_Master_Gem_Types'!A:A,'10_Master_Gem_Types'!K:K),""))</f>
        <v>0</v>
      </c>
      <c r="C358" s="9">
        <f>'01_Input_Raw_Products'!B358</f>
        <v>0</v>
      </c>
      <c r="D358" s="9">
        <f>IF(C358="","",TEXT(I358,"0.00")&amp;" Ct "&amp;IF('01_Input_Raw_Products'!F358&lt;&gt;"",'01_Input_Raw_Products'!F358,'01_Input_Raw_Products'!D358)&amp;" "&amp;'01_Input_Raw_Products'!I358)</f>
        <v>0</v>
      </c>
      <c r="E358" s="9">
        <f>IF(C358="","",D358&amp;" | GemPundit")</f>
        <v>0</v>
      </c>
      <c r="F358" s="9" cm="1">
        <f t="array" ref="F358">IF('01_Input_Raw_Products'!X358&lt;&gt;"",'01_Input_Raw_Products'!X358,IFERROR(_xlfn.XLOOKUP('01_Input_Raw_Products'!F358,'10_Master_Gem_Types'!A:A,'10_Master_Gem_Types'!O:O),LOWER(SUBSTITUTE(IF('01_Input_Raw_Products'!F358&lt;&gt;"",'01_Input_Raw_Products'!F358,'01_Input_Raw_Products'!D358)," ","-"))))</f>
        <v>0</v>
      </c>
      <c r="G358" s="9">
        <f>'01_Input_Raw_Products'!C358</f>
        <v>0</v>
      </c>
      <c r="H358" s="9" cm="1">
        <f t="array" ref="H358">IF('01_Input_Raw_Products'!H358&lt;&gt;"",'01_Input_Raw_Products'!H358,IFERROR(_xlfn.XLOOKUP('01_Input_Raw_Products'!F358,'10_Master_Gem_Types'!A:A,'10_Master_Gem_Types'!D:D),""))</f>
        <v>0</v>
      </c>
      <c r="I358" s="7">
        <f>IF('01_Input_Raw_Products'!N358&lt;&gt;"",'01_Input_Raw_Products'!N358,IF('01_Input_Raw_Products'!O358&lt;&gt;"",'01_Input_Raw_Products'!O358*0.91,""))</f>
        <v>0</v>
      </c>
      <c r="J358" s="9" cm="1">
        <f t="array" ref="J358">IFERROR(_xlfn.XLOOKUP('01_Input_Raw_Products'!F358,'10_Master_Gem_Types'!A:A,'10_Master_Gem_Types'!N:N),"")</f>
        <v>0</v>
      </c>
      <c r="K358" s="9" cm="1">
        <f t="array" ref="K358">IF('01_Input_Raw_Products'!J358&lt;&gt;"",'01_Input_Raw_Products'!J358,IFERROR(_xlfn.XLOOKUP('01_Input_Raw_Products'!F358,'10_Master_Gem_Types'!A:A,'10_Master_Gem_Types'!E:E),""))</f>
        <v>0</v>
      </c>
      <c r="L358" s="9">
        <f>'01_Input_Raw_Products'!P358</f>
        <v>0</v>
      </c>
      <c r="M358" s="9" cm="1">
        <f t="array" ref="M358">IFERROR(_xlfn.XLOOKUP('01_Input_Raw_Products'!K358,'12_Color_Mapping'!A:A,'12_Color_Mapping'!B:B),IFERROR(_xlfn.XLOOKUP('01_Input_Raw_Products'!F358,'10_Master_Gem_Types'!A:A,'10_Master_Gem_Types'!F:F),""))</f>
        <v>0</v>
      </c>
      <c r="N358" s="9">
        <f>IF(C358="","",IF('01_Input_Raw_Products'!F358&lt;&gt;"",'01_Input_Raw_Products'!F358,'01_Input_Raw_Products'!D358))</f>
        <v>0</v>
      </c>
      <c r="O358" s="9">
        <f>IF(C358="","","Catalog Automation")</f>
        <v>0</v>
      </c>
      <c r="P358" s="9">
        <f>'01_Input_Raw_Products'!U358</f>
        <v>0</v>
      </c>
      <c r="Q358" s="7">
        <f>IF('01_Input_Raw_Products'!O358&lt;&gt;"",'01_Input_Raw_Products'!O358,IF('01_Input_Raw_Products'!N358&lt;&gt;"",'01_Input_Raw_Products'!N358*1.1,""))</f>
        <v>0</v>
      </c>
      <c r="R358" s="9">
        <f>'01_Input_Raw_Products'!S358</f>
        <v>0</v>
      </c>
      <c r="S358" s="9" cm="1">
        <f t="array" ref="S358">IFERROR(_xlfn.XLOOKUP('01_Input_Raw_Products'!F358,'10_Master_Gem_Types'!A:A,'10_Master_Gem_Types'!H:H),"")</f>
        <v>0</v>
      </c>
      <c r="T358" s="8">
        <f>'01_Input_Raw_Products'!Q358</f>
        <v>0</v>
      </c>
      <c r="U358" s="8">
        <f>'01_Input_Raw_Products'!R358</f>
        <v>0</v>
      </c>
      <c r="V358" s="7">
        <f>I358</f>
        <v>0</v>
      </c>
      <c r="W358" s="9" cm="1">
        <f t="array" ref="W358">IF('01_Input_Raw_Products'!G358&lt;&gt;"",'01_Input_Raw_Products'!G358,IFERROR(_xlfn.XLOOKUP('01_Input_Raw_Products'!F358,'10_Master_Gem_Types'!A:A,'10_Master_Gem_Types'!L:L),""))</f>
        <v>0</v>
      </c>
      <c r="X358" s="9" cm="1">
        <f t="array" ref="X358">IFERROR(_xlfn.XLOOKUP('01_Input_Raw_Products'!F358,'10_Master_Gem_Types'!A:A,'10_Master_Gem_Types'!J:J),"")</f>
        <v>0</v>
      </c>
      <c r="Y358" s="9" cm="1">
        <f t="array" ref="Y358">IFERROR(_xlfn.XLOOKUP('01_Input_Raw_Products'!F358,'10_Master_Gem_Types'!A:A,'10_Master_Gem_Types'!I:I),"")</f>
        <v>0</v>
      </c>
      <c r="Z358" s="9" cm="1">
        <f t="array" ref="Z358">IFERROR(_xlfn.XLOOKUP('01_Input_Raw_Products'!L358,'13_Certification_Stickers'!A:A,'13_Certification_Stickers'!C:C),"")</f>
        <v>0</v>
      </c>
      <c r="AA358" s="9" cm="1">
        <f t="array" ref="AA358">IFERROR(_xlfn.XLOOKUP('01_Input_Raw_Products'!S358,'14_Shipping_Rules'!A:A,'14_Shipping_Rules'!B:B),"")</f>
        <v>0</v>
      </c>
      <c r="AB358" s="9" cm="1">
        <f t="array" ref="AB358">IFERROR(_xlfn.XLOOKUP('01_Input_Raw_Products'!D358,'16_Astro_Flags'!A:A,'16_Astro_Flags'!B:B),"")</f>
        <v>0</v>
      </c>
      <c r="AC358" s="9">
        <f>IF(C358="","","Catalog, Search")</f>
        <v>0</v>
      </c>
      <c r="AD358" s="9">
        <f>IF(C358="","",IF(OR(F358="",J358="",M358="",S358="",Y358=""),"Manual Review","Ready"))</f>
        <v>0</v>
      </c>
      <c r="AE358" s="9">
        <f>IF(C358="","",TEXTJOIN("; ",TRUE,IF(F358="","Missing url_key",""),IF(J358="","Missing classification",""),IF(M358="","Missing j_colour",""),IF(S358="","Missing hsn_code",""),IF(Y358="","Missing tax_class_id","")))</f>
        <v>0</v>
      </c>
    </row>
    <row r="359" spans="1:31">
      <c r="A359" s="9">
        <f>IF('01_Input_Raw_Products'!B359&lt;&gt;"",20,"")</f>
        <v>0</v>
      </c>
      <c r="B359" s="9" cm="1">
        <f t="array" ref="B359">IF('01_Input_Raw_Products'!M359&lt;&gt;"",'01_Input_Raw_Products'!M359,IFERROR(_xlfn.XLOOKUP('01_Input_Raw_Products'!F359,'10_Master_Gem_Types'!A:A,'10_Master_Gem_Types'!K:K),""))</f>
        <v>0</v>
      </c>
      <c r="C359" s="9">
        <f>'01_Input_Raw_Products'!B359</f>
        <v>0</v>
      </c>
      <c r="D359" s="9">
        <f>IF(C359="","",TEXT(I359,"0.00")&amp;" Ct "&amp;IF('01_Input_Raw_Products'!F359&lt;&gt;"",'01_Input_Raw_Products'!F359,'01_Input_Raw_Products'!D359)&amp;" "&amp;'01_Input_Raw_Products'!I359)</f>
        <v>0</v>
      </c>
      <c r="E359" s="9">
        <f>IF(C359="","",D359&amp;" | GemPundit")</f>
        <v>0</v>
      </c>
      <c r="F359" s="9" cm="1">
        <f t="array" ref="F359">IF('01_Input_Raw_Products'!X359&lt;&gt;"",'01_Input_Raw_Products'!X359,IFERROR(_xlfn.XLOOKUP('01_Input_Raw_Products'!F359,'10_Master_Gem_Types'!A:A,'10_Master_Gem_Types'!O:O),LOWER(SUBSTITUTE(IF('01_Input_Raw_Products'!F359&lt;&gt;"",'01_Input_Raw_Products'!F359,'01_Input_Raw_Products'!D359)," ","-"))))</f>
        <v>0</v>
      </c>
      <c r="G359" s="9">
        <f>'01_Input_Raw_Products'!C359</f>
        <v>0</v>
      </c>
      <c r="H359" s="9" cm="1">
        <f t="array" ref="H359">IF('01_Input_Raw_Products'!H359&lt;&gt;"",'01_Input_Raw_Products'!H359,IFERROR(_xlfn.XLOOKUP('01_Input_Raw_Products'!F359,'10_Master_Gem_Types'!A:A,'10_Master_Gem_Types'!D:D),""))</f>
        <v>0</v>
      </c>
      <c r="I359" s="7">
        <f>IF('01_Input_Raw_Products'!N359&lt;&gt;"",'01_Input_Raw_Products'!N359,IF('01_Input_Raw_Products'!O359&lt;&gt;"",'01_Input_Raw_Products'!O359*0.91,""))</f>
        <v>0</v>
      </c>
      <c r="J359" s="9" cm="1">
        <f t="array" ref="J359">IFERROR(_xlfn.XLOOKUP('01_Input_Raw_Products'!F359,'10_Master_Gem_Types'!A:A,'10_Master_Gem_Types'!N:N),"")</f>
        <v>0</v>
      </c>
      <c r="K359" s="9" cm="1">
        <f t="array" ref="K359">IF('01_Input_Raw_Products'!J359&lt;&gt;"",'01_Input_Raw_Products'!J359,IFERROR(_xlfn.XLOOKUP('01_Input_Raw_Products'!F359,'10_Master_Gem_Types'!A:A,'10_Master_Gem_Types'!E:E),""))</f>
        <v>0</v>
      </c>
      <c r="L359" s="9">
        <f>'01_Input_Raw_Products'!P359</f>
        <v>0</v>
      </c>
      <c r="M359" s="9" cm="1">
        <f t="array" ref="M359">IFERROR(_xlfn.XLOOKUP('01_Input_Raw_Products'!K359,'12_Color_Mapping'!A:A,'12_Color_Mapping'!B:B),IFERROR(_xlfn.XLOOKUP('01_Input_Raw_Products'!F359,'10_Master_Gem_Types'!A:A,'10_Master_Gem_Types'!F:F),""))</f>
        <v>0</v>
      </c>
      <c r="N359" s="9">
        <f>IF(C359="","",IF('01_Input_Raw_Products'!F359&lt;&gt;"",'01_Input_Raw_Products'!F359,'01_Input_Raw_Products'!D359))</f>
        <v>0</v>
      </c>
      <c r="O359" s="9">
        <f>IF(C359="","","Catalog Automation")</f>
        <v>0</v>
      </c>
      <c r="P359" s="9">
        <f>'01_Input_Raw_Products'!U359</f>
        <v>0</v>
      </c>
      <c r="Q359" s="7">
        <f>IF('01_Input_Raw_Products'!O359&lt;&gt;"",'01_Input_Raw_Products'!O359,IF('01_Input_Raw_Products'!N359&lt;&gt;"",'01_Input_Raw_Products'!N359*1.1,""))</f>
        <v>0</v>
      </c>
      <c r="R359" s="9">
        <f>'01_Input_Raw_Products'!S359</f>
        <v>0</v>
      </c>
      <c r="S359" s="9" cm="1">
        <f t="array" ref="S359">IFERROR(_xlfn.XLOOKUP('01_Input_Raw_Products'!F359,'10_Master_Gem_Types'!A:A,'10_Master_Gem_Types'!H:H),"")</f>
        <v>0</v>
      </c>
      <c r="T359" s="8">
        <f>'01_Input_Raw_Products'!Q359</f>
        <v>0</v>
      </c>
      <c r="U359" s="8">
        <f>'01_Input_Raw_Products'!R359</f>
        <v>0</v>
      </c>
      <c r="V359" s="7">
        <f>I359</f>
        <v>0</v>
      </c>
      <c r="W359" s="9" cm="1">
        <f t="array" ref="W359">IF('01_Input_Raw_Products'!G359&lt;&gt;"",'01_Input_Raw_Products'!G359,IFERROR(_xlfn.XLOOKUP('01_Input_Raw_Products'!F359,'10_Master_Gem_Types'!A:A,'10_Master_Gem_Types'!L:L),""))</f>
        <v>0</v>
      </c>
      <c r="X359" s="9" cm="1">
        <f t="array" ref="X359">IFERROR(_xlfn.XLOOKUP('01_Input_Raw_Products'!F359,'10_Master_Gem_Types'!A:A,'10_Master_Gem_Types'!J:J),"")</f>
        <v>0</v>
      </c>
      <c r="Y359" s="9" cm="1">
        <f t="array" ref="Y359">IFERROR(_xlfn.XLOOKUP('01_Input_Raw_Products'!F359,'10_Master_Gem_Types'!A:A,'10_Master_Gem_Types'!I:I),"")</f>
        <v>0</v>
      </c>
      <c r="Z359" s="9" cm="1">
        <f t="array" ref="Z359">IFERROR(_xlfn.XLOOKUP('01_Input_Raw_Products'!L359,'13_Certification_Stickers'!A:A,'13_Certification_Stickers'!C:C),"")</f>
        <v>0</v>
      </c>
      <c r="AA359" s="9" cm="1">
        <f t="array" ref="AA359">IFERROR(_xlfn.XLOOKUP('01_Input_Raw_Products'!S359,'14_Shipping_Rules'!A:A,'14_Shipping_Rules'!B:B),"")</f>
        <v>0</v>
      </c>
      <c r="AB359" s="9" cm="1">
        <f t="array" ref="AB359">IFERROR(_xlfn.XLOOKUP('01_Input_Raw_Products'!D359,'16_Astro_Flags'!A:A,'16_Astro_Flags'!B:B),"")</f>
        <v>0</v>
      </c>
      <c r="AC359" s="9">
        <f>IF(C359="","","Catalog, Search")</f>
        <v>0</v>
      </c>
      <c r="AD359" s="9">
        <f>IF(C359="","",IF(OR(F359="",J359="",M359="",S359="",Y359=""),"Manual Review","Ready"))</f>
        <v>0</v>
      </c>
      <c r="AE359" s="9">
        <f>IF(C359="","",TEXTJOIN("; ",TRUE,IF(F359="","Missing url_key",""),IF(J359="","Missing classification",""),IF(M359="","Missing j_colour",""),IF(S359="","Missing hsn_code",""),IF(Y359="","Missing tax_class_id","")))</f>
        <v>0</v>
      </c>
    </row>
    <row r="360" spans="1:31">
      <c r="A360" s="9">
        <f>IF('01_Input_Raw_Products'!B360&lt;&gt;"",20,"")</f>
        <v>0</v>
      </c>
      <c r="B360" s="9" cm="1">
        <f t="array" ref="B360">IF('01_Input_Raw_Products'!M360&lt;&gt;"",'01_Input_Raw_Products'!M360,IFERROR(_xlfn.XLOOKUP('01_Input_Raw_Products'!F360,'10_Master_Gem_Types'!A:A,'10_Master_Gem_Types'!K:K),""))</f>
        <v>0</v>
      </c>
      <c r="C360" s="9">
        <f>'01_Input_Raw_Products'!B360</f>
        <v>0</v>
      </c>
      <c r="D360" s="9">
        <f>IF(C360="","",TEXT(I360,"0.00")&amp;" Ct "&amp;IF('01_Input_Raw_Products'!F360&lt;&gt;"",'01_Input_Raw_Products'!F360,'01_Input_Raw_Products'!D360)&amp;" "&amp;'01_Input_Raw_Products'!I360)</f>
        <v>0</v>
      </c>
      <c r="E360" s="9">
        <f>IF(C360="","",D360&amp;" | GemPundit")</f>
        <v>0</v>
      </c>
      <c r="F360" s="9" cm="1">
        <f t="array" ref="F360">IF('01_Input_Raw_Products'!X360&lt;&gt;"",'01_Input_Raw_Products'!X360,IFERROR(_xlfn.XLOOKUP('01_Input_Raw_Products'!F360,'10_Master_Gem_Types'!A:A,'10_Master_Gem_Types'!O:O),LOWER(SUBSTITUTE(IF('01_Input_Raw_Products'!F360&lt;&gt;"",'01_Input_Raw_Products'!F360,'01_Input_Raw_Products'!D360)," ","-"))))</f>
        <v>0</v>
      </c>
      <c r="G360" s="9">
        <f>'01_Input_Raw_Products'!C360</f>
        <v>0</v>
      </c>
      <c r="H360" s="9" cm="1">
        <f t="array" ref="H360">IF('01_Input_Raw_Products'!H360&lt;&gt;"",'01_Input_Raw_Products'!H360,IFERROR(_xlfn.XLOOKUP('01_Input_Raw_Products'!F360,'10_Master_Gem_Types'!A:A,'10_Master_Gem_Types'!D:D),""))</f>
        <v>0</v>
      </c>
      <c r="I360" s="7">
        <f>IF('01_Input_Raw_Products'!N360&lt;&gt;"",'01_Input_Raw_Products'!N360,IF('01_Input_Raw_Products'!O360&lt;&gt;"",'01_Input_Raw_Products'!O360*0.91,""))</f>
        <v>0</v>
      </c>
      <c r="J360" s="9" cm="1">
        <f t="array" ref="J360">IFERROR(_xlfn.XLOOKUP('01_Input_Raw_Products'!F360,'10_Master_Gem_Types'!A:A,'10_Master_Gem_Types'!N:N),"")</f>
        <v>0</v>
      </c>
      <c r="K360" s="9" cm="1">
        <f t="array" ref="K360">IF('01_Input_Raw_Products'!J360&lt;&gt;"",'01_Input_Raw_Products'!J360,IFERROR(_xlfn.XLOOKUP('01_Input_Raw_Products'!F360,'10_Master_Gem_Types'!A:A,'10_Master_Gem_Types'!E:E),""))</f>
        <v>0</v>
      </c>
      <c r="L360" s="9">
        <f>'01_Input_Raw_Products'!P360</f>
        <v>0</v>
      </c>
      <c r="M360" s="9" cm="1">
        <f t="array" ref="M360">IFERROR(_xlfn.XLOOKUP('01_Input_Raw_Products'!K360,'12_Color_Mapping'!A:A,'12_Color_Mapping'!B:B),IFERROR(_xlfn.XLOOKUP('01_Input_Raw_Products'!F360,'10_Master_Gem_Types'!A:A,'10_Master_Gem_Types'!F:F),""))</f>
        <v>0</v>
      </c>
      <c r="N360" s="9">
        <f>IF(C360="","",IF('01_Input_Raw_Products'!F360&lt;&gt;"",'01_Input_Raw_Products'!F360,'01_Input_Raw_Products'!D360))</f>
        <v>0</v>
      </c>
      <c r="O360" s="9">
        <f>IF(C360="","","Catalog Automation")</f>
        <v>0</v>
      </c>
      <c r="P360" s="9">
        <f>'01_Input_Raw_Products'!U360</f>
        <v>0</v>
      </c>
      <c r="Q360" s="7">
        <f>IF('01_Input_Raw_Products'!O360&lt;&gt;"",'01_Input_Raw_Products'!O360,IF('01_Input_Raw_Products'!N360&lt;&gt;"",'01_Input_Raw_Products'!N360*1.1,""))</f>
        <v>0</v>
      </c>
      <c r="R360" s="9">
        <f>'01_Input_Raw_Products'!S360</f>
        <v>0</v>
      </c>
      <c r="S360" s="9" cm="1">
        <f t="array" ref="S360">IFERROR(_xlfn.XLOOKUP('01_Input_Raw_Products'!F360,'10_Master_Gem_Types'!A:A,'10_Master_Gem_Types'!H:H),"")</f>
        <v>0</v>
      </c>
      <c r="T360" s="8">
        <f>'01_Input_Raw_Products'!Q360</f>
        <v>0</v>
      </c>
      <c r="U360" s="8">
        <f>'01_Input_Raw_Products'!R360</f>
        <v>0</v>
      </c>
      <c r="V360" s="7">
        <f>I360</f>
        <v>0</v>
      </c>
      <c r="W360" s="9" cm="1">
        <f t="array" ref="W360">IF('01_Input_Raw_Products'!G360&lt;&gt;"",'01_Input_Raw_Products'!G360,IFERROR(_xlfn.XLOOKUP('01_Input_Raw_Products'!F360,'10_Master_Gem_Types'!A:A,'10_Master_Gem_Types'!L:L),""))</f>
        <v>0</v>
      </c>
      <c r="X360" s="9" cm="1">
        <f t="array" ref="X360">IFERROR(_xlfn.XLOOKUP('01_Input_Raw_Products'!F360,'10_Master_Gem_Types'!A:A,'10_Master_Gem_Types'!J:J),"")</f>
        <v>0</v>
      </c>
      <c r="Y360" s="9" cm="1">
        <f t="array" ref="Y360">IFERROR(_xlfn.XLOOKUP('01_Input_Raw_Products'!F360,'10_Master_Gem_Types'!A:A,'10_Master_Gem_Types'!I:I),"")</f>
        <v>0</v>
      </c>
      <c r="Z360" s="9" cm="1">
        <f t="array" ref="Z360">IFERROR(_xlfn.XLOOKUP('01_Input_Raw_Products'!L360,'13_Certification_Stickers'!A:A,'13_Certification_Stickers'!C:C),"")</f>
        <v>0</v>
      </c>
      <c r="AA360" s="9" cm="1">
        <f t="array" ref="AA360">IFERROR(_xlfn.XLOOKUP('01_Input_Raw_Products'!S360,'14_Shipping_Rules'!A:A,'14_Shipping_Rules'!B:B),"")</f>
        <v>0</v>
      </c>
      <c r="AB360" s="9" cm="1">
        <f t="array" ref="AB360">IFERROR(_xlfn.XLOOKUP('01_Input_Raw_Products'!D360,'16_Astro_Flags'!A:A,'16_Astro_Flags'!B:B),"")</f>
        <v>0</v>
      </c>
      <c r="AC360" s="9">
        <f>IF(C360="","","Catalog, Search")</f>
        <v>0</v>
      </c>
      <c r="AD360" s="9">
        <f>IF(C360="","",IF(OR(F360="",J360="",M360="",S360="",Y360=""),"Manual Review","Ready"))</f>
        <v>0</v>
      </c>
      <c r="AE360" s="9">
        <f>IF(C360="","",TEXTJOIN("; ",TRUE,IF(F360="","Missing url_key",""),IF(J360="","Missing classification",""),IF(M360="","Missing j_colour",""),IF(S360="","Missing hsn_code",""),IF(Y360="","Missing tax_class_id","")))</f>
        <v>0</v>
      </c>
    </row>
    <row r="361" spans="1:31">
      <c r="A361" s="9">
        <f>IF('01_Input_Raw_Products'!B361&lt;&gt;"",20,"")</f>
        <v>0</v>
      </c>
      <c r="B361" s="9" cm="1">
        <f t="array" ref="B361">IF('01_Input_Raw_Products'!M361&lt;&gt;"",'01_Input_Raw_Products'!M361,IFERROR(_xlfn.XLOOKUP('01_Input_Raw_Products'!F361,'10_Master_Gem_Types'!A:A,'10_Master_Gem_Types'!K:K),""))</f>
        <v>0</v>
      </c>
      <c r="C361" s="9">
        <f>'01_Input_Raw_Products'!B361</f>
        <v>0</v>
      </c>
      <c r="D361" s="9">
        <f>IF(C361="","",TEXT(I361,"0.00")&amp;" Ct "&amp;IF('01_Input_Raw_Products'!F361&lt;&gt;"",'01_Input_Raw_Products'!F361,'01_Input_Raw_Products'!D361)&amp;" "&amp;'01_Input_Raw_Products'!I361)</f>
        <v>0</v>
      </c>
      <c r="E361" s="9">
        <f>IF(C361="","",D361&amp;" | GemPundit")</f>
        <v>0</v>
      </c>
      <c r="F361" s="9" cm="1">
        <f t="array" ref="F361">IF('01_Input_Raw_Products'!X361&lt;&gt;"",'01_Input_Raw_Products'!X361,IFERROR(_xlfn.XLOOKUP('01_Input_Raw_Products'!F361,'10_Master_Gem_Types'!A:A,'10_Master_Gem_Types'!O:O),LOWER(SUBSTITUTE(IF('01_Input_Raw_Products'!F361&lt;&gt;"",'01_Input_Raw_Products'!F361,'01_Input_Raw_Products'!D361)," ","-"))))</f>
        <v>0</v>
      </c>
      <c r="G361" s="9">
        <f>'01_Input_Raw_Products'!C361</f>
        <v>0</v>
      </c>
      <c r="H361" s="9" cm="1">
        <f t="array" ref="H361">IF('01_Input_Raw_Products'!H361&lt;&gt;"",'01_Input_Raw_Products'!H361,IFERROR(_xlfn.XLOOKUP('01_Input_Raw_Products'!F361,'10_Master_Gem_Types'!A:A,'10_Master_Gem_Types'!D:D),""))</f>
        <v>0</v>
      </c>
      <c r="I361" s="7">
        <f>IF('01_Input_Raw_Products'!N361&lt;&gt;"",'01_Input_Raw_Products'!N361,IF('01_Input_Raw_Products'!O361&lt;&gt;"",'01_Input_Raw_Products'!O361*0.91,""))</f>
        <v>0</v>
      </c>
      <c r="J361" s="9" cm="1">
        <f t="array" ref="J361">IFERROR(_xlfn.XLOOKUP('01_Input_Raw_Products'!F361,'10_Master_Gem_Types'!A:A,'10_Master_Gem_Types'!N:N),"")</f>
        <v>0</v>
      </c>
      <c r="K361" s="9" cm="1">
        <f t="array" ref="K361">IF('01_Input_Raw_Products'!J361&lt;&gt;"",'01_Input_Raw_Products'!J361,IFERROR(_xlfn.XLOOKUP('01_Input_Raw_Products'!F361,'10_Master_Gem_Types'!A:A,'10_Master_Gem_Types'!E:E),""))</f>
        <v>0</v>
      </c>
      <c r="L361" s="9">
        <f>'01_Input_Raw_Products'!P361</f>
        <v>0</v>
      </c>
      <c r="M361" s="9" cm="1">
        <f t="array" ref="M361">IFERROR(_xlfn.XLOOKUP('01_Input_Raw_Products'!K361,'12_Color_Mapping'!A:A,'12_Color_Mapping'!B:B),IFERROR(_xlfn.XLOOKUP('01_Input_Raw_Products'!F361,'10_Master_Gem_Types'!A:A,'10_Master_Gem_Types'!F:F),""))</f>
        <v>0</v>
      </c>
      <c r="N361" s="9">
        <f>IF(C361="","",IF('01_Input_Raw_Products'!F361&lt;&gt;"",'01_Input_Raw_Products'!F361,'01_Input_Raw_Products'!D361))</f>
        <v>0</v>
      </c>
      <c r="O361" s="9">
        <f>IF(C361="","","Catalog Automation")</f>
        <v>0</v>
      </c>
      <c r="P361" s="9">
        <f>'01_Input_Raw_Products'!U361</f>
        <v>0</v>
      </c>
      <c r="Q361" s="7">
        <f>IF('01_Input_Raw_Products'!O361&lt;&gt;"",'01_Input_Raw_Products'!O361,IF('01_Input_Raw_Products'!N361&lt;&gt;"",'01_Input_Raw_Products'!N361*1.1,""))</f>
        <v>0</v>
      </c>
      <c r="R361" s="9">
        <f>'01_Input_Raw_Products'!S361</f>
        <v>0</v>
      </c>
      <c r="S361" s="9" cm="1">
        <f t="array" ref="S361">IFERROR(_xlfn.XLOOKUP('01_Input_Raw_Products'!F361,'10_Master_Gem_Types'!A:A,'10_Master_Gem_Types'!H:H),"")</f>
        <v>0</v>
      </c>
      <c r="T361" s="8">
        <f>'01_Input_Raw_Products'!Q361</f>
        <v>0</v>
      </c>
      <c r="U361" s="8">
        <f>'01_Input_Raw_Products'!R361</f>
        <v>0</v>
      </c>
      <c r="V361" s="7">
        <f>I361</f>
        <v>0</v>
      </c>
      <c r="W361" s="9" cm="1">
        <f t="array" ref="W361">IF('01_Input_Raw_Products'!G361&lt;&gt;"",'01_Input_Raw_Products'!G361,IFERROR(_xlfn.XLOOKUP('01_Input_Raw_Products'!F361,'10_Master_Gem_Types'!A:A,'10_Master_Gem_Types'!L:L),""))</f>
        <v>0</v>
      </c>
      <c r="X361" s="9" cm="1">
        <f t="array" ref="X361">IFERROR(_xlfn.XLOOKUP('01_Input_Raw_Products'!F361,'10_Master_Gem_Types'!A:A,'10_Master_Gem_Types'!J:J),"")</f>
        <v>0</v>
      </c>
      <c r="Y361" s="9" cm="1">
        <f t="array" ref="Y361">IFERROR(_xlfn.XLOOKUP('01_Input_Raw_Products'!F361,'10_Master_Gem_Types'!A:A,'10_Master_Gem_Types'!I:I),"")</f>
        <v>0</v>
      </c>
      <c r="Z361" s="9" cm="1">
        <f t="array" ref="Z361">IFERROR(_xlfn.XLOOKUP('01_Input_Raw_Products'!L361,'13_Certification_Stickers'!A:A,'13_Certification_Stickers'!C:C),"")</f>
        <v>0</v>
      </c>
      <c r="AA361" s="9" cm="1">
        <f t="array" ref="AA361">IFERROR(_xlfn.XLOOKUP('01_Input_Raw_Products'!S361,'14_Shipping_Rules'!A:A,'14_Shipping_Rules'!B:B),"")</f>
        <v>0</v>
      </c>
      <c r="AB361" s="9" cm="1">
        <f t="array" ref="AB361">IFERROR(_xlfn.XLOOKUP('01_Input_Raw_Products'!D361,'16_Astro_Flags'!A:A,'16_Astro_Flags'!B:B),"")</f>
        <v>0</v>
      </c>
      <c r="AC361" s="9">
        <f>IF(C361="","","Catalog, Search")</f>
        <v>0</v>
      </c>
      <c r="AD361" s="9">
        <f>IF(C361="","",IF(OR(F361="",J361="",M361="",S361="",Y361=""),"Manual Review","Ready"))</f>
        <v>0</v>
      </c>
      <c r="AE361" s="9">
        <f>IF(C361="","",TEXTJOIN("; ",TRUE,IF(F361="","Missing url_key",""),IF(J361="","Missing classification",""),IF(M361="","Missing j_colour",""),IF(S361="","Missing hsn_code",""),IF(Y361="","Missing tax_class_id","")))</f>
        <v>0</v>
      </c>
    </row>
    <row r="362" spans="1:31">
      <c r="A362" s="9">
        <f>IF('01_Input_Raw_Products'!B362&lt;&gt;"",20,"")</f>
        <v>0</v>
      </c>
      <c r="B362" s="9" cm="1">
        <f t="array" ref="B362">IF('01_Input_Raw_Products'!M362&lt;&gt;"",'01_Input_Raw_Products'!M362,IFERROR(_xlfn.XLOOKUP('01_Input_Raw_Products'!F362,'10_Master_Gem_Types'!A:A,'10_Master_Gem_Types'!K:K),""))</f>
        <v>0</v>
      </c>
      <c r="C362" s="9">
        <f>'01_Input_Raw_Products'!B362</f>
        <v>0</v>
      </c>
      <c r="D362" s="9">
        <f>IF(C362="","",TEXT(I362,"0.00")&amp;" Ct "&amp;IF('01_Input_Raw_Products'!F362&lt;&gt;"",'01_Input_Raw_Products'!F362,'01_Input_Raw_Products'!D362)&amp;" "&amp;'01_Input_Raw_Products'!I362)</f>
        <v>0</v>
      </c>
      <c r="E362" s="9">
        <f>IF(C362="","",D362&amp;" | GemPundit")</f>
        <v>0</v>
      </c>
      <c r="F362" s="9" cm="1">
        <f t="array" ref="F362">IF('01_Input_Raw_Products'!X362&lt;&gt;"",'01_Input_Raw_Products'!X362,IFERROR(_xlfn.XLOOKUP('01_Input_Raw_Products'!F362,'10_Master_Gem_Types'!A:A,'10_Master_Gem_Types'!O:O),LOWER(SUBSTITUTE(IF('01_Input_Raw_Products'!F362&lt;&gt;"",'01_Input_Raw_Products'!F362,'01_Input_Raw_Products'!D362)," ","-"))))</f>
        <v>0</v>
      </c>
      <c r="G362" s="9">
        <f>'01_Input_Raw_Products'!C362</f>
        <v>0</v>
      </c>
      <c r="H362" s="9" cm="1">
        <f t="array" ref="H362">IF('01_Input_Raw_Products'!H362&lt;&gt;"",'01_Input_Raw_Products'!H362,IFERROR(_xlfn.XLOOKUP('01_Input_Raw_Products'!F362,'10_Master_Gem_Types'!A:A,'10_Master_Gem_Types'!D:D),""))</f>
        <v>0</v>
      </c>
      <c r="I362" s="7">
        <f>IF('01_Input_Raw_Products'!N362&lt;&gt;"",'01_Input_Raw_Products'!N362,IF('01_Input_Raw_Products'!O362&lt;&gt;"",'01_Input_Raw_Products'!O362*0.91,""))</f>
        <v>0</v>
      </c>
      <c r="J362" s="9" cm="1">
        <f t="array" ref="J362">IFERROR(_xlfn.XLOOKUP('01_Input_Raw_Products'!F362,'10_Master_Gem_Types'!A:A,'10_Master_Gem_Types'!N:N),"")</f>
        <v>0</v>
      </c>
      <c r="K362" s="9" cm="1">
        <f t="array" ref="K362">IF('01_Input_Raw_Products'!J362&lt;&gt;"",'01_Input_Raw_Products'!J362,IFERROR(_xlfn.XLOOKUP('01_Input_Raw_Products'!F362,'10_Master_Gem_Types'!A:A,'10_Master_Gem_Types'!E:E),""))</f>
        <v>0</v>
      </c>
      <c r="L362" s="9">
        <f>'01_Input_Raw_Products'!P362</f>
        <v>0</v>
      </c>
      <c r="M362" s="9" cm="1">
        <f t="array" ref="M362">IFERROR(_xlfn.XLOOKUP('01_Input_Raw_Products'!K362,'12_Color_Mapping'!A:A,'12_Color_Mapping'!B:B),IFERROR(_xlfn.XLOOKUP('01_Input_Raw_Products'!F362,'10_Master_Gem_Types'!A:A,'10_Master_Gem_Types'!F:F),""))</f>
        <v>0</v>
      </c>
      <c r="N362" s="9">
        <f>IF(C362="","",IF('01_Input_Raw_Products'!F362&lt;&gt;"",'01_Input_Raw_Products'!F362,'01_Input_Raw_Products'!D362))</f>
        <v>0</v>
      </c>
      <c r="O362" s="9">
        <f>IF(C362="","","Catalog Automation")</f>
        <v>0</v>
      </c>
      <c r="P362" s="9">
        <f>'01_Input_Raw_Products'!U362</f>
        <v>0</v>
      </c>
      <c r="Q362" s="7">
        <f>IF('01_Input_Raw_Products'!O362&lt;&gt;"",'01_Input_Raw_Products'!O362,IF('01_Input_Raw_Products'!N362&lt;&gt;"",'01_Input_Raw_Products'!N362*1.1,""))</f>
        <v>0</v>
      </c>
      <c r="R362" s="9">
        <f>'01_Input_Raw_Products'!S362</f>
        <v>0</v>
      </c>
      <c r="S362" s="9" cm="1">
        <f t="array" ref="S362">IFERROR(_xlfn.XLOOKUP('01_Input_Raw_Products'!F362,'10_Master_Gem_Types'!A:A,'10_Master_Gem_Types'!H:H),"")</f>
        <v>0</v>
      </c>
      <c r="T362" s="8">
        <f>'01_Input_Raw_Products'!Q362</f>
        <v>0</v>
      </c>
      <c r="U362" s="8">
        <f>'01_Input_Raw_Products'!R362</f>
        <v>0</v>
      </c>
      <c r="V362" s="7">
        <f>I362</f>
        <v>0</v>
      </c>
      <c r="W362" s="9" cm="1">
        <f t="array" ref="W362">IF('01_Input_Raw_Products'!G362&lt;&gt;"",'01_Input_Raw_Products'!G362,IFERROR(_xlfn.XLOOKUP('01_Input_Raw_Products'!F362,'10_Master_Gem_Types'!A:A,'10_Master_Gem_Types'!L:L),""))</f>
        <v>0</v>
      </c>
      <c r="X362" s="9" cm="1">
        <f t="array" ref="X362">IFERROR(_xlfn.XLOOKUP('01_Input_Raw_Products'!F362,'10_Master_Gem_Types'!A:A,'10_Master_Gem_Types'!J:J),"")</f>
        <v>0</v>
      </c>
      <c r="Y362" s="9" cm="1">
        <f t="array" ref="Y362">IFERROR(_xlfn.XLOOKUP('01_Input_Raw_Products'!F362,'10_Master_Gem_Types'!A:A,'10_Master_Gem_Types'!I:I),"")</f>
        <v>0</v>
      </c>
      <c r="Z362" s="9" cm="1">
        <f t="array" ref="Z362">IFERROR(_xlfn.XLOOKUP('01_Input_Raw_Products'!L362,'13_Certification_Stickers'!A:A,'13_Certification_Stickers'!C:C),"")</f>
        <v>0</v>
      </c>
      <c r="AA362" s="9" cm="1">
        <f t="array" ref="AA362">IFERROR(_xlfn.XLOOKUP('01_Input_Raw_Products'!S362,'14_Shipping_Rules'!A:A,'14_Shipping_Rules'!B:B),"")</f>
        <v>0</v>
      </c>
      <c r="AB362" s="9" cm="1">
        <f t="array" ref="AB362">IFERROR(_xlfn.XLOOKUP('01_Input_Raw_Products'!D362,'16_Astro_Flags'!A:A,'16_Astro_Flags'!B:B),"")</f>
        <v>0</v>
      </c>
      <c r="AC362" s="9">
        <f>IF(C362="","","Catalog, Search")</f>
        <v>0</v>
      </c>
      <c r="AD362" s="9">
        <f>IF(C362="","",IF(OR(F362="",J362="",M362="",S362="",Y362=""),"Manual Review","Ready"))</f>
        <v>0</v>
      </c>
      <c r="AE362" s="9">
        <f>IF(C362="","",TEXTJOIN("; ",TRUE,IF(F362="","Missing url_key",""),IF(J362="","Missing classification",""),IF(M362="","Missing j_colour",""),IF(S362="","Missing hsn_code",""),IF(Y362="","Missing tax_class_id","")))</f>
        <v>0</v>
      </c>
    </row>
    <row r="363" spans="1:31">
      <c r="A363" s="9">
        <f>IF('01_Input_Raw_Products'!B363&lt;&gt;"",20,"")</f>
        <v>0</v>
      </c>
      <c r="B363" s="9" cm="1">
        <f t="array" ref="B363">IF('01_Input_Raw_Products'!M363&lt;&gt;"",'01_Input_Raw_Products'!M363,IFERROR(_xlfn.XLOOKUP('01_Input_Raw_Products'!F363,'10_Master_Gem_Types'!A:A,'10_Master_Gem_Types'!K:K),""))</f>
        <v>0</v>
      </c>
      <c r="C363" s="9">
        <f>'01_Input_Raw_Products'!B363</f>
        <v>0</v>
      </c>
      <c r="D363" s="9">
        <f>IF(C363="","",TEXT(I363,"0.00")&amp;" Ct "&amp;IF('01_Input_Raw_Products'!F363&lt;&gt;"",'01_Input_Raw_Products'!F363,'01_Input_Raw_Products'!D363)&amp;" "&amp;'01_Input_Raw_Products'!I363)</f>
        <v>0</v>
      </c>
      <c r="E363" s="9">
        <f>IF(C363="","",D363&amp;" | GemPundit")</f>
        <v>0</v>
      </c>
      <c r="F363" s="9" cm="1">
        <f t="array" ref="F363">IF('01_Input_Raw_Products'!X363&lt;&gt;"",'01_Input_Raw_Products'!X363,IFERROR(_xlfn.XLOOKUP('01_Input_Raw_Products'!F363,'10_Master_Gem_Types'!A:A,'10_Master_Gem_Types'!O:O),LOWER(SUBSTITUTE(IF('01_Input_Raw_Products'!F363&lt;&gt;"",'01_Input_Raw_Products'!F363,'01_Input_Raw_Products'!D363)," ","-"))))</f>
        <v>0</v>
      </c>
      <c r="G363" s="9">
        <f>'01_Input_Raw_Products'!C363</f>
        <v>0</v>
      </c>
      <c r="H363" s="9" cm="1">
        <f t="array" ref="H363">IF('01_Input_Raw_Products'!H363&lt;&gt;"",'01_Input_Raw_Products'!H363,IFERROR(_xlfn.XLOOKUP('01_Input_Raw_Products'!F363,'10_Master_Gem_Types'!A:A,'10_Master_Gem_Types'!D:D),""))</f>
        <v>0</v>
      </c>
      <c r="I363" s="7">
        <f>IF('01_Input_Raw_Products'!N363&lt;&gt;"",'01_Input_Raw_Products'!N363,IF('01_Input_Raw_Products'!O363&lt;&gt;"",'01_Input_Raw_Products'!O363*0.91,""))</f>
        <v>0</v>
      </c>
      <c r="J363" s="9" cm="1">
        <f t="array" ref="J363">IFERROR(_xlfn.XLOOKUP('01_Input_Raw_Products'!F363,'10_Master_Gem_Types'!A:A,'10_Master_Gem_Types'!N:N),"")</f>
        <v>0</v>
      </c>
      <c r="K363" s="9" cm="1">
        <f t="array" ref="K363">IF('01_Input_Raw_Products'!J363&lt;&gt;"",'01_Input_Raw_Products'!J363,IFERROR(_xlfn.XLOOKUP('01_Input_Raw_Products'!F363,'10_Master_Gem_Types'!A:A,'10_Master_Gem_Types'!E:E),""))</f>
        <v>0</v>
      </c>
      <c r="L363" s="9">
        <f>'01_Input_Raw_Products'!P363</f>
        <v>0</v>
      </c>
      <c r="M363" s="9" cm="1">
        <f t="array" ref="M363">IFERROR(_xlfn.XLOOKUP('01_Input_Raw_Products'!K363,'12_Color_Mapping'!A:A,'12_Color_Mapping'!B:B),IFERROR(_xlfn.XLOOKUP('01_Input_Raw_Products'!F363,'10_Master_Gem_Types'!A:A,'10_Master_Gem_Types'!F:F),""))</f>
        <v>0</v>
      </c>
      <c r="N363" s="9">
        <f>IF(C363="","",IF('01_Input_Raw_Products'!F363&lt;&gt;"",'01_Input_Raw_Products'!F363,'01_Input_Raw_Products'!D363))</f>
        <v>0</v>
      </c>
      <c r="O363" s="9">
        <f>IF(C363="","","Catalog Automation")</f>
        <v>0</v>
      </c>
      <c r="P363" s="9">
        <f>'01_Input_Raw_Products'!U363</f>
        <v>0</v>
      </c>
      <c r="Q363" s="7">
        <f>IF('01_Input_Raw_Products'!O363&lt;&gt;"",'01_Input_Raw_Products'!O363,IF('01_Input_Raw_Products'!N363&lt;&gt;"",'01_Input_Raw_Products'!N363*1.1,""))</f>
        <v>0</v>
      </c>
      <c r="R363" s="9">
        <f>'01_Input_Raw_Products'!S363</f>
        <v>0</v>
      </c>
      <c r="S363" s="9" cm="1">
        <f t="array" ref="S363">IFERROR(_xlfn.XLOOKUP('01_Input_Raw_Products'!F363,'10_Master_Gem_Types'!A:A,'10_Master_Gem_Types'!H:H),"")</f>
        <v>0</v>
      </c>
      <c r="T363" s="8">
        <f>'01_Input_Raw_Products'!Q363</f>
        <v>0</v>
      </c>
      <c r="U363" s="8">
        <f>'01_Input_Raw_Products'!R363</f>
        <v>0</v>
      </c>
      <c r="V363" s="7">
        <f>I363</f>
        <v>0</v>
      </c>
      <c r="W363" s="9" cm="1">
        <f t="array" ref="W363">IF('01_Input_Raw_Products'!G363&lt;&gt;"",'01_Input_Raw_Products'!G363,IFERROR(_xlfn.XLOOKUP('01_Input_Raw_Products'!F363,'10_Master_Gem_Types'!A:A,'10_Master_Gem_Types'!L:L),""))</f>
        <v>0</v>
      </c>
      <c r="X363" s="9" cm="1">
        <f t="array" ref="X363">IFERROR(_xlfn.XLOOKUP('01_Input_Raw_Products'!F363,'10_Master_Gem_Types'!A:A,'10_Master_Gem_Types'!J:J),"")</f>
        <v>0</v>
      </c>
      <c r="Y363" s="9" cm="1">
        <f t="array" ref="Y363">IFERROR(_xlfn.XLOOKUP('01_Input_Raw_Products'!F363,'10_Master_Gem_Types'!A:A,'10_Master_Gem_Types'!I:I),"")</f>
        <v>0</v>
      </c>
      <c r="Z363" s="9" cm="1">
        <f t="array" ref="Z363">IFERROR(_xlfn.XLOOKUP('01_Input_Raw_Products'!L363,'13_Certification_Stickers'!A:A,'13_Certification_Stickers'!C:C),"")</f>
        <v>0</v>
      </c>
      <c r="AA363" s="9" cm="1">
        <f t="array" ref="AA363">IFERROR(_xlfn.XLOOKUP('01_Input_Raw_Products'!S363,'14_Shipping_Rules'!A:A,'14_Shipping_Rules'!B:B),"")</f>
        <v>0</v>
      </c>
      <c r="AB363" s="9" cm="1">
        <f t="array" ref="AB363">IFERROR(_xlfn.XLOOKUP('01_Input_Raw_Products'!D363,'16_Astro_Flags'!A:A,'16_Astro_Flags'!B:B),"")</f>
        <v>0</v>
      </c>
      <c r="AC363" s="9">
        <f>IF(C363="","","Catalog, Search")</f>
        <v>0</v>
      </c>
      <c r="AD363" s="9">
        <f>IF(C363="","",IF(OR(F363="",J363="",M363="",S363="",Y363=""),"Manual Review","Ready"))</f>
        <v>0</v>
      </c>
      <c r="AE363" s="9">
        <f>IF(C363="","",TEXTJOIN("; ",TRUE,IF(F363="","Missing url_key",""),IF(J363="","Missing classification",""),IF(M363="","Missing j_colour",""),IF(S363="","Missing hsn_code",""),IF(Y363="","Missing tax_class_id","")))</f>
        <v>0</v>
      </c>
    </row>
    <row r="364" spans="1:31">
      <c r="A364" s="9">
        <f>IF('01_Input_Raw_Products'!B364&lt;&gt;"",20,"")</f>
        <v>0</v>
      </c>
      <c r="B364" s="9" cm="1">
        <f t="array" ref="B364">IF('01_Input_Raw_Products'!M364&lt;&gt;"",'01_Input_Raw_Products'!M364,IFERROR(_xlfn.XLOOKUP('01_Input_Raw_Products'!F364,'10_Master_Gem_Types'!A:A,'10_Master_Gem_Types'!K:K),""))</f>
        <v>0</v>
      </c>
      <c r="C364" s="9">
        <f>'01_Input_Raw_Products'!B364</f>
        <v>0</v>
      </c>
      <c r="D364" s="9">
        <f>IF(C364="","",TEXT(I364,"0.00")&amp;" Ct "&amp;IF('01_Input_Raw_Products'!F364&lt;&gt;"",'01_Input_Raw_Products'!F364,'01_Input_Raw_Products'!D364)&amp;" "&amp;'01_Input_Raw_Products'!I364)</f>
        <v>0</v>
      </c>
      <c r="E364" s="9">
        <f>IF(C364="","",D364&amp;" | GemPundit")</f>
        <v>0</v>
      </c>
      <c r="F364" s="9" cm="1">
        <f t="array" ref="F364">IF('01_Input_Raw_Products'!X364&lt;&gt;"",'01_Input_Raw_Products'!X364,IFERROR(_xlfn.XLOOKUP('01_Input_Raw_Products'!F364,'10_Master_Gem_Types'!A:A,'10_Master_Gem_Types'!O:O),LOWER(SUBSTITUTE(IF('01_Input_Raw_Products'!F364&lt;&gt;"",'01_Input_Raw_Products'!F364,'01_Input_Raw_Products'!D364)," ","-"))))</f>
        <v>0</v>
      </c>
      <c r="G364" s="9">
        <f>'01_Input_Raw_Products'!C364</f>
        <v>0</v>
      </c>
      <c r="H364" s="9" cm="1">
        <f t="array" ref="H364">IF('01_Input_Raw_Products'!H364&lt;&gt;"",'01_Input_Raw_Products'!H364,IFERROR(_xlfn.XLOOKUP('01_Input_Raw_Products'!F364,'10_Master_Gem_Types'!A:A,'10_Master_Gem_Types'!D:D),""))</f>
        <v>0</v>
      </c>
      <c r="I364" s="7">
        <f>IF('01_Input_Raw_Products'!N364&lt;&gt;"",'01_Input_Raw_Products'!N364,IF('01_Input_Raw_Products'!O364&lt;&gt;"",'01_Input_Raw_Products'!O364*0.91,""))</f>
        <v>0</v>
      </c>
      <c r="J364" s="9" cm="1">
        <f t="array" ref="J364">IFERROR(_xlfn.XLOOKUP('01_Input_Raw_Products'!F364,'10_Master_Gem_Types'!A:A,'10_Master_Gem_Types'!N:N),"")</f>
        <v>0</v>
      </c>
      <c r="K364" s="9" cm="1">
        <f t="array" ref="K364">IF('01_Input_Raw_Products'!J364&lt;&gt;"",'01_Input_Raw_Products'!J364,IFERROR(_xlfn.XLOOKUP('01_Input_Raw_Products'!F364,'10_Master_Gem_Types'!A:A,'10_Master_Gem_Types'!E:E),""))</f>
        <v>0</v>
      </c>
      <c r="L364" s="9">
        <f>'01_Input_Raw_Products'!P364</f>
        <v>0</v>
      </c>
      <c r="M364" s="9" cm="1">
        <f t="array" ref="M364">IFERROR(_xlfn.XLOOKUP('01_Input_Raw_Products'!K364,'12_Color_Mapping'!A:A,'12_Color_Mapping'!B:B),IFERROR(_xlfn.XLOOKUP('01_Input_Raw_Products'!F364,'10_Master_Gem_Types'!A:A,'10_Master_Gem_Types'!F:F),""))</f>
        <v>0</v>
      </c>
      <c r="N364" s="9">
        <f>IF(C364="","",IF('01_Input_Raw_Products'!F364&lt;&gt;"",'01_Input_Raw_Products'!F364,'01_Input_Raw_Products'!D364))</f>
        <v>0</v>
      </c>
      <c r="O364" s="9">
        <f>IF(C364="","","Catalog Automation")</f>
        <v>0</v>
      </c>
      <c r="P364" s="9">
        <f>'01_Input_Raw_Products'!U364</f>
        <v>0</v>
      </c>
      <c r="Q364" s="7">
        <f>IF('01_Input_Raw_Products'!O364&lt;&gt;"",'01_Input_Raw_Products'!O364,IF('01_Input_Raw_Products'!N364&lt;&gt;"",'01_Input_Raw_Products'!N364*1.1,""))</f>
        <v>0</v>
      </c>
      <c r="R364" s="9">
        <f>'01_Input_Raw_Products'!S364</f>
        <v>0</v>
      </c>
      <c r="S364" s="9" cm="1">
        <f t="array" ref="S364">IFERROR(_xlfn.XLOOKUP('01_Input_Raw_Products'!F364,'10_Master_Gem_Types'!A:A,'10_Master_Gem_Types'!H:H),"")</f>
        <v>0</v>
      </c>
      <c r="T364" s="8">
        <f>'01_Input_Raw_Products'!Q364</f>
        <v>0</v>
      </c>
      <c r="U364" s="8">
        <f>'01_Input_Raw_Products'!R364</f>
        <v>0</v>
      </c>
      <c r="V364" s="7">
        <f>I364</f>
        <v>0</v>
      </c>
      <c r="W364" s="9" cm="1">
        <f t="array" ref="W364">IF('01_Input_Raw_Products'!G364&lt;&gt;"",'01_Input_Raw_Products'!G364,IFERROR(_xlfn.XLOOKUP('01_Input_Raw_Products'!F364,'10_Master_Gem_Types'!A:A,'10_Master_Gem_Types'!L:L),""))</f>
        <v>0</v>
      </c>
      <c r="X364" s="9" cm="1">
        <f t="array" ref="X364">IFERROR(_xlfn.XLOOKUP('01_Input_Raw_Products'!F364,'10_Master_Gem_Types'!A:A,'10_Master_Gem_Types'!J:J),"")</f>
        <v>0</v>
      </c>
      <c r="Y364" s="9" cm="1">
        <f t="array" ref="Y364">IFERROR(_xlfn.XLOOKUP('01_Input_Raw_Products'!F364,'10_Master_Gem_Types'!A:A,'10_Master_Gem_Types'!I:I),"")</f>
        <v>0</v>
      </c>
      <c r="Z364" s="9" cm="1">
        <f t="array" ref="Z364">IFERROR(_xlfn.XLOOKUP('01_Input_Raw_Products'!L364,'13_Certification_Stickers'!A:A,'13_Certification_Stickers'!C:C),"")</f>
        <v>0</v>
      </c>
      <c r="AA364" s="9" cm="1">
        <f t="array" ref="AA364">IFERROR(_xlfn.XLOOKUP('01_Input_Raw_Products'!S364,'14_Shipping_Rules'!A:A,'14_Shipping_Rules'!B:B),"")</f>
        <v>0</v>
      </c>
      <c r="AB364" s="9" cm="1">
        <f t="array" ref="AB364">IFERROR(_xlfn.XLOOKUP('01_Input_Raw_Products'!D364,'16_Astro_Flags'!A:A,'16_Astro_Flags'!B:B),"")</f>
        <v>0</v>
      </c>
      <c r="AC364" s="9">
        <f>IF(C364="","","Catalog, Search")</f>
        <v>0</v>
      </c>
      <c r="AD364" s="9">
        <f>IF(C364="","",IF(OR(F364="",J364="",M364="",S364="",Y364=""),"Manual Review","Ready"))</f>
        <v>0</v>
      </c>
      <c r="AE364" s="9">
        <f>IF(C364="","",TEXTJOIN("; ",TRUE,IF(F364="","Missing url_key",""),IF(J364="","Missing classification",""),IF(M364="","Missing j_colour",""),IF(S364="","Missing hsn_code",""),IF(Y364="","Missing tax_class_id","")))</f>
        <v>0</v>
      </c>
    </row>
    <row r="365" spans="1:31">
      <c r="A365" s="9">
        <f>IF('01_Input_Raw_Products'!B365&lt;&gt;"",20,"")</f>
        <v>0</v>
      </c>
      <c r="B365" s="9" cm="1">
        <f t="array" ref="B365">IF('01_Input_Raw_Products'!M365&lt;&gt;"",'01_Input_Raw_Products'!M365,IFERROR(_xlfn.XLOOKUP('01_Input_Raw_Products'!F365,'10_Master_Gem_Types'!A:A,'10_Master_Gem_Types'!K:K),""))</f>
        <v>0</v>
      </c>
      <c r="C365" s="9">
        <f>'01_Input_Raw_Products'!B365</f>
        <v>0</v>
      </c>
      <c r="D365" s="9">
        <f>IF(C365="","",TEXT(I365,"0.00")&amp;" Ct "&amp;IF('01_Input_Raw_Products'!F365&lt;&gt;"",'01_Input_Raw_Products'!F365,'01_Input_Raw_Products'!D365)&amp;" "&amp;'01_Input_Raw_Products'!I365)</f>
        <v>0</v>
      </c>
      <c r="E365" s="9">
        <f>IF(C365="","",D365&amp;" | GemPundit")</f>
        <v>0</v>
      </c>
      <c r="F365" s="9" cm="1">
        <f t="array" ref="F365">IF('01_Input_Raw_Products'!X365&lt;&gt;"",'01_Input_Raw_Products'!X365,IFERROR(_xlfn.XLOOKUP('01_Input_Raw_Products'!F365,'10_Master_Gem_Types'!A:A,'10_Master_Gem_Types'!O:O),LOWER(SUBSTITUTE(IF('01_Input_Raw_Products'!F365&lt;&gt;"",'01_Input_Raw_Products'!F365,'01_Input_Raw_Products'!D365)," ","-"))))</f>
        <v>0</v>
      </c>
      <c r="G365" s="9">
        <f>'01_Input_Raw_Products'!C365</f>
        <v>0</v>
      </c>
      <c r="H365" s="9" cm="1">
        <f t="array" ref="H365">IF('01_Input_Raw_Products'!H365&lt;&gt;"",'01_Input_Raw_Products'!H365,IFERROR(_xlfn.XLOOKUP('01_Input_Raw_Products'!F365,'10_Master_Gem_Types'!A:A,'10_Master_Gem_Types'!D:D),""))</f>
        <v>0</v>
      </c>
      <c r="I365" s="7">
        <f>IF('01_Input_Raw_Products'!N365&lt;&gt;"",'01_Input_Raw_Products'!N365,IF('01_Input_Raw_Products'!O365&lt;&gt;"",'01_Input_Raw_Products'!O365*0.91,""))</f>
        <v>0</v>
      </c>
      <c r="J365" s="9" cm="1">
        <f t="array" ref="J365">IFERROR(_xlfn.XLOOKUP('01_Input_Raw_Products'!F365,'10_Master_Gem_Types'!A:A,'10_Master_Gem_Types'!N:N),"")</f>
        <v>0</v>
      </c>
      <c r="K365" s="9" cm="1">
        <f t="array" ref="K365">IF('01_Input_Raw_Products'!J365&lt;&gt;"",'01_Input_Raw_Products'!J365,IFERROR(_xlfn.XLOOKUP('01_Input_Raw_Products'!F365,'10_Master_Gem_Types'!A:A,'10_Master_Gem_Types'!E:E),""))</f>
        <v>0</v>
      </c>
      <c r="L365" s="9">
        <f>'01_Input_Raw_Products'!P365</f>
        <v>0</v>
      </c>
      <c r="M365" s="9" cm="1">
        <f t="array" ref="M365">IFERROR(_xlfn.XLOOKUP('01_Input_Raw_Products'!K365,'12_Color_Mapping'!A:A,'12_Color_Mapping'!B:B),IFERROR(_xlfn.XLOOKUP('01_Input_Raw_Products'!F365,'10_Master_Gem_Types'!A:A,'10_Master_Gem_Types'!F:F),""))</f>
        <v>0</v>
      </c>
      <c r="N365" s="9">
        <f>IF(C365="","",IF('01_Input_Raw_Products'!F365&lt;&gt;"",'01_Input_Raw_Products'!F365,'01_Input_Raw_Products'!D365))</f>
        <v>0</v>
      </c>
      <c r="O365" s="9">
        <f>IF(C365="","","Catalog Automation")</f>
        <v>0</v>
      </c>
      <c r="P365" s="9">
        <f>'01_Input_Raw_Products'!U365</f>
        <v>0</v>
      </c>
      <c r="Q365" s="7">
        <f>IF('01_Input_Raw_Products'!O365&lt;&gt;"",'01_Input_Raw_Products'!O365,IF('01_Input_Raw_Products'!N365&lt;&gt;"",'01_Input_Raw_Products'!N365*1.1,""))</f>
        <v>0</v>
      </c>
      <c r="R365" s="9">
        <f>'01_Input_Raw_Products'!S365</f>
        <v>0</v>
      </c>
      <c r="S365" s="9" cm="1">
        <f t="array" ref="S365">IFERROR(_xlfn.XLOOKUP('01_Input_Raw_Products'!F365,'10_Master_Gem_Types'!A:A,'10_Master_Gem_Types'!H:H),"")</f>
        <v>0</v>
      </c>
      <c r="T365" s="8">
        <f>'01_Input_Raw_Products'!Q365</f>
        <v>0</v>
      </c>
      <c r="U365" s="8">
        <f>'01_Input_Raw_Products'!R365</f>
        <v>0</v>
      </c>
      <c r="V365" s="7">
        <f>I365</f>
        <v>0</v>
      </c>
      <c r="W365" s="9" cm="1">
        <f t="array" ref="W365">IF('01_Input_Raw_Products'!G365&lt;&gt;"",'01_Input_Raw_Products'!G365,IFERROR(_xlfn.XLOOKUP('01_Input_Raw_Products'!F365,'10_Master_Gem_Types'!A:A,'10_Master_Gem_Types'!L:L),""))</f>
        <v>0</v>
      </c>
      <c r="X365" s="9" cm="1">
        <f t="array" ref="X365">IFERROR(_xlfn.XLOOKUP('01_Input_Raw_Products'!F365,'10_Master_Gem_Types'!A:A,'10_Master_Gem_Types'!J:J),"")</f>
        <v>0</v>
      </c>
      <c r="Y365" s="9" cm="1">
        <f t="array" ref="Y365">IFERROR(_xlfn.XLOOKUP('01_Input_Raw_Products'!F365,'10_Master_Gem_Types'!A:A,'10_Master_Gem_Types'!I:I),"")</f>
        <v>0</v>
      </c>
      <c r="Z365" s="9" cm="1">
        <f t="array" ref="Z365">IFERROR(_xlfn.XLOOKUP('01_Input_Raw_Products'!L365,'13_Certification_Stickers'!A:A,'13_Certification_Stickers'!C:C),"")</f>
        <v>0</v>
      </c>
      <c r="AA365" s="9" cm="1">
        <f t="array" ref="AA365">IFERROR(_xlfn.XLOOKUP('01_Input_Raw_Products'!S365,'14_Shipping_Rules'!A:A,'14_Shipping_Rules'!B:B),"")</f>
        <v>0</v>
      </c>
      <c r="AB365" s="9" cm="1">
        <f t="array" ref="AB365">IFERROR(_xlfn.XLOOKUP('01_Input_Raw_Products'!D365,'16_Astro_Flags'!A:A,'16_Astro_Flags'!B:B),"")</f>
        <v>0</v>
      </c>
      <c r="AC365" s="9">
        <f>IF(C365="","","Catalog, Search")</f>
        <v>0</v>
      </c>
      <c r="AD365" s="9">
        <f>IF(C365="","",IF(OR(F365="",J365="",M365="",S365="",Y365=""),"Manual Review","Ready"))</f>
        <v>0</v>
      </c>
      <c r="AE365" s="9">
        <f>IF(C365="","",TEXTJOIN("; ",TRUE,IF(F365="","Missing url_key",""),IF(J365="","Missing classification",""),IF(M365="","Missing j_colour",""),IF(S365="","Missing hsn_code",""),IF(Y365="","Missing tax_class_id","")))</f>
        <v>0</v>
      </c>
    </row>
    <row r="366" spans="1:31">
      <c r="A366" s="9">
        <f>IF('01_Input_Raw_Products'!B366&lt;&gt;"",20,"")</f>
        <v>0</v>
      </c>
      <c r="B366" s="9" cm="1">
        <f t="array" ref="B366">IF('01_Input_Raw_Products'!M366&lt;&gt;"",'01_Input_Raw_Products'!M366,IFERROR(_xlfn.XLOOKUP('01_Input_Raw_Products'!F366,'10_Master_Gem_Types'!A:A,'10_Master_Gem_Types'!K:K),""))</f>
        <v>0</v>
      </c>
      <c r="C366" s="9">
        <f>'01_Input_Raw_Products'!B366</f>
        <v>0</v>
      </c>
      <c r="D366" s="9">
        <f>IF(C366="","",TEXT(I366,"0.00")&amp;" Ct "&amp;IF('01_Input_Raw_Products'!F366&lt;&gt;"",'01_Input_Raw_Products'!F366,'01_Input_Raw_Products'!D366)&amp;" "&amp;'01_Input_Raw_Products'!I366)</f>
        <v>0</v>
      </c>
      <c r="E366" s="9">
        <f>IF(C366="","",D366&amp;" | GemPundit")</f>
        <v>0</v>
      </c>
      <c r="F366" s="9" cm="1">
        <f t="array" ref="F366">IF('01_Input_Raw_Products'!X366&lt;&gt;"",'01_Input_Raw_Products'!X366,IFERROR(_xlfn.XLOOKUP('01_Input_Raw_Products'!F366,'10_Master_Gem_Types'!A:A,'10_Master_Gem_Types'!O:O),LOWER(SUBSTITUTE(IF('01_Input_Raw_Products'!F366&lt;&gt;"",'01_Input_Raw_Products'!F366,'01_Input_Raw_Products'!D366)," ","-"))))</f>
        <v>0</v>
      </c>
      <c r="G366" s="9">
        <f>'01_Input_Raw_Products'!C366</f>
        <v>0</v>
      </c>
      <c r="H366" s="9" cm="1">
        <f t="array" ref="H366">IF('01_Input_Raw_Products'!H366&lt;&gt;"",'01_Input_Raw_Products'!H366,IFERROR(_xlfn.XLOOKUP('01_Input_Raw_Products'!F366,'10_Master_Gem_Types'!A:A,'10_Master_Gem_Types'!D:D),""))</f>
        <v>0</v>
      </c>
      <c r="I366" s="7">
        <f>IF('01_Input_Raw_Products'!N366&lt;&gt;"",'01_Input_Raw_Products'!N366,IF('01_Input_Raw_Products'!O366&lt;&gt;"",'01_Input_Raw_Products'!O366*0.91,""))</f>
        <v>0</v>
      </c>
      <c r="J366" s="9" cm="1">
        <f t="array" ref="J366">IFERROR(_xlfn.XLOOKUP('01_Input_Raw_Products'!F366,'10_Master_Gem_Types'!A:A,'10_Master_Gem_Types'!N:N),"")</f>
        <v>0</v>
      </c>
      <c r="K366" s="9" cm="1">
        <f t="array" ref="K366">IF('01_Input_Raw_Products'!J366&lt;&gt;"",'01_Input_Raw_Products'!J366,IFERROR(_xlfn.XLOOKUP('01_Input_Raw_Products'!F366,'10_Master_Gem_Types'!A:A,'10_Master_Gem_Types'!E:E),""))</f>
        <v>0</v>
      </c>
      <c r="L366" s="9">
        <f>'01_Input_Raw_Products'!P366</f>
        <v>0</v>
      </c>
      <c r="M366" s="9" cm="1">
        <f t="array" ref="M366">IFERROR(_xlfn.XLOOKUP('01_Input_Raw_Products'!K366,'12_Color_Mapping'!A:A,'12_Color_Mapping'!B:B),IFERROR(_xlfn.XLOOKUP('01_Input_Raw_Products'!F366,'10_Master_Gem_Types'!A:A,'10_Master_Gem_Types'!F:F),""))</f>
        <v>0</v>
      </c>
      <c r="N366" s="9">
        <f>IF(C366="","",IF('01_Input_Raw_Products'!F366&lt;&gt;"",'01_Input_Raw_Products'!F366,'01_Input_Raw_Products'!D366))</f>
        <v>0</v>
      </c>
      <c r="O366" s="9">
        <f>IF(C366="","","Catalog Automation")</f>
        <v>0</v>
      </c>
      <c r="P366" s="9">
        <f>'01_Input_Raw_Products'!U366</f>
        <v>0</v>
      </c>
      <c r="Q366" s="7">
        <f>IF('01_Input_Raw_Products'!O366&lt;&gt;"",'01_Input_Raw_Products'!O366,IF('01_Input_Raw_Products'!N366&lt;&gt;"",'01_Input_Raw_Products'!N366*1.1,""))</f>
        <v>0</v>
      </c>
      <c r="R366" s="9">
        <f>'01_Input_Raw_Products'!S366</f>
        <v>0</v>
      </c>
      <c r="S366" s="9" cm="1">
        <f t="array" ref="S366">IFERROR(_xlfn.XLOOKUP('01_Input_Raw_Products'!F366,'10_Master_Gem_Types'!A:A,'10_Master_Gem_Types'!H:H),"")</f>
        <v>0</v>
      </c>
      <c r="T366" s="8">
        <f>'01_Input_Raw_Products'!Q366</f>
        <v>0</v>
      </c>
      <c r="U366" s="8">
        <f>'01_Input_Raw_Products'!R366</f>
        <v>0</v>
      </c>
      <c r="V366" s="7">
        <f>I366</f>
        <v>0</v>
      </c>
      <c r="W366" s="9" cm="1">
        <f t="array" ref="W366">IF('01_Input_Raw_Products'!G366&lt;&gt;"",'01_Input_Raw_Products'!G366,IFERROR(_xlfn.XLOOKUP('01_Input_Raw_Products'!F366,'10_Master_Gem_Types'!A:A,'10_Master_Gem_Types'!L:L),""))</f>
        <v>0</v>
      </c>
      <c r="X366" s="9" cm="1">
        <f t="array" ref="X366">IFERROR(_xlfn.XLOOKUP('01_Input_Raw_Products'!F366,'10_Master_Gem_Types'!A:A,'10_Master_Gem_Types'!J:J),"")</f>
        <v>0</v>
      </c>
      <c r="Y366" s="9" cm="1">
        <f t="array" ref="Y366">IFERROR(_xlfn.XLOOKUP('01_Input_Raw_Products'!F366,'10_Master_Gem_Types'!A:A,'10_Master_Gem_Types'!I:I),"")</f>
        <v>0</v>
      </c>
      <c r="Z366" s="9" cm="1">
        <f t="array" ref="Z366">IFERROR(_xlfn.XLOOKUP('01_Input_Raw_Products'!L366,'13_Certification_Stickers'!A:A,'13_Certification_Stickers'!C:C),"")</f>
        <v>0</v>
      </c>
      <c r="AA366" s="9" cm="1">
        <f t="array" ref="AA366">IFERROR(_xlfn.XLOOKUP('01_Input_Raw_Products'!S366,'14_Shipping_Rules'!A:A,'14_Shipping_Rules'!B:B),"")</f>
        <v>0</v>
      </c>
      <c r="AB366" s="9" cm="1">
        <f t="array" ref="AB366">IFERROR(_xlfn.XLOOKUP('01_Input_Raw_Products'!D366,'16_Astro_Flags'!A:A,'16_Astro_Flags'!B:B),"")</f>
        <v>0</v>
      </c>
      <c r="AC366" s="9">
        <f>IF(C366="","","Catalog, Search")</f>
        <v>0</v>
      </c>
      <c r="AD366" s="9">
        <f>IF(C366="","",IF(OR(F366="",J366="",M366="",S366="",Y366=""),"Manual Review","Ready"))</f>
        <v>0</v>
      </c>
      <c r="AE366" s="9">
        <f>IF(C366="","",TEXTJOIN("; ",TRUE,IF(F366="","Missing url_key",""),IF(J366="","Missing classification",""),IF(M366="","Missing j_colour",""),IF(S366="","Missing hsn_code",""),IF(Y366="","Missing tax_class_id","")))</f>
        <v>0</v>
      </c>
    </row>
    <row r="367" spans="1:31">
      <c r="A367" s="9">
        <f>IF('01_Input_Raw_Products'!B367&lt;&gt;"",20,"")</f>
        <v>0</v>
      </c>
      <c r="B367" s="9" cm="1">
        <f t="array" ref="B367">IF('01_Input_Raw_Products'!M367&lt;&gt;"",'01_Input_Raw_Products'!M367,IFERROR(_xlfn.XLOOKUP('01_Input_Raw_Products'!F367,'10_Master_Gem_Types'!A:A,'10_Master_Gem_Types'!K:K),""))</f>
        <v>0</v>
      </c>
      <c r="C367" s="9">
        <f>'01_Input_Raw_Products'!B367</f>
        <v>0</v>
      </c>
      <c r="D367" s="9">
        <f>IF(C367="","",TEXT(I367,"0.00")&amp;" Ct "&amp;IF('01_Input_Raw_Products'!F367&lt;&gt;"",'01_Input_Raw_Products'!F367,'01_Input_Raw_Products'!D367)&amp;" "&amp;'01_Input_Raw_Products'!I367)</f>
        <v>0</v>
      </c>
      <c r="E367" s="9">
        <f>IF(C367="","",D367&amp;" | GemPundit")</f>
        <v>0</v>
      </c>
      <c r="F367" s="9" cm="1">
        <f t="array" ref="F367">IF('01_Input_Raw_Products'!X367&lt;&gt;"",'01_Input_Raw_Products'!X367,IFERROR(_xlfn.XLOOKUP('01_Input_Raw_Products'!F367,'10_Master_Gem_Types'!A:A,'10_Master_Gem_Types'!O:O),LOWER(SUBSTITUTE(IF('01_Input_Raw_Products'!F367&lt;&gt;"",'01_Input_Raw_Products'!F367,'01_Input_Raw_Products'!D367)," ","-"))))</f>
        <v>0</v>
      </c>
      <c r="G367" s="9">
        <f>'01_Input_Raw_Products'!C367</f>
        <v>0</v>
      </c>
      <c r="H367" s="9" cm="1">
        <f t="array" ref="H367">IF('01_Input_Raw_Products'!H367&lt;&gt;"",'01_Input_Raw_Products'!H367,IFERROR(_xlfn.XLOOKUP('01_Input_Raw_Products'!F367,'10_Master_Gem_Types'!A:A,'10_Master_Gem_Types'!D:D),""))</f>
        <v>0</v>
      </c>
      <c r="I367" s="7">
        <f>IF('01_Input_Raw_Products'!N367&lt;&gt;"",'01_Input_Raw_Products'!N367,IF('01_Input_Raw_Products'!O367&lt;&gt;"",'01_Input_Raw_Products'!O367*0.91,""))</f>
        <v>0</v>
      </c>
      <c r="J367" s="9" cm="1">
        <f t="array" ref="J367">IFERROR(_xlfn.XLOOKUP('01_Input_Raw_Products'!F367,'10_Master_Gem_Types'!A:A,'10_Master_Gem_Types'!N:N),"")</f>
        <v>0</v>
      </c>
      <c r="K367" s="9" cm="1">
        <f t="array" ref="K367">IF('01_Input_Raw_Products'!J367&lt;&gt;"",'01_Input_Raw_Products'!J367,IFERROR(_xlfn.XLOOKUP('01_Input_Raw_Products'!F367,'10_Master_Gem_Types'!A:A,'10_Master_Gem_Types'!E:E),""))</f>
        <v>0</v>
      </c>
      <c r="L367" s="9">
        <f>'01_Input_Raw_Products'!P367</f>
        <v>0</v>
      </c>
      <c r="M367" s="9" cm="1">
        <f t="array" ref="M367">IFERROR(_xlfn.XLOOKUP('01_Input_Raw_Products'!K367,'12_Color_Mapping'!A:A,'12_Color_Mapping'!B:B),IFERROR(_xlfn.XLOOKUP('01_Input_Raw_Products'!F367,'10_Master_Gem_Types'!A:A,'10_Master_Gem_Types'!F:F),""))</f>
        <v>0</v>
      </c>
      <c r="N367" s="9">
        <f>IF(C367="","",IF('01_Input_Raw_Products'!F367&lt;&gt;"",'01_Input_Raw_Products'!F367,'01_Input_Raw_Products'!D367))</f>
        <v>0</v>
      </c>
      <c r="O367" s="9">
        <f>IF(C367="","","Catalog Automation")</f>
        <v>0</v>
      </c>
      <c r="P367" s="9">
        <f>'01_Input_Raw_Products'!U367</f>
        <v>0</v>
      </c>
      <c r="Q367" s="7">
        <f>IF('01_Input_Raw_Products'!O367&lt;&gt;"",'01_Input_Raw_Products'!O367,IF('01_Input_Raw_Products'!N367&lt;&gt;"",'01_Input_Raw_Products'!N367*1.1,""))</f>
        <v>0</v>
      </c>
      <c r="R367" s="9">
        <f>'01_Input_Raw_Products'!S367</f>
        <v>0</v>
      </c>
      <c r="S367" s="9" cm="1">
        <f t="array" ref="S367">IFERROR(_xlfn.XLOOKUP('01_Input_Raw_Products'!F367,'10_Master_Gem_Types'!A:A,'10_Master_Gem_Types'!H:H),"")</f>
        <v>0</v>
      </c>
      <c r="T367" s="8">
        <f>'01_Input_Raw_Products'!Q367</f>
        <v>0</v>
      </c>
      <c r="U367" s="8">
        <f>'01_Input_Raw_Products'!R367</f>
        <v>0</v>
      </c>
      <c r="V367" s="7">
        <f>I367</f>
        <v>0</v>
      </c>
      <c r="W367" s="9" cm="1">
        <f t="array" ref="W367">IF('01_Input_Raw_Products'!G367&lt;&gt;"",'01_Input_Raw_Products'!G367,IFERROR(_xlfn.XLOOKUP('01_Input_Raw_Products'!F367,'10_Master_Gem_Types'!A:A,'10_Master_Gem_Types'!L:L),""))</f>
        <v>0</v>
      </c>
      <c r="X367" s="9" cm="1">
        <f t="array" ref="X367">IFERROR(_xlfn.XLOOKUP('01_Input_Raw_Products'!F367,'10_Master_Gem_Types'!A:A,'10_Master_Gem_Types'!J:J),"")</f>
        <v>0</v>
      </c>
      <c r="Y367" s="9" cm="1">
        <f t="array" ref="Y367">IFERROR(_xlfn.XLOOKUP('01_Input_Raw_Products'!F367,'10_Master_Gem_Types'!A:A,'10_Master_Gem_Types'!I:I),"")</f>
        <v>0</v>
      </c>
      <c r="Z367" s="9" cm="1">
        <f t="array" ref="Z367">IFERROR(_xlfn.XLOOKUP('01_Input_Raw_Products'!L367,'13_Certification_Stickers'!A:A,'13_Certification_Stickers'!C:C),"")</f>
        <v>0</v>
      </c>
      <c r="AA367" s="9" cm="1">
        <f t="array" ref="AA367">IFERROR(_xlfn.XLOOKUP('01_Input_Raw_Products'!S367,'14_Shipping_Rules'!A:A,'14_Shipping_Rules'!B:B),"")</f>
        <v>0</v>
      </c>
      <c r="AB367" s="9" cm="1">
        <f t="array" ref="AB367">IFERROR(_xlfn.XLOOKUP('01_Input_Raw_Products'!D367,'16_Astro_Flags'!A:A,'16_Astro_Flags'!B:B),"")</f>
        <v>0</v>
      </c>
      <c r="AC367" s="9">
        <f>IF(C367="","","Catalog, Search")</f>
        <v>0</v>
      </c>
      <c r="AD367" s="9">
        <f>IF(C367="","",IF(OR(F367="",J367="",M367="",S367="",Y367=""),"Manual Review","Ready"))</f>
        <v>0</v>
      </c>
      <c r="AE367" s="9">
        <f>IF(C367="","",TEXTJOIN("; ",TRUE,IF(F367="","Missing url_key",""),IF(J367="","Missing classification",""),IF(M367="","Missing j_colour",""),IF(S367="","Missing hsn_code",""),IF(Y367="","Missing tax_class_id","")))</f>
        <v>0</v>
      </c>
    </row>
    <row r="368" spans="1:31">
      <c r="A368" s="9">
        <f>IF('01_Input_Raw_Products'!B368&lt;&gt;"",20,"")</f>
        <v>0</v>
      </c>
      <c r="B368" s="9" cm="1">
        <f t="array" ref="B368">IF('01_Input_Raw_Products'!M368&lt;&gt;"",'01_Input_Raw_Products'!M368,IFERROR(_xlfn.XLOOKUP('01_Input_Raw_Products'!F368,'10_Master_Gem_Types'!A:A,'10_Master_Gem_Types'!K:K),""))</f>
        <v>0</v>
      </c>
      <c r="C368" s="9">
        <f>'01_Input_Raw_Products'!B368</f>
        <v>0</v>
      </c>
      <c r="D368" s="9">
        <f>IF(C368="","",TEXT(I368,"0.00")&amp;" Ct "&amp;IF('01_Input_Raw_Products'!F368&lt;&gt;"",'01_Input_Raw_Products'!F368,'01_Input_Raw_Products'!D368)&amp;" "&amp;'01_Input_Raw_Products'!I368)</f>
        <v>0</v>
      </c>
      <c r="E368" s="9">
        <f>IF(C368="","",D368&amp;" | GemPundit")</f>
        <v>0</v>
      </c>
      <c r="F368" s="9" cm="1">
        <f t="array" ref="F368">IF('01_Input_Raw_Products'!X368&lt;&gt;"",'01_Input_Raw_Products'!X368,IFERROR(_xlfn.XLOOKUP('01_Input_Raw_Products'!F368,'10_Master_Gem_Types'!A:A,'10_Master_Gem_Types'!O:O),LOWER(SUBSTITUTE(IF('01_Input_Raw_Products'!F368&lt;&gt;"",'01_Input_Raw_Products'!F368,'01_Input_Raw_Products'!D368)," ","-"))))</f>
        <v>0</v>
      </c>
      <c r="G368" s="9">
        <f>'01_Input_Raw_Products'!C368</f>
        <v>0</v>
      </c>
      <c r="H368" s="9" cm="1">
        <f t="array" ref="H368">IF('01_Input_Raw_Products'!H368&lt;&gt;"",'01_Input_Raw_Products'!H368,IFERROR(_xlfn.XLOOKUP('01_Input_Raw_Products'!F368,'10_Master_Gem_Types'!A:A,'10_Master_Gem_Types'!D:D),""))</f>
        <v>0</v>
      </c>
      <c r="I368" s="7">
        <f>IF('01_Input_Raw_Products'!N368&lt;&gt;"",'01_Input_Raw_Products'!N368,IF('01_Input_Raw_Products'!O368&lt;&gt;"",'01_Input_Raw_Products'!O368*0.91,""))</f>
        <v>0</v>
      </c>
      <c r="J368" s="9" cm="1">
        <f t="array" ref="J368">IFERROR(_xlfn.XLOOKUP('01_Input_Raw_Products'!F368,'10_Master_Gem_Types'!A:A,'10_Master_Gem_Types'!N:N),"")</f>
        <v>0</v>
      </c>
      <c r="K368" s="9" cm="1">
        <f t="array" ref="K368">IF('01_Input_Raw_Products'!J368&lt;&gt;"",'01_Input_Raw_Products'!J368,IFERROR(_xlfn.XLOOKUP('01_Input_Raw_Products'!F368,'10_Master_Gem_Types'!A:A,'10_Master_Gem_Types'!E:E),""))</f>
        <v>0</v>
      </c>
      <c r="L368" s="9">
        <f>'01_Input_Raw_Products'!P368</f>
        <v>0</v>
      </c>
      <c r="M368" s="9" cm="1">
        <f t="array" ref="M368">IFERROR(_xlfn.XLOOKUP('01_Input_Raw_Products'!K368,'12_Color_Mapping'!A:A,'12_Color_Mapping'!B:B),IFERROR(_xlfn.XLOOKUP('01_Input_Raw_Products'!F368,'10_Master_Gem_Types'!A:A,'10_Master_Gem_Types'!F:F),""))</f>
        <v>0</v>
      </c>
      <c r="N368" s="9">
        <f>IF(C368="","",IF('01_Input_Raw_Products'!F368&lt;&gt;"",'01_Input_Raw_Products'!F368,'01_Input_Raw_Products'!D368))</f>
        <v>0</v>
      </c>
      <c r="O368" s="9">
        <f>IF(C368="","","Catalog Automation")</f>
        <v>0</v>
      </c>
      <c r="P368" s="9">
        <f>'01_Input_Raw_Products'!U368</f>
        <v>0</v>
      </c>
      <c r="Q368" s="7">
        <f>IF('01_Input_Raw_Products'!O368&lt;&gt;"",'01_Input_Raw_Products'!O368,IF('01_Input_Raw_Products'!N368&lt;&gt;"",'01_Input_Raw_Products'!N368*1.1,""))</f>
        <v>0</v>
      </c>
      <c r="R368" s="9">
        <f>'01_Input_Raw_Products'!S368</f>
        <v>0</v>
      </c>
      <c r="S368" s="9" cm="1">
        <f t="array" ref="S368">IFERROR(_xlfn.XLOOKUP('01_Input_Raw_Products'!F368,'10_Master_Gem_Types'!A:A,'10_Master_Gem_Types'!H:H),"")</f>
        <v>0</v>
      </c>
      <c r="T368" s="8">
        <f>'01_Input_Raw_Products'!Q368</f>
        <v>0</v>
      </c>
      <c r="U368" s="8">
        <f>'01_Input_Raw_Products'!R368</f>
        <v>0</v>
      </c>
      <c r="V368" s="7">
        <f>I368</f>
        <v>0</v>
      </c>
      <c r="W368" s="9" cm="1">
        <f t="array" ref="W368">IF('01_Input_Raw_Products'!G368&lt;&gt;"",'01_Input_Raw_Products'!G368,IFERROR(_xlfn.XLOOKUP('01_Input_Raw_Products'!F368,'10_Master_Gem_Types'!A:A,'10_Master_Gem_Types'!L:L),""))</f>
        <v>0</v>
      </c>
      <c r="X368" s="9" cm="1">
        <f t="array" ref="X368">IFERROR(_xlfn.XLOOKUP('01_Input_Raw_Products'!F368,'10_Master_Gem_Types'!A:A,'10_Master_Gem_Types'!J:J),"")</f>
        <v>0</v>
      </c>
      <c r="Y368" s="9" cm="1">
        <f t="array" ref="Y368">IFERROR(_xlfn.XLOOKUP('01_Input_Raw_Products'!F368,'10_Master_Gem_Types'!A:A,'10_Master_Gem_Types'!I:I),"")</f>
        <v>0</v>
      </c>
      <c r="Z368" s="9" cm="1">
        <f t="array" ref="Z368">IFERROR(_xlfn.XLOOKUP('01_Input_Raw_Products'!L368,'13_Certification_Stickers'!A:A,'13_Certification_Stickers'!C:C),"")</f>
        <v>0</v>
      </c>
      <c r="AA368" s="9" cm="1">
        <f t="array" ref="AA368">IFERROR(_xlfn.XLOOKUP('01_Input_Raw_Products'!S368,'14_Shipping_Rules'!A:A,'14_Shipping_Rules'!B:B),"")</f>
        <v>0</v>
      </c>
      <c r="AB368" s="9" cm="1">
        <f t="array" ref="AB368">IFERROR(_xlfn.XLOOKUP('01_Input_Raw_Products'!D368,'16_Astro_Flags'!A:A,'16_Astro_Flags'!B:B),"")</f>
        <v>0</v>
      </c>
      <c r="AC368" s="9">
        <f>IF(C368="","","Catalog, Search")</f>
        <v>0</v>
      </c>
      <c r="AD368" s="9">
        <f>IF(C368="","",IF(OR(F368="",J368="",M368="",S368="",Y368=""),"Manual Review","Ready"))</f>
        <v>0</v>
      </c>
      <c r="AE368" s="9">
        <f>IF(C368="","",TEXTJOIN("; ",TRUE,IF(F368="","Missing url_key",""),IF(J368="","Missing classification",""),IF(M368="","Missing j_colour",""),IF(S368="","Missing hsn_code",""),IF(Y368="","Missing tax_class_id","")))</f>
        <v>0</v>
      </c>
    </row>
    <row r="369" spans="1:31">
      <c r="A369" s="9">
        <f>IF('01_Input_Raw_Products'!B369&lt;&gt;"",20,"")</f>
        <v>0</v>
      </c>
      <c r="B369" s="9" cm="1">
        <f t="array" ref="B369">IF('01_Input_Raw_Products'!M369&lt;&gt;"",'01_Input_Raw_Products'!M369,IFERROR(_xlfn.XLOOKUP('01_Input_Raw_Products'!F369,'10_Master_Gem_Types'!A:A,'10_Master_Gem_Types'!K:K),""))</f>
        <v>0</v>
      </c>
      <c r="C369" s="9">
        <f>'01_Input_Raw_Products'!B369</f>
        <v>0</v>
      </c>
      <c r="D369" s="9">
        <f>IF(C369="","",TEXT(I369,"0.00")&amp;" Ct "&amp;IF('01_Input_Raw_Products'!F369&lt;&gt;"",'01_Input_Raw_Products'!F369,'01_Input_Raw_Products'!D369)&amp;" "&amp;'01_Input_Raw_Products'!I369)</f>
        <v>0</v>
      </c>
      <c r="E369" s="9">
        <f>IF(C369="","",D369&amp;" | GemPundit")</f>
        <v>0</v>
      </c>
      <c r="F369" s="9" cm="1">
        <f t="array" ref="F369">IF('01_Input_Raw_Products'!X369&lt;&gt;"",'01_Input_Raw_Products'!X369,IFERROR(_xlfn.XLOOKUP('01_Input_Raw_Products'!F369,'10_Master_Gem_Types'!A:A,'10_Master_Gem_Types'!O:O),LOWER(SUBSTITUTE(IF('01_Input_Raw_Products'!F369&lt;&gt;"",'01_Input_Raw_Products'!F369,'01_Input_Raw_Products'!D369)," ","-"))))</f>
        <v>0</v>
      </c>
      <c r="G369" s="9">
        <f>'01_Input_Raw_Products'!C369</f>
        <v>0</v>
      </c>
      <c r="H369" s="9" cm="1">
        <f t="array" ref="H369">IF('01_Input_Raw_Products'!H369&lt;&gt;"",'01_Input_Raw_Products'!H369,IFERROR(_xlfn.XLOOKUP('01_Input_Raw_Products'!F369,'10_Master_Gem_Types'!A:A,'10_Master_Gem_Types'!D:D),""))</f>
        <v>0</v>
      </c>
      <c r="I369" s="7">
        <f>IF('01_Input_Raw_Products'!N369&lt;&gt;"",'01_Input_Raw_Products'!N369,IF('01_Input_Raw_Products'!O369&lt;&gt;"",'01_Input_Raw_Products'!O369*0.91,""))</f>
        <v>0</v>
      </c>
      <c r="J369" s="9" cm="1">
        <f t="array" ref="J369">IFERROR(_xlfn.XLOOKUP('01_Input_Raw_Products'!F369,'10_Master_Gem_Types'!A:A,'10_Master_Gem_Types'!N:N),"")</f>
        <v>0</v>
      </c>
      <c r="K369" s="9" cm="1">
        <f t="array" ref="K369">IF('01_Input_Raw_Products'!J369&lt;&gt;"",'01_Input_Raw_Products'!J369,IFERROR(_xlfn.XLOOKUP('01_Input_Raw_Products'!F369,'10_Master_Gem_Types'!A:A,'10_Master_Gem_Types'!E:E),""))</f>
        <v>0</v>
      </c>
      <c r="L369" s="9">
        <f>'01_Input_Raw_Products'!P369</f>
        <v>0</v>
      </c>
      <c r="M369" s="9" cm="1">
        <f t="array" ref="M369">IFERROR(_xlfn.XLOOKUP('01_Input_Raw_Products'!K369,'12_Color_Mapping'!A:A,'12_Color_Mapping'!B:B),IFERROR(_xlfn.XLOOKUP('01_Input_Raw_Products'!F369,'10_Master_Gem_Types'!A:A,'10_Master_Gem_Types'!F:F),""))</f>
        <v>0</v>
      </c>
      <c r="N369" s="9">
        <f>IF(C369="","",IF('01_Input_Raw_Products'!F369&lt;&gt;"",'01_Input_Raw_Products'!F369,'01_Input_Raw_Products'!D369))</f>
        <v>0</v>
      </c>
      <c r="O369" s="9">
        <f>IF(C369="","","Catalog Automation")</f>
        <v>0</v>
      </c>
      <c r="P369" s="9">
        <f>'01_Input_Raw_Products'!U369</f>
        <v>0</v>
      </c>
      <c r="Q369" s="7">
        <f>IF('01_Input_Raw_Products'!O369&lt;&gt;"",'01_Input_Raw_Products'!O369,IF('01_Input_Raw_Products'!N369&lt;&gt;"",'01_Input_Raw_Products'!N369*1.1,""))</f>
        <v>0</v>
      </c>
      <c r="R369" s="9">
        <f>'01_Input_Raw_Products'!S369</f>
        <v>0</v>
      </c>
      <c r="S369" s="9" cm="1">
        <f t="array" ref="S369">IFERROR(_xlfn.XLOOKUP('01_Input_Raw_Products'!F369,'10_Master_Gem_Types'!A:A,'10_Master_Gem_Types'!H:H),"")</f>
        <v>0</v>
      </c>
      <c r="T369" s="8">
        <f>'01_Input_Raw_Products'!Q369</f>
        <v>0</v>
      </c>
      <c r="U369" s="8">
        <f>'01_Input_Raw_Products'!R369</f>
        <v>0</v>
      </c>
      <c r="V369" s="7">
        <f>I369</f>
        <v>0</v>
      </c>
      <c r="W369" s="9" cm="1">
        <f t="array" ref="W369">IF('01_Input_Raw_Products'!G369&lt;&gt;"",'01_Input_Raw_Products'!G369,IFERROR(_xlfn.XLOOKUP('01_Input_Raw_Products'!F369,'10_Master_Gem_Types'!A:A,'10_Master_Gem_Types'!L:L),""))</f>
        <v>0</v>
      </c>
      <c r="X369" s="9" cm="1">
        <f t="array" ref="X369">IFERROR(_xlfn.XLOOKUP('01_Input_Raw_Products'!F369,'10_Master_Gem_Types'!A:A,'10_Master_Gem_Types'!J:J),"")</f>
        <v>0</v>
      </c>
      <c r="Y369" s="9" cm="1">
        <f t="array" ref="Y369">IFERROR(_xlfn.XLOOKUP('01_Input_Raw_Products'!F369,'10_Master_Gem_Types'!A:A,'10_Master_Gem_Types'!I:I),"")</f>
        <v>0</v>
      </c>
      <c r="Z369" s="9" cm="1">
        <f t="array" ref="Z369">IFERROR(_xlfn.XLOOKUP('01_Input_Raw_Products'!L369,'13_Certification_Stickers'!A:A,'13_Certification_Stickers'!C:C),"")</f>
        <v>0</v>
      </c>
      <c r="AA369" s="9" cm="1">
        <f t="array" ref="AA369">IFERROR(_xlfn.XLOOKUP('01_Input_Raw_Products'!S369,'14_Shipping_Rules'!A:A,'14_Shipping_Rules'!B:B),"")</f>
        <v>0</v>
      </c>
      <c r="AB369" s="9" cm="1">
        <f t="array" ref="AB369">IFERROR(_xlfn.XLOOKUP('01_Input_Raw_Products'!D369,'16_Astro_Flags'!A:A,'16_Astro_Flags'!B:B),"")</f>
        <v>0</v>
      </c>
      <c r="AC369" s="9">
        <f>IF(C369="","","Catalog, Search")</f>
        <v>0</v>
      </c>
      <c r="AD369" s="9">
        <f>IF(C369="","",IF(OR(F369="",J369="",M369="",S369="",Y369=""),"Manual Review","Ready"))</f>
        <v>0</v>
      </c>
      <c r="AE369" s="9">
        <f>IF(C369="","",TEXTJOIN("; ",TRUE,IF(F369="","Missing url_key",""),IF(J369="","Missing classification",""),IF(M369="","Missing j_colour",""),IF(S369="","Missing hsn_code",""),IF(Y369="","Missing tax_class_id","")))</f>
        <v>0</v>
      </c>
    </row>
    <row r="370" spans="1:31">
      <c r="A370" s="9">
        <f>IF('01_Input_Raw_Products'!B370&lt;&gt;"",20,"")</f>
        <v>0</v>
      </c>
      <c r="B370" s="9" cm="1">
        <f t="array" ref="B370">IF('01_Input_Raw_Products'!M370&lt;&gt;"",'01_Input_Raw_Products'!M370,IFERROR(_xlfn.XLOOKUP('01_Input_Raw_Products'!F370,'10_Master_Gem_Types'!A:A,'10_Master_Gem_Types'!K:K),""))</f>
        <v>0</v>
      </c>
      <c r="C370" s="9">
        <f>'01_Input_Raw_Products'!B370</f>
        <v>0</v>
      </c>
      <c r="D370" s="9">
        <f>IF(C370="","",TEXT(I370,"0.00")&amp;" Ct "&amp;IF('01_Input_Raw_Products'!F370&lt;&gt;"",'01_Input_Raw_Products'!F370,'01_Input_Raw_Products'!D370)&amp;" "&amp;'01_Input_Raw_Products'!I370)</f>
        <v>0</v>
      </c>
      <c r="E370" s="9">
        <f>IF(C370="","",D370&amp;" | GemPundit")</f>
        <v>0</v>
      </c>
      <c r="F370" s="9" cm="1">
        <f t="array" ref="F370">IF('01_Input_Raw_Products'!X370&lt;&gt;"",'01_Input_Raw_Products'!X370,IFERROR(_xlfn.XLOOKUP('01_Input_Raw_Products'!F370,'10_Master_Gem_Types'!A:A,'10_Master_Gem_Types'!O:O),LOWER(SUBSTITUTE(IF('01_Input_Raw_Products'!F370&lt;&gt;"",'01_Input_Raw_Products'!F370,'01_Input_Raw_Products'!D370)," ","-"))))</f>
        <v>0</v>
      </c>
      <c r="G370" s="9">
        <f>'01_Input_Raw_Products'!C370</f>
        <v>0</v>
      </c>
      <c r="H370" s="9" cm="1">
        <f t="array" ref="H370">IF('01_Input_Raw_Products'!H370&lt;&gt;"",'01_Input_Raw_Products'!H370,IFERROR(_xlfn.XLOOKUP('01_Input_Raw_Products'!F370,'10_Master_Gem_Types'!A:A,'10_Master_Gem_Types'!D:D),""))</f>
        <v>0</v>
      </c>
      <c r="I370" s="7">
        <f>IF('01_Input_Raw_Products'!N370&lt;&gt;"",'01_Input_Raw_Products'!N370,IF('01_Input_Raw_Products'!O370&lt;&gt;"",'01_Input_Raw_Products'!O370*0.91,""))</f>
        <v>0</v>
      </c>
      <c r="J370" s="9" cm="1">
        <f t="array" ref="J370">IFERROR(_xlfn.XLOOKUP('01_Input_Raw_Products'!F370,'10_Master_Gem_Types'!A:A,'10_Master_Gem_Types'!N:N),"")</f>
        <v>0</v>
      </c>
      <c r="K370" s="9" cm="1">
        <f t="array" ref="K370">IF('01_Input_Raw_Products'!J370&lt;&gt;"",'01_Input_Raw_Products'!J370,IFERROR(_xlfn.XLOOKUP('01_Input_Raw_Products'!F370,'10_Master_Gem_Types'!A:A,'10_Master_Gem_Types'!E:E),""))</f>
        <v>0</v>
      </c>
      <c r="L370" s="9">
        <f>'01_Input_Raw_Products'!P370</f>
        <v>0</v>
      </c>
      <c r="M370" s="9" cm="1">
        <f t="array" ref="M370">IFERROR(_xlfn.XLOOKUP('01_Input_Raw_Products'!K370,'12_Color_Mapping'!A:A,'12_Color_Mapping'!B:B),IFERROR(_xlfn.XLOOKUP('01_Input_Raw_Products'!F370,'10_Master_Gem_Types'!A:A,'10_Master_Gem_Types'!F:F),""))</f>
        <v>0</v>
      </c>
      <c r="N370" s="9">
        <f>IF(C370="","",IF('01_Input_Raw_Products'!F370&lt;&gt;"",'01_Input_Raw_Products'!F370,'01_Input_Raw_Products'!D370))</f>
        <v>0</v>
      </c>
      <c r="O370" s="9">
        <f>IF(C370="","","Catalog Automation")</f>
        <v>0</v>
      </c>
      <c r="P370" s="9">
        <f>'01_Input_Raw_Products'!U370</f>
        <v>0</v>
      </c>
      <c r="Q370" s="7">
        <f>IF('01_Input_Raw_Products'!O370&lt;&gt;"",'01_Input_Raw_Products'!O370,IF('01_Input_Raw_Products'!N370&lt;&gt;"",'01_Input_Raw_Products'!N370*1.1,""))</f>
        <v>0</v>
      </c>
      <c r="R370" s="9">
        <f>'01_Input_Raw_Products'!S370</f>
        <v>0</v>
      </c>
      <c r="S370" s="9" cm="1">
        <f t="array" ref="S370">IFERROR(_xlfn.XLOOKUP('01_Input_Raw_Products'!F370,'10_Master_Gem_Types'!A:A,'10_Master_Gem_Types'!H:H),"")</f>
        <v>0</v>
      </c>
      <c r="T370" s="8">
        <f>'01_Input_Raw_Products'!Q370</f>
        <v>0</v>
      </c>
      <c r="U370" s="8">
        <f>'01_Input_Raw_Products'!R370</f>
        <v>0</v>
      </c>
      <c r="V370" s="7">
        <f>I370</f>
        <v>0</v>
      </c>
      <c r="W370" s="9" cm="1">
        <f t="array" ref="W370">IF('01_Input_Raw_Products'!G370&lt;&gt;"",'01_Input_Raw_Products'!G370,IFERROR(_xlfn.XLOOKUP('01_Input_Raw_Products'!F370,'10_Master_Gem_Types'!A:A,'10_Master_Gem_Types'!L:L),""))</f>
        <v>0</v>
      </c>
      <c r="X370" s="9" cm="1">
        <f t="array" ref="X370">IFERROR(_xlfn.XLOOKUP('01_Input_Raw_Products'!F370,'10_Master_Gem_Types'!A:A,'10_Master_Gem_Types'!J:J),"")</f>
        <v>0</v>
      </c>
      <c r="Y370" s="9" cm="1">
        <f t="array" ref="Y370">IFERROR(_xlfn.XLOOKUP('01_Input_Raw_Products'!F370,'10_Master_Gem_Types'!A:A,'10_Master_Gem_Types'!I:I),"")</f>
        <v>0</v>
      </c>
      <c r="Z370" s="9" cm="1">
        <f t="array" ref="Z370">IFERROR(_xlfn.XLOOKUP('01_Input_Raw_Products'!L370,'13_Certification_Stickers'!A:A,'13_Certification_Stickers'!C:C),"")</f>
        <v>0</v>
      </c>
      <c r="AA370" s="9" cm="1">
        <f t="array" ref="AA370">IFERROR(_xlfn.XLOOKUP('01_Input_Raw_Products'!S370,'14_Shipping_Rules'!A:A,'14_Shipping_Rules'!B:B),"")</f>
        <v>0</v>
      </c>
      <c r="AB370" s="9" cm="1">
        <f t="array" ref="AB370">IFERROR(_xlfn.XLOOKUP('01_Input_Raw_Products'!D370,'16_Astro_Flags'!A:A,'16_Astro_Flags'!B:B),"")</f>
        <v>0</v>
      </c>
      <c r="AC370" s="9">
        <f>IF(C370="","","Catalog, Search")</f>
        <v>0</v>
      </c>
      <c r="AD370" s="9">
        <f>IF(C370="","",IF(OR(F370="",J370="",M370="",S370="",Y370=""),"Manual Review","Ready"))</f>
        <v>0</v>
      </c>
      <c r="AE370" s="9">
        <f>IF(C370="","",TEXTJOIN("; ",TRUE,IF(F370="","Missing url_key",""),IF(J370="","Missing classification",""),IF(M370="","Missing j_colour",""),IF(S370="","Missing hsn_code",""),IF(Y370="","Missing tax_class_id","")))</f>
        <v>0</v>
      </c>
    </row>
    <row r="371" spans="1:31">
      <c r="A371" s="9">
        <f>IF('01_Input_Raw_Products'!B371&lt;&gt;"",20,"")</f>
        <v>0</v>
      </c>
      <c r="B371" s="9" cm="1">
        <f t="array" ref="B371">IF('01_Input_Raw_Products'!M371&lt;&gt;"",'01_Input_Raw_Products'!M371,IFERROR(_xlfn.XLOOKUP('01_Input_Raw_Products'!F371,'10_Master_Gem_Types'!A:A,'10_Master_Gem_Types'!K:K),""))</f>
        <v>0</v>
      </c>
      <c r="C371" s="9">
        <f>'01_Input_Raw_Products'!B371</f>
        <v>0</v>
      </c>
      <c r="D371" s="9">
        <f>IF(C371="","",TEXT(I371,"0.00")&amp;" Ct "&amp;IF('01_Input_Raw_Products'!F371&lt;&gt;"",'01_Input_Raw_Products'!F371,'01_Input_Raw_Products'!D371)&amp;" "&amp;'01_Input_Raw_Products'!I371)</f>
        <v>0</v>
      </c>
      <c r="E371" s="9">
        <f>IF(C371="","",D371&amp;" | GemPundit")</f>
        <v>0</v>
      </c>
      <c r="F371" s="9" cm="1">
        <f t="array" ref="F371">IF('01_Input_Raw_Products'!X371&lt;&gt;"",'01_Input_Raw_Products'!X371,IFERROR(_xlfn.XLOOKUP('01_Input_Raw_Products'!F371,'10_Master_Gem_Types'!A:A,'10_Master_Gem_Types'!O:O),LOWER(SUBSTITUTE(IF('01_Input_Raw_Products'!F371&lt;&gt;"",'01_Input_Raw_Products'!F371,'01_Input_Raw_Products'!D371)," ","-"))))</f>
        <v>0</v>
      </c>
      <c r="G371" s="9">
        <f>'01_Input_Raw_Products'!C371</f>
        <v>0</v>
      </c>
      <c r="H371" s="9" cm="1">
        <f t="array" ref="H371">IF('01_Input_Raw_Products'!H371&lt;&gt;"",'01_Input_Raw_Products'!H371,IFERROR(_xlfn.XLOOKUP('01_Input_Raw_Products'!F371,'10_Master_Gem_Types'!A:A,'10_Master_Gem_Types'!D:D),""))</f>
        <v>0</v>
      </c>
      <c r="I371" s="7">
        <f>IF('01_Input_Raw_Products'!N371&lt;&gt;"",'01_Input_Raw_Products'!N371,IF('01_Input_Raw_Products'!O371&lt;&gt;"",'01_Input_Raw_Products'!O371*0.91,""))</f>
        <v>0</v>
      </c>
      <c r="J371" s="9" cm="1">
        <f t="array" ref="J371">IFERROR(_xlfn.XLOOKUP('01_Input_Raw_Products'!F371,'10_Master_Gem_Types'!A:A,'10_Master_Gem_Types'!N:N),"")</f>
        <v>0</v>
      </c>
      <c r="K371" s="9" cm="1">
        <f t="array" ref="K371">IF('01_Input_Raw_Products'!J371&lt;&gt;"",'01_Input_Raw_Products'!J371,IFERROR(_xlfn.XLOOKUP('01_Input_Raw_Products'!F371,'10_Master_Gem_Types'!A:A,'10_Master_Gem_Types'!E:E),""))</f>
        <v>0</v>
      </c>
      <c r="L371" s="9">
        <f>'01_Input_Raw_Products'!P371</f>
        <v>0</v>
      </c>
      <c r="M371" s="9" cm="1">
        <f t="array" ref="M371">IFERROR(_xlfn.XLOOKUP('01_Input_Raw_Products'!K371,'12_Color_Mapping'!A:A,'12_Color_Mapping'!B:B),IFERROR(_xlfn.XLOOKUP('01_Input_Raw_Products'!F371,'10_Master_Gem_Types'!A:A,'10_Master_Gem_Types'!F:F),""))</f>
        <v>0</v>
      </c>
      <c r="N371" s="9">
        <f>IF(C371="","",IF('01_Input_Raw_Products'!F371&lt;&gt;"",'01_Input_Raw_Products'!F371,'01_Input_Raw_Products'!D371))</f>
        <v>0</v>
      </c>
      <c r="O371" s="9">
        <f>IF(C371="","","Catalog Automation")</f>
        <v>0</v>
      </c>
      <c r="P371" s="9">
        <f>'01_Input_Raw_Products'!U371</f>
        <v>0</v>
      </c>
      <c r="Q371" s="7">
        <f>IF('01_Input_Raw_Products'!O371&lt;&gt;"",'01_Input_Raw_Products'!O371,IF('01_Input_Raw_Products'!N371&lt;&gt;"",'01_Input_Raw_Products'!N371*1.1,""))</f>
        <v>0</v>
      </c>
      <c r="R371" s="9">
        <f>'01_Input_Raw_Products'!S371</f>
        <v>0</v>
      </c>
      <c r="S371" s="9" cm="1">
        <f t="array" ref="S371">IFERROR(_xlfn.XLOOKUP('01_Input_Raw_Products'!F371,'10_Master_Gem_Types'!A:A,'10_Master_Gem_Types'!H:H),"")</f>
        <v>0</v>
      </c>
      <c r="T371" s="8">
        <f>'01_Input_Raw_Products'!Q371</f>
        <v>0</v>
      </c>
      <c r="U371" s="8">
        <f>'01_Input_Raw_Products'!R371</f>
        <v>0</v>
      </c>
      <c r="V371" s="7">
        <f>I371</f>
        <v>0</v>
      </c>
      <c r="W371" s="9" cm="1">
        <f t="array" ref="W371">IF('01_Input_Raw_Products'!G371&lt;&gt;"",'01_Input_Raw_Products'!G371,IFERROR(_xlfn.XLOOKUP('01_Input_Raw_Products'!F371,'10_Master_Gem_Types'!A:A,'10_Master_Gem_Types'!L:L),""))</f>
        <v>0</v>
      </c>
      <c r="X371" s="9" cm="1">
        <f t="array" ref="X371">IFERROR(_xlfn.XLOOKUP('01_Input_Raw_Products'!F371,'10_Master_Gem_Types'!A:A,'10_Master_Gem_Types'!J:J),"")</f>
        <v>0</v>
      </c>
      <c r="Y371" s="9" cm="1">
        <f t="array" ref="Y371">IFERROR(_xlfn.XLOOKUP('01_Input_Raw_Products'!F371,'10_Master_Gem_Types'!A:A,'10_Master_Gem_Types'!I:I),"")</f>
        <v>0</v>
      </c>
      <c r="Z371" s="9" cm="1">
        <f t="array" ref="Z371">IFERROR(_xlfn.XLOOKUP('01_Input_Raw_Products'!L371,'13_Certification_Stickers'!A:A,'13_Certification_Stickers'!C:C),"")</f>
        <v>0</v>
      </c>
      <c r="AA371" s="9" cm="1">
        <f t="array" ref="AA371">IFERROR(_xlfn.XLOOKUP('01_Input_Raw_Products'!S371,'14_Shipping_Rules'!A:A,'14_Shipping_Rules'!B:B),"")</f>
        <v>0</v>
      </c>
      <c r="AB371" s="9" cm="1">
        <f t="array" ref="AB371">IFERROR(_xlfn.XLOOKUP('01_Input_Raw_Products'!D371,'16_Astro_Flags'!A:A,'16_Astro_Flags'!B:B),"")</f>
        <v>0</v>
      </c>
      <c r="AC371" s="9">
        <f>IF(C371="","","Catalog, Search")</f>
        <v>0</v>
      </c>
      <c r="AD371" s="9">
        <f>IF(C371="","",IF(OR(F371="",J371="",M371="",S371="",Y371=""),"Manual Review","Ready"))</f>
        <v>0</v>
      </c>
      <c r="AE371" s="9">
        <f>IF(C371="","",TEXTJOIN("; ",TRUE,IF(F371="","Missing url_key",""),IF(J371="","Missing classification",""),IF(M371="","Missing j_colour",""),IF(S371="","Missing hsn_code",""),IF(Y371="","Missing tax_class_id","")))</f>
        <v>0</v>
      </c>
    </row>
    <row r="372" spans="1:31">
      <c r="A372" s="9">
        <f>IF('01_Input_Raw_Products'!B372&lt;&gt;"",20,"")</f>
        <v>0</v>
      </c>
      <c r="B372" s="9" cm="1">
        <f t="array" ref="B372">IF('01_Input_Raw_Products'!M372&lt;&gt;"",'01_Input_Raw_Products'!M372,IFERROR(_xlfn.XLOOKUP('01_Input_Raw_Products'!F372,'10_Master_Gem_Types'!A:A,'10_Master_Gem_Types'!K:K),""))</f>
        <v>0</v>
      </c>
      <c r="C372" s="9">
        <f>'01_Input_Raw_Products'!B372</f>
        <v>0</v>
      </c>
      <c r="D372" s="9">
        <f>IF(C372="","",TEXT(I372,"0.00")&amp;" Ct "&amp;IF('01_Input_Raw_Products'!F372&lt;&gt;"",'01_Input_Raw_Products'!F372,'01_Input_Raw_Products'!D372)&amp;" "&amp;'01_Input_Raw_Products'!I372)</f>
        <v>0</v>
      </c>
      <c r="E372" s="9">
        <f>IF(C372="","",D372&amp;" | GemPundit")</f>
        <v>0</v>
      </c>
      <c r="F372" s="9" cm="1">
        <f t="array" ref="F372">IF('01_Input_Raw_Products'!X372&lt;&gt;"",'01_Input_Raw_Products'!X372,IFERROR(_xlfn.XLOOKUP('01_Input_Raw_Products'!F372,'10_Master_Gem_Types'!A:A,'10_Master_Gem_Types'!O:O),LOWER(SUBSTITUTE(IF('01_Input_Raw_Products'!F372&lt;&gt;"",'01_Input_Raw_Products'!F372,'01_Input_Raw_Products'!D372)," ","-"))))</f>
        <v>0</v>
      </c>
      <c r="G372" s="9">
        <f>'01_Input_Raw_Products'!C372</f>
        <v>0</v>
      </c>
      <c r="H372" s="9" cm="1">
        <f t="array" ref="H372">IF('01_Input_Raw_Products'!H372&lt;&gt;"",'01_Input_Raw_Products'!H372,IFERROR(_xlfn.XLOOKUP('01_Input_Raw_Products'!F372,'10_Master_Gem_Types'!A:A,'10_Master_Gem_Types'!D:D),""))</f>
        <v>0</v>
      </c>
      <c r="I372" s="7">
        <f>IF('01_Input_Raw_Products'!N372&lt;&gt;"",'01_Input_Raw_Products'!N372,IF('01_Input_Raw_Products'!O372&lt;&gt;"",'01_Input_Raw_Products'!O372*0.91,""))</f>
        <v>0</v>
      </c>
      <c r="J372" s="9" cm="1">
        <f t="array" ref="J372">IFERROR(_xlfn.XLOOKUP('01_Input_Raw_Products'!F372,'10_Master_Gem_Types'!A:A,'10_Master_Gem_Types'!N:N),"")</f>
        <v>0</v>
      </c>
      <c r="K372" s="9" cm="1">
        <f t="array" ref="K372">IF('01_Input_Raw_Products'!J372&lt;&gt;"",'01_Input_Raw_Products'!J372,IFERROR(_xlfn.XLOOKUP('01_Input_Raw_Products'!F372,'10_Master_Gem_Types'!A:A,'10_Master_Gem_Types'!E:E),""))</f>
        <v>0</v>
      </c>
      <c r="L372" s="9">
        <f>'01_Input_Raw_Products'!P372</f>
        <v>0</v>
      </c>
      <c r="M372" s="9" cm="1">
        <f t="array" ref="M372">IFERROR(_xlfn.XLOOKUP('01_Input_Raw_Products'!K372,'12_Color_Mapping'!A:A,'12_Color_Mapping'!B:B),IFERROR(_xlfn.XLOOKUP('01_Input_Raw_Products'!F372,'10_Master_Gem_Types'!A:A,'10_Master_Gem_Types'!F:F),""))</f>
        <v>0</v>
      </c>
      <c r="N372" s="9">
        <f>IF(C372="","",IF('01_Input_Raw_Products'!F372&lt;&gt;"",'01_Input_Raw_Products'!F372,'01_Input_Raw_Products'!D372))</f>
        <v>0</v>
      </c>
      <c r="O372" s="9">
        <f>IF(C372="","","Catalog Automation")</f>
        <v>0</v>
      </c>
      <c r="P372" s="9">
        <f>'01_Input_Raw_Products'!U372</f>
        <v>0</v>
      </c>
      <c r="Q372" s="7">
        <f>IF('01_Input_Raw_Products'!O372&lt;&gt;"",'01_Input_Raw_Products'!O372,IF('01_Input_Raw_Products'!N372&lt;&gt;"",'01_Input_Raw_Products'!N372*1.1,""))</f>
        <v>0</v>
      </c>
      <c r="R372" s="9">
        <f>'01_Input_Raw_Products'!S372</f>
        <v>0</v>
      </c>
      <c r="S372" s="9" cm="1">
        <f t="array" ref="S372">IFERROR(_xlfn.XLOOKUP('01_Input_Raw_Products'!F372,'10_Master_Gem_Types'!A:A,'10_Master_Gem_Types'!H:H),"")</f>
        <v>0</v>
      </c>
      <c r="T372" s="8">
        <f>'01_Input_Raw_Products'!Q372</f>
        <v>0</v>
      </c>
      <c r="U372" s="8">
        <f>'01_Input_Raw_Products'!R372</f>
        <v>0</v>
      </c>
      <c r="V372" s="7">
        <f>I372</f>
        <v>0</v>
      </c>
      <c r="W372" s="9" cm="1">
        <f t="array" ref="W372">IF('01_Input_Raw_Products'!G372&lt;&gt;"",'01_Input_Raw_Products'!G372,IFERROR(_xlfn.XLOOKUP('01_Input_Raw_Products'!F372,'10_Master_Gem_Types'!A:A,'10_Master_Gem_Types'!L:L),""))</f>
        <v>0</v>
      </c>
      <c r="X372" s="9" cm="1">
        <f t="array" ref="X372">IFERROR(_xlfn.XLOOKUP('01_Input_Raw_Products'!F372,'10_Master_Gem_Types'!A:A,'10_Master_Gem_Types'!J:J),"")</f>
        <v>0</v>
      </c>
      <c r="Y372" s="9" cm="1">
        <f t="array" ref="Y372">IFERROR(_xlfn.XLOOKUP('01_Input_Raw_Products'!F372,'10_Master_Gem_Types'!A:A,'10_Master_Gem_Types'!I:I),"")</f>
        <v>0</v>
      </c>
      <c r="Z372" s="9" cm="1">
        <f t="array" ref="Z372">IFERROR(_xlfn.XLOOKUP('01_Input_Raw_Products'!L372,'13_Certification_Stickers'!A:A,'13_Certification_Stickers'!C:C),"")</f>
        <v>0</v>
      </c>
      <c r="AA372" s="9" cm="1">
        <f t="array" ref="AA372">IFERROR(_xlfn.XLOOKUP('01_Input_Raw_Products'!S372,'14_Shipping_Rules'!A:A,'14_Shipping_Rules'!B:B),"")</f>
        <v>0</v>
      </c>
      <c r="AB372" s="9" cm="1">
        <f t="array" ref="AB372">IFERROR(_xlfn.XLOOKUP('01_Input_Raw_Products'!D372,'16_Astro_Flags'!A:A,'16_Astro_Flags'!B:B),"")</f>
        <v>0</v>
      </c>
      <c r="AC372" s="9">
        <f>IF(C372="","","Catalog, Search")</f>
        <v>0</v>
      </c>
      <c r="AD372" s="9">
        <f>IF(C372="","",IF(OR(F372="",J372="",M372="",S372="",Y372=""),"Manual Review","Ready"))</f>
        <v>0</v>
      </c>
      <c r="AE372" s="9">
        <f>IF(C372="","",TEXTJOIN("; ",TRUE,IF(F372="","Missing url_key",""),IF(J372="","Missing classification",""),IF(M372="","Missing j_colour",""),IF(S372="","Missing hsn_code",""),IF(Y372="","Missing tax_class_id","")))</f>
        <v>0</v>
      </c>
    </row>
    <row r="373" spans="1:31">
      <c r="A373" s="9">
        <f>IF('01_Input_Raw_Products'!B373&lt;&gt;"",20,"")</f>
        <v>0</v>
      </c>
      <c r="B373" s="9" cm="1">
        <f t="array" ref="B373">IF('01_Input_Raw_Products'!M373&lt;&gt;"",'01_Input_Raw_Products'!M373,IFERROR(_xlfn.XLOOKUP('01_Input_Raw_Products'!F373,'10_Master_Gem_Types'!A:A,'10_Master_Gem_Types'!K:K),""))</f>
        <v>0</v>
      </c>
      <c r="C373" s="9">
        <f>'01_Input_Raw_Products'!B373</f>
        <v>0</v>
      </c>
      <c r="D373" s="9">
        <f>IF(C373="","",TEXT(I373,"0.00")&amp;" Ct "&amp;IF('01_Input_Raw_Products'!F373&lt;&gt;"",'01_Input_Raw_Products'!F373,'01_Input_Raw_Products'!D373)&amp;" "&amp;'01_Input_Raw_Products'!I373)</f>
        <v>0</v>
      </c>
      <c r="E373" s="9">
        <f>IF(C373="","",D373&amp;" | GemPundit")</f>
        <v>0</v>
      </c>
      <c r="F373" s="9" cm="1">
        <f t="array" ref="F373">IF('01_Input_Raw_Products'!X373&lt;&gt;"",'01_Input_Raw_Products'!X373,IFERROR(_xlfn.XLOOKUP('01_Input_Raw_Products'!F373,'10_Master_Gem_Types'!A:A,'10_Master_Gem_Types'!O:O),LOWER(SUBSTITUTE(IF('01_Input_Raw_Products'!F373&lt;&gt;"",'01_Input_Raw_Products'!F373,'01_Input_Raw_Products'!D373)," ","-"))))</f>
        <v>0</v>
      </c>
      <c r="G373" s="9">
        <f>'01_Input_Raw_Products'!C373</f>
        <v>0</v>
      </c>
      <c r="H373" s="9" cm="1">
        <f t="array" ref="H373">IF('01_Input_Raw_Products'!H373&lt;&gt;"",'01_Input_Raw_Products'!H373,IFERROR(_xlfn.XLOOKUP('01_Input_Raw_Products'!F373,'10_Master_Gem_Types'!A:A,'10_Master_Gem_Types'!D:D),""))</f>
        <v>0</v>
      </c>
      <c r="I373" s="7">
        <f>IF('01_Input_Raw_Products'!N373&lt;&gt;"",'01_Input_Raw_Products'!N373,IF('01_Input_Raw_Products'!O373&lt;&gt;"",'01_Input_Raw_Products'!O373*0.91,""))</f>
        <v>0</v>
      </c>
      <c r="J373" s="9" cm="1">
        <f t="array" ref="J373">IFERROR(_xlfn.XLOOKUP('01_Input_Raw_Products'!F373,'10_Master_Gem_Types'!A:A,'10_Master_Gem_Types'!N:N),"")</f>
        <v>0</v>
      </c>
      <c r="K373" s="9" cm="1">
        <f t="array" ref="K373">IF('01_Input_Raw_Products'!J373&lt;&gt;"",'01_Input_Raw_Products'!J373,IFERROR(_xlfn.XLOOKUP('01_Input_Raw_Products'!F373,'10_Master_Gem_Types'!A:A,'10_Master_Gem_Types'!E:E),""))</f>
        <v>0</v>
      </c>
      <c r="L373" s="9">
        <f>'01_Input_Raw_Products'!P373</f>
        <v>0</v>
      </c>
      <c r="M373" s="9" cm="1">
        <f t="array" ref="M373">IFERROR(_xlfn.XLOOKUP('01_Input_Raw_Products'!K373,'12_Color_Mapping'!A:A,'12_Color_Mapping'!B:B),IFERROR(_xlfn.XLOOKUP('01_Input_Raw_Products'!F373,'10_Master_Gem_Types'!A:A,'10_Master_Gem_Types'!F:F),""))</f>
        <v>0</v>
      </c>
      <c r="N373" s="9">
        <f>IF(C373="","",IF('01_Input_Raw_Products'!F373&lt;&gt;"",'01_Input_Raw_Products'!F373,'01_Input_Raw_Products'!D373))</f>
        <v>0</v>
      </c>
      <c r="O373" s="9">
        <f>IF(C373="","","Catalog Automation")</f>
        <v>0</v>
      </c>
      <c r="P373" s="9">
        <f>'01_Input_Raw_Products'!U373</f>
        <v>0</v>
      </c>
      <c r="Q373" s="7">
        <f>IF('01_Input_Raw_Products'!O373&lt;&gt;"",'01_Input_Raw_Products'!O373,IF('01_Input_Raw_Products'!N373&lt;&gt;"",'01_Input_Raw_Products'!N373*1.1,""))</f>
        <v>0</v>
      </c>
      <c r="R373" s="9">
        <f>'01_Input_Raw_Products'!S373</f>
        <v>0</v>
      </c>
      <c r="S373" s="9" cm="1">
        <f t="array" ref="S373">IFERROR(_xlfn.XLOOKUP('01_Input_Raw_Products'!F373,'10_Master_Gem_Types'!A:A,'10_Master_Gem_Types'!H:H),"")</f>
        <v>0</v>
      </c>
      <c r="T373" s="8">
        <f>'01_Input_Raw_Products'!Q373</f>
        <v>0</v>
      </c>
      <c r="U373" s="8">
        <f>'01_Input_Raw_Products'!R373</f>
        <v>0</v>
      </c>
      <c r="V373" s="7">
        <f>I373</f>
        <v>0</v>
      </c>
      <c r="W373" s="9" cm="1">
        <f t="array" ref="W373">IF('01_Input_Raw_Products'!G373&lt;&gt;"",'01_Input_Raw_Products'!G373,IFERROR(_xlfn.XLOOKUP('01_Input_Raw_Products'!F373,'10_Master_Gem_Types'!A:A,'10_Master_Gem_Types'!L:L),""))</f>
        <v>0</v>
      </c>
      <c r="X373" s="9" cm="1">
        <f t="array" ref="X373">IFERROR(_xlfn.XLOOKUP('01_Input_Raw_Products'!F373,'10_Master_Gem_Types'!A:A,'10_Master_Gem_Types'!J:J),"")</f>
        <v>0</v>
      </c>
      <c r="Y373" s="9" cm="1">
        <f t="array" ref="Y373">IFERROR(_xlfn.XLOOKUP('01_Input_Raw_Products'!F373,'10_Master_Gem_Types'!A:A,'10_Master_Gem_Types'!I:I),"")</f>
        <v>0</v>
      </c>
      <c r="Z373" s="9" cm="1">
        <f t="array" ref="Z373">IFERROR(_xlfn.XLOOKUP('01_Input_Raw_Products'!L373,'13_Certification_Stickers'!A:A,'13_Certification_Stickers'!C:C),"")</f>
        <v>0</v>
      </c>
      <c r="AA373" s="9" cm="1">
        <f t="array" ref="AA373">IFERROR(_xlfn.XLOOKUP('01_Input_Raw_Products'!S373,'14_Shipping_Rules'!A:A,'14_Shipping_Rules'!B:B),"")</f>
        <v>0</v>
      </c>
      <c r="AB373" s="9" cm="1">
        <f t="array" ref="AB373">IFERROR(_xlfn.XLOOKUP('01_Input_Raw_Products'!D373,'16_Astro_Flags'!A:A,'16_Astro_Flags'!B:B),"")</f>
        <v>0</v>
      </c>
      <c r="AC373" s="9">
        <f>IF(C373="","","Catalog, Search")</f>
        <v>0</v>
      </c>
      <c r="AD373" s="9">
        <f>IF(C373="","",IF(OR(F373="",J373="",M373="",S373="",Y373=""),"Manual Review","Ready"))</f>
        <v>0</v>
      </c>
      <c r="AE373" s="9">
        <f>IF(C373="","",TEXTJOIN("; ",TRUE,IF(F373="","Missing url_key",""),IF(J373="","Missing classification",""),IF(M373="","Missing j_colour",""),IF(S373="","Missing hsn_code",""),IF(Y373="","Missing tax_class_id","")))</f>
        <v>0</v>
      </c>
    </row>
    <row r="374" spans="1:31">
      <c r="A374" s="9">
        <f>IF('01_Input_Raw_Products'!B374&lt;&gt;"",20,"")</f>
        <v>0</v>
      </c>
      <c r="B374" s="9" cm="1">
        <f t="array" ref="B374">IF('01_Input_Raw_Products'!M374&lt;&gt;"",'01_Input_Raw_Products'!M374,IFERROR(_xlfn.XLOOKUP('01_Input_Raw_Products'!F374,'10_Master_Gem_Types'!A:A,'10_Master_Gem_Types'!K:K),""))</f>
        <v>0</v>
      </c>
      <c r="C374" s="9">
        <f>'01_Input_Raw_Products'!B374</f>
        <v>0</v>
      </c>
      <c r="D374" s="9">
        <f>IF(C374="","",TEXT(I374,"0.00")&amp;" Ct "&amp;IF('01_Input_Raw_Products'!F374&lt;&gt;"",'01_Input_Raw_Products'!F374,'01_Input_Raw_Products'!D374)&amp;" "&amp;'01_Input_Raw_Products'!I374)</f>
        <v>0</v>
      </c>
      <c r="E374" s="9">
        <f>IF(C374="","",D374&amp;" | GemPundit")</f>
        <v>0</v>
      </c>
      <c r="F374" s="9" cm="1">
        <f t="array" ref="F374">IF('01_Input_Raw_Products'!X374&lt;&gt;"",'01_Input_Raw_Products'!X374,IFERROR(_xlfn.XLOOKUP('01_Input_Raw_Products'!F374,'10_Master_Gem_Types'!A:A,'10_Master_Gem_Types'!O:O),LOWER(SUBSTITUTE(IF('01_Input_Raw_Products'!F374&lt;&gt;"",'01_Input_Raw_Products'!F374,'01_Input_Raw_Products'!D374)," ","-"))))</f>
        <v>0</v>
      </c>
      <c r="G374" s="9">
        <f>'01_Input_Raw_Products'!C374</f>
        <v>0</v>
      </c>
      <c r="H374" s="9" cm="1">
        <f t="array" ref="H374">IF('01_Input_Raw_Products'!H374&lt;&gt;"",'01_Input_Raw_Products'!H374,IFERROR(_xlfn.XLOOKUP('01_Input_Raw_Products'!F374,'10_Master_Gem_Types'!A:A,'10_Master_Gem_Types'!D:D),""))</f>
        <v>0</v>
      </c>
      <c r="I374" s="7">
        <f>IF('01_Input_Raw_Products'!N374&lt;&gt;"",'01_Input_Raw_Products'!N374,IF('01_Input_Raw_Products'!O374&lt;&gt;"",'01_Input_Raw_Products'!O374*0.91,""))</f>
        <v>0</v>
      </c>
      <c r="J374" s="9" cm="1">
        <f t="array" ref="J374">IFERROR(_xlfn.XLOOKUP('01_Input_Raw_Products'!F374,'10_Master_Gem_Types'!A:A,'10_Master_Gem_Types'!N:N),"")</f>
        <v>0</v>
      </c>
      <c r="K374" s="9" cm="1">
        <f t="array" ref="K374">IF('01_Input_Raw_Products'!J374&lt;&gt;"",'01_Input_Raw_Products'!J374,IFERROR(_xlfn.XLOOKUP('01_Input_Raw_Products'!F374,'10_Master_Gem_Types'!A:A,'10_Master_Gem_Types'!E:E),""))</f>
        <v>0</v>
      </c>
      <c r="L374" s="9">
        <f>'01_Input_Raw_Products'!P374</f>
        <v>0</v>
      </c>
      <c r="M374" s="9" cm="1">
        <f t="array" ref="M374">IFERROR(_xlfn.XLOOKUP('01_Input_Raw_Products'!K374,'12_Color_Mapping'!A:A,'12_Color_Mapping'!B:B),IFERROR(_xlfn.XLOOKUP('01_Input_Raw_Products'!F374,'10_Master_Gem_Types'!A:A,'10_Master_Gem_Types'!F:F),""))</f>
        <v>0</v>
      </c>
      <c r="N374" s="9">
        <f>IF(C374="","",IF('01_Input_Raw_Products'!F374&lt;&gt;"",'01_Input_Raw_Products'!F374,'01_Input_Raw_Products'!D374))</f>
        <v>0</v>
      </c>
      <c r="O374" s="9">
        <f>IF(C374="","","Catalog Automation")</f>
        <v>0</v>
      </c>
      <c r="P374" s="9">
        <f>'01_Input_Raw_Products'!U374</f>
        <v>0</v>
      </c>
      <c r="Q374" s="7">
        <f>IF('01_Input_Raw_Products'!O374&lt;&gt;"",'01_Input_Raw_Products'!O374,IF('01_Input_Raw_Products'!N374&lt;&gt;"",'01_Input_Raw_Products'!N374*1.1,""))</f>
        <v>0</v>
      </c>
      <c r="R374" s="9">
        <f>'01_Input_Raw_Products'!S374</f>
        <v>0</v>
      </c>
      <c r="S374" s="9" cm="1">
        <f t="array" ref="S374">IFERROR(_xlfn.XLOOKUP('01_Input_Raw_Products'!F374,'10_Master_Gem_Types'!A:A,'10_Master_Gem_Types'!H:H),"")</f>
        <v>0</v>
      </c>
      <c r="T374" s="8">
        <f>'01_Input_Raw_Products'!Q374</f>
        <v>0</v>
      </c>
      <c r="U374" s="8">
        <f>'01_Input_Raw_Products'!R374</f>
        <v>0</v>
      </c>
      <c r="V374" s="7">
        <f>I374</f>
        <v>0</v>
      </c>
      <c r="W374" s="9" cm="1">
        <f t="array" ref="W374">IF('01_Input_Raw_Products'!G374&lt;&gt;"",'01_Input_Raw_Products'!G374,IFERROR(_xlfn.XLOOKUP('01_Input_Raw_Products'!F374,'10_Master_Gem_Types'!A:A,'10_Master_Gem_Types'!L:L),""))</f>
        <v>0</v>
      </c>
      <c r="X374" s="9" cm="1">
        <f t="array" ref="X374">IFERROR(_xlfn.XLOOKUP('01_Input_Raw_Products'!F374,'10_Master_Gem_Types'!A:A,'10_Master_Gem_Types'!J:J),"")</f>
        <v>0</v>
      </c>
      <c r="Y374" s="9" cm="1">
        <f t="array" ref="Y374">IFERROR(_xlfn.XLOOKUP('01_Input_Raw_Products'!F374,'10_Master_Gem_Types'!A:A,'10_Master_Gem_Types'!I:I),"")</f>
        <v>0</v>
      </c>
      <c r="Z374" s="9" cm="1">
        <f t="array" ref="Z374">IFERROR(_xlfn.XLOOKUP('01_Input_Raw_Products'!L374,'13_Certification_Stickers'!A:A,'13_Certification_Stickers'!C:C),"")</f>
        <v>0</v>
      </c>
      <c r="AA374" s="9" cm="1">
        <f t="array" ref="AA374">IFERROR(_xlfn.XLOOKUP('01_Input_Raw_Products'!S374,'14_Shipping_Rules'!A:A,'14_Shipping_Rules'!B:B),"")</f>
        <v>0</v>
      </c>
      <c r="AB374" s="9" cm="1">
        <f t="array" ref="AB374">IFERROR(_xlfn.XLOOKUP('01_Input_Raw_Products'!D374,'16_Astro_Flags'!A:A,'16_Astro_Flags'!B:B),"")</f>
        <v>0</v>
      </c>
      <c r="AC374" s="9">
        <f>IF(C374="","","Catalog, Search")</f>
        <v>0</v>
      </c>
      <c r="AD374" s="9">
        <f>IF(C374="","",IF(OR(F374="",J374="",M374="",S374="",Y374=""),"Manual Review","Ready"))</f>
        <v>0</v>
      </c>
      <c r="AE374" s="9">
        <f>IF(C374="","",TEXTJOIN("; ",TRUE,IF(F374="","Missing url_key",""),IF(J374="","Missing classification",""),IF(M374="","Missing j_colour",""),IF(S374="","Missing hsn_code",""),IF(Y374="","Missing tax_class_id","")))</f>
        <v>0</v>
      </c>
    </row>
    <row r="375" spans="1:31">
      <c r="A375" s="9">
        <f>IF('01_Input_Raw_Products'!B375&lt;&gt;"",20,"")</f>
        <v>0</v>
      </c>
      <c r="B375" s="9" cm="1">
        <f t="array" ref="B375">IF('01_Input_Raw_Products'!M375&lt;&gt;"",'01_Input_Raw_Products'!M375,IFERROR(_xlfn.XLOOKUP('01_Input_Raw_Products'!F375,'10_Master_Gem_Types'!A:A,'10_Master_Gem_Types'!K:K),""))</f>
        <v>0</v>
      </c>
      <c r="C375" s="9">
        <f>'01_Input_Raw_Products'!B375</f>
        <v>0</v>
      </c>
      <c r="D375" s="9">
        <f>IF(C375="","",TEXT(I375,"0.00")&amp;" Ct "&amp;IF('01_Input_Raw_Products'!F375&lt;&gt;"",'01_Input_Raw_Products'!F375,'01_Input_Raw_Products'!D375)&amp;" "&amp;'01_Input_Raw_Products'!I375)</f>
        <v>0</v>
      </c>
      <c r="E375" s="9">
        <f>IF(C375="","",D375&amp;" | GemPundit")</f>
        <v>0</v>
      </c>
      <c r="F375" s="9" cm="1">
        <f t="array" ref="F375">IF('01_Input_Raw_Products'!X375&lt;&gt;"",'01_Input_Raw_Products'!X375,IFERROR(_xlfn.XLOOKUP('01_Input_Raw_Products'!F375,'10_Master_Gem_Types'!A:A,'10_Master_Gem_Types'!O:O),LOWER(SUBSTITUTE(IF('01_Input_Raw_Products'!F375&lt;&gt;"",'01_Input_Raw_Products'!F375,'01_Input_Raw_Products'!D375)," ","-"))))</f>
        <v>0</v>
      </c>
      <c r="G375" s="9">
        <f>'01_Input_Raw_Products'!C375</f>
        <v>0</v>
      </c>
      <c r="H375" s="9" cm="1">
        <f t="array" ref="H375">IF('01_Input_Raw_Products'!H375&lt;&gt;"",'01_Input_Raw_Products'!H375,IFERROR(_xlfn.XLOOKUP('01_Input_Raw_Products'!F375,'10_Master_Gem_Types'!A:A,'10_Master_Gem_Types'!D:D),""))</f>
        <v>0</v>
      </c>
      <c r="I375" s="7">
        <f>IF('01_Input_Raw_Products'!N375&lt;&gt;"",'01_Input_Raw_Products'!N375,IF('01_Input_Raw_Products'!O375&lt;&gt;"",'01_Input_Raw_Products'!O375*0.91,""))</f>
        <v>0</v>
      </c>
      <c r="J375" s="9" cm="1">
        <f t="array" ref="J375">IFERROR(_xlfn.XLOOKUP('01_Input_Raw_Products'!F375,'10_Master_Gem_Types'!A:A,'10_Master_Gem_Types'!N:N),"")</f>
        <v>0</v>
      </c>
      <c r="K375" s="9" cm="1">
        <f t="array" ref="K375">IF('01_Input_Raw_Products'!J375&lt;&gt;"",'01_Input_Raw_Products'!J375,IFERROR(_xlfn.XLOOKUP('01_Input_Raw_Products'!F375,'10_Master_Gem_Types'!A:A,'10_Master_Gem_Types'!E:E),""))</f>
        <v>0</v>
      </c>
      <c r="L375" s="9">
        <f>'01_Input_Raw_Products'!P375</f>
        <v>0</v>
      </c>
      <c r="M375" s="9" cm="1">
        <f t="array" ref="M375">IFERROR(_xlfn.XLOOKUP('01_Input_Raw_Products'!K375,'12_Color_Mapping'!A:A,'12_Color_Mapping'!B:B),IFERROR(_xlfn.XLOOKUP('01_Input_Raw_Products'!F375,'10_Master_Gem_Types'!A:A,'10_Master_Gem_Types'!F:F),""))</f>
        <v>0</v>
      </c>
      <c r="N375" s="9">
        <f>IF(C375="","",IF('01_Input_Raw_Products'!F375&lt;&gt;"",'01_Input_Raw_Products'!F375,'01_Input_Raw_Products'!D375))</f>
        <v>0</v>
      </c>
      <c r="O375" s="9">
        <f>IF(C375="","","Catalog Automation")</f>
        <v>0</v>
      </c>
      <c r="P375" s="9">
        <f>'01_Input_Raw_Products'!U375</f>
        <v>0</v>
      </c>
      <c r="Q375" s="7">
        <f>IF('01_Input_Raw_Products'!O375&lt;&gt;"",'01_Input_Raw_Products'!O375,IF('01_Input_Raw_Products'!N375&lt;&gt;"",'01_Input_Raw_Products'!N375*1.1,""))</f>
        <v>0</v>
      </c>
      <c r="R375" s="9">
        <f>'01_Input_Raw_Products'!S375</f>
        <v>0</v>
      </c>
      <c r="S375" s="9" cm="1">
        <f t="array" ref="S375">IFERROR(_xlfn.XLOOKUP('01_Input_Raw_Products'!F375,'10_Master_Gem_Types'!A:A,'10_Master_Gem_Types'!H:H),"")</f>
        <v>0</v>
      </c>
      <c r="T375" s="8">
        <f>'01_Input_Raw_Products'!Q375</f>
        <v>0</v>
      </c>
      <c r="U375" s="8">
        <f>'01_Input_Raw_Products'!R375</f>
        <v>0</v>
      </c>
      <c r="V375" s="7">
        <f>I375</f>
        <v>0</v>
      </c>
      <c r="W375" s="9" cm="1">
        <f t="array" ref="W375">IF('01_Input_Raw_Products'!G375&lt;&gt;"",'01_Input_Raw_Products'!G375,IFERROR(_xlfn.XLOOKUP('01_Input_Raw_Products'!F375,'10_Master_Gem_Types'!A:A,'10_Master_Gem_Types'!L:L),""))</f>
        <v>0</v>
      </c>
      <c r="X375" s="9" cm="1">
        <f t="array" ref="X375">IFERROR(_xlfn.XLOOKUP('01_Input_Raw_Products'!F375,'10_Master_Gem_Types'!A:A,'10_Master_Gem_Types'!J:J),"")</f>
        <v>0</v>
      </c>
      <c r="Y375" s="9" cm="1">
        <f t="array" ref="Y375">IFERROR(_xlfn.XLOOKUP('01_Input_Raw_Products'!F375,'10_Master_Gem_Types'!A:A,'10_Master_Gem_Types'!I:I),"")</f>
        <v>0</v>
      </c>
      <c r="Z375" s="9" cm="1">
        <f t="array" ref="Z375">IFERROR(_xlfn.XLOOKUP('01_Input_Raw_Products'!L375,'13_Certification_Stickers'!A:A,'13_Certification_Stickers'!C:C),"")</f>
        <v>0</v>
      </c>
      <c r="AA375" s="9" cm="1">
        <f t="array" ref="AA375">IFERROR(_xlfn.XLOOKUP('01_Input_Raw_Products'!S375,'14_Shipping_Rules'!A:A,'14_Shipping_Rules'!B:B),"")</f>
        <v>0</v>
      </c>
      <c r="AB375" s="9" cm="1">
        <f t="array" ref="AB375">IFERROR(_xlfn.XLOOKUP('01_Input_Raw_Products'!D375,'16_Astro_Flags'!A:A,'16_Astro_Flags'!B:B),"")</f>
        <v>0</v>
      </c>
      <c r="AC375" s="9">
        <f>IF(C375="","","Catalog, Search")</f>
        <v>0</v>
      </c>
      <c r="AD375" s="9">
        <f>IF(C375="","",IF(OR(F375="",J375="",M375="",S375="",Y375=""),"Manual Review","Ready"))</f>
        <v>0</v>
      </c>
      <c r="AE375" s="9">
        <f>IF(C375="","",TEXTJOIN("; ",TRUE,IF(F375="","Missing url_key",""),IF(J375="","Missing classification",""),IF(M375="","Missing j_colour",""),IF(S375="","Missing hsn_code",""),IF(Y375="","Missing tax_class_id","")))</f>
        <v>0</v>
      </c>
    </row>
    <row r="376" spans="1:31">
      <c r="A376" s="9">
        <f>IF('01_Input_Raw_Products'!B376&lt;&gt;"",20,"")</f>
        <v>0</v>
      </c>
      <c r="B376" s="9" cm="1">
        <f t="array" ref="B376">IF('01_Input_Raw_Products'!M376&lt;&gt;"",'01_Input_Raw_Products'!M376,IFERROR(_xlfn.XLOOKUP('01_Input_Raw_Products'!F376,'10_Master_Gem_Types'!A:A,'10_Master_Gem_Types'!K:K),""))</f>
        <v>0</v>
      </c>
      <c r="C376" s="9">
        <f>'01_Input_Raw_Products'!B376</f>
        <v>0</v>
      </c>
      <c r="D376" s="9">
        <f>IF(C376="","",TEXT(I376,"0.00")&amp;" Ct "&amp;IF('01_Input_Raw_Products'!F376&lt;&gt;"",'01_Input_Raw_Products'!F376,'01_Input_Raw_Products'!D376)&amp;" "&amp;'01_Input_Raw_Products'!I376)</f>
        <v>0</v>
      </c>
      <c r="E376" s="9">
        <f>IF(C376="","",D376&amp;" | GemPundit")</f>
        <v>0</v>
      </c>
      <c r="F376" s="9" cm="1">
        <f t="array" ref="F376">IF('01_Input_Raw_Products'!X376&lt;&gt;"",'01_Input_Raw_Products'!X376,IFERROR(_xlfn.XLOOKUP('01_Input_Raw_Products'!F376,'10_Master_Gem_Types'!A:A,'10_Master_Gem_Types'!O:O),LOWER(SUBSTITUTE(IF('01_Input_Raw_Products'!F376&lt;&gt;"",'01_Input_Raw_Products'!F376,'01_Input_Raw_Products'!D376)," ","-"))))</f>
        <v>0</v>
      </c>
      <c r="G376" s="9">
        <f>'01_Input_Raw_Products'!C376</f>
        <v>0</v>
      </c>
      <c r="H376" s="9" cm="1">
        <f t="array" ref="H376">IF('01_Input_Raw_Products'!H376&lt;&gt;"",'01_Input_Raw_Products'!H376,IFERROR(_xlfn.XLOOKUP('01_Input_Raw_Products'!F376,'10_Master_Gem_Types'!A:A,'10_Master_Gem_Types'!D:D),""))</f>
        <v>0</v>
      </c>
      <c r="I376" s="7">
        <f>IF('01_Input_Raw_Products'!N376&lt;&gt;"",'01_Input_Raw_Products'!N376,IF('01_Input_Raw_Products'!O376&lt;&gt;"",'01_Input_Raw_Products'!O376*0.91,""))</f>
        <v>0</v>
      </c>
      <c r="J376" s="9" cm="1">
        <f t="array" ref="J376">IFERROR(_xlfn.XLOOKUP('01_Input_Raw_Products'!F376,'10_Master_Gem_Types'!A:A,'10_Master_Gem_Types'!N:N),"")</f>
        <v>0</v>
      </c>
      <c r="K376" s="9" cm="1">
        <f t="array" ref="K376">IF('01_Input_Raw_Products'!J376&lt;&gt;"",'01_Input_Raw_Products'!J376,IFERROR(_xlfn.XLOOKUP('01_Input_Raw_Products'!F376,'10_Master_Gem_Types'!A:A,'10_Master_Gem_Types'!E:E),""))</f>
        <v>0</v>
      </c>
      <c r="L376" s="9">
        <f>'01_Input_Raw_Products'!P376</f>
        <v>0</v>
      </c>
      <c r="M376" s="9" cm="1">
        <f t="array" ref="M376">IFERROR(_xlfn.XLOOKUP('01_Input_Raw_Products'!K376,'12_Color_Mapping'!A:A,'12_Color_Mapping'!B:B),IFERROR(_xlfn.XLOOKUP('01_Input_Raw_Products'!F376,'10_Master_Gem_Types'!A:A,'10_Master_Gem_Types'!F:F),""))</f>
        <v>0</v>
      </c>
      <c r="N376" s="9">
        <f>IF(C376="","",IF('01_Input_Raw_Products'!F376&lt;&gt;"",'01_Input_Raw_Products'!F376,'01_Input_Raw_Products'!D376))</f>
        <v>0</v>
      </c>
      <c r="O376" s="9">
        <f>IF(C376="","","Catalog Automation")</f>
        <v>0</v>
      </c>
      <c r="P376" s="9">
        <f>'01_Input_Raw_Products'!U376</f>
        <v>0</v>
      </c>
      <c r="Q376" s="7">
        <f>IF('01_Input_Raw_Products'!O376&lt;&gt;"",'01_Input_Raw_Products'!O376,IF('01_Input_Raw_Products'!N376&lt;&gt;"",'01_Input_Raw_Products'!N376*1.1,""))</f>
        <v>0</v>
      </c>
      <c r="R376" s="9">
        <f>'01_Input_Raw_Products'!S376</f>
        <v>0</v>
      </c>
      <c r="S376" s="9" cm="1">
        <f t="array" ref="S376">IFERROR(_xlfn.XLOOKUP('01_Input_Raw_Products'!F376,'10_Master_Gem_Types'!A:A,'10_Master_Gem_Types'!H:H),"")</f>
        <v>0</v>
      </c>
      <c r="T376" s="8">
        <f>'01_Input_Raw_Products'!Q376</f>
        <v>0</v>
      </c>
      <c r="U376" s="8">
        <f>'01_Input_Raw_Products'!R376</f>
        <v>0</v>
      </c>
      <c r="V376" s="7">
        <f>I376</f>
        <v>0</v>
      </c>
      <c r="W376" s="9" cm="1">
        <f t="array" ref="W376">IF('01_Input_Raw_Products'!G376&lt;&gt;"",'01_Input_Raw_Products'!G376,IFERROR(_xlfn.XLOOKUP('01_Input_Raw_Products'!F376,'10_Master_Gem_Types'!A:A,'10_Master_Gem_Types'!L:L),""))</f>
        <v>0</v>
      </c>
      <c r="X376" s="9" cm="1">
        <f t="array" ref="X376">IFERROR(_xlfn.XLOOKUP('01_Input_Raw_Products'!F376,'10_Master_Gem_Types'!A:A,'10_Master_Gem_Types'!J:J),"")</f>
        <v>0</v>
      </c>
      <c r="Y376" s="9" cm="1">
        <f t="array" ref="Y376">IFERROR(_xlfn.XLOOKUP('01_Input_Raw_Products'!F376,'10_Master_Gem_Types'!A:A,'10_Master_Gem_Types'!I:I),"")</f>
        <v>0</v>
      </c>
      <c r="Z376" s="9" cm="1">
        <f t="array" ref="Z376">IFERROR(_xlfn.XLOOKUP('01_Input_Raw_Products'!L376,'13_Certification_Stickers'!A:A,'13_Certification_Stickers'!C:C),"")</f>
        <v>0</v>
      </c>
      <c r="AA376" s="9" cm="1">
        <f t="array" ref="AA376">IFERROR(_xlfn.XLOOKUP('01_Input_Raw_Products'!S376,'14_Shipping_Rules'!A:A,'14_Shipping_Rules'!B:B),"")</f>
        <v>0</v>
      </c>
      <c r="AB376" s="9" cm="1">
        <f t="array" ref="AB376">IFERROR(_xlfn.XLOOKUP('01_Input_Raw_Products'!D376,'16_Astro_Flags'!A:A,'16_Astro_Flags'!B:B),"")</f>
        <v>0</v>
      </c>
      <c r="AC376" s="9">
        <f>IF(C376="","","Catalog, Search")</f>
        <v>0</v>
      </c>
      <c r="AD376" s="9">
        <f>IF(C376="","",IF(OR(F376="",J376="",M376="",S376="",Y376=""),"Manual Review","Ready"))</f>
        <v>0</v>
      </c>
      <c r="AE376" s="9">
        <f>IF(C376="","",TEXTJOIN("; ",TRUE,IF(F376="","Missing url_key",""),IF(J376="","Missing classification",""),IF(M376="","Missing j_colour",""),IF(S376="","Missing hsn_code",""),IF(Y376="","Missing tax_class_id","")))</f>
        <v>0</v>
      </c>
    </row>
    <row r="377" spans="1:31">
      <c r="A377" s="9">
        <f>IF('01_Input_Raw_Products'!B377&lt;&gt;"",20,"")</f>
        <v>0</v>
      </c>
      <c r="B377" s="9" cm="1">
        <f t="array" ref="B377">IF('01_Input_Raw_Products'!M377&lt;&gt;"",'01_Input_Raw_Products'!M377,IFERROR(_xlfn.XLOOKUP('01_Input_Raw_Products'!F377,'10_Master_Gem_Types'!A:A,'10_Master_Gem_Types'!K:K),""))</f>
        <v>0</v>
      </c>
      <c r="C377" s="9">
        <f>'01_Input_Raw_Products'!B377</f>
        <v>0</v>
      </c>
      <c r="D377" s="9">
        <f>IF(C377="","",TEXT(I377,"0.00")&amp;" Ct "&amp;IF('01_Input_Raw_Products'!F377&lt;&gt;"",'01_Input_Raw_Products'!F377,'01_Input_Raw_Products'!D377)&amp;" "&amp;'01_Input_Raw_Products'!I377)</f>
        <v>0</v>
      </c>
      <c r="E377" s="9">
        <f>IF(C377="","",D377&amp;" | GemPundit")</f>
        <v>0</v>
      </c>
      <c r="F377" s="9" cm="1">
        <f t="array" ref="F377">IF('01_Input_Raw_Products'!X377&lt;&gt;"",'01_Input_Raw_Products'!X377,IFERROR(_xlfn.XLOOKUP('01_Input_Raw_Products'!F377,'10_Master_Gem_Types'!A:A,'10_Master_Gem_Types'!O:O),LOWER(SUBSTITUTE(IF('01_Input_Raw_Products'!F377&lt;&gt;"",'01_Input_Raw_Products'!F377,'01_Input_Raw_Products'!D377)," ","-"))))</f>
        <v>0</v>
      </c>
      <c r="G377" s="9">
        <f>'01_Input_Raw_Products'!C377</f>
        <v>0</v>
      </c>
      <c r="H377" s="9" cm="1">
        <f t="array" ref="H377">IF('01_Input_Raw_Products'!H377&lt;&gt;"",'01_Input_Raw_Products'!H377,IFERROR(_xlfn.XLOOKUP('01_Input_Raw_Products'!F377,'10_Master_Gem_Types'!A:A,'10_Master_Gem_Types'!D:D),""))</f>
        <v>0</v>
      </c>
      <c r="I377" s="7">
        <f>IF('01_Input_Raw_Products'!N377&lt;&gt;"",'01_Input_Raw_Products'!N377,IF('01_Input_Raw_Products'!O377&lt;&gt;"",'01_Input_Raw_Products'!O377*0.91,""))</f>
        <v>0</v>
      </c>
      <c r="J377" s="9" cm="1">
        <f t="array" ref="J377">IFERROR(_xlfn.XLOOKUP('01_Input_Raw_Products'!F377,'10_Master_Gem_Types'!A:A,'10_Master_Gem_Types'!N:N),"")</f>
        <v>0</v>
      </c>
      <c r="K377" s="9" cm="1">
        <f t="array" ref="K377">IF('01_Input_Raw_Products'!J377&lt;&gt;"",'01_Input_Raw_Products'!J377,IFERROR(_xlfn.XLOOKUP('01_Input_Raw_Products'!F377,'10_Master_Gem_Types'!A:A,'10_Master_Gem_Types'!E:E),""))</f>
        <v>0</v>
      </c>
      <c r="L377" s="9">
        <f>'01_Input_Raw_Products'!P377</f>
        <v>0</v>
      </c>
      <c r="M377" s="9" cm="1">
        <f t="array" ref="M377">IFERROR(_xlfn.XLOOKUP('01_Input_Raw_Products'!K377,'12_Color_Mapping'!A:A,'12_Color_Mapping'!B:B),IFERROR(_xlfn.XLOOKUP('01_Input_Raw_Products'!F377,'10_Master_Gem_Types'!A:A,'10_Master_Gem_Types'!F:F),""))</f>
        <v>0</v>
      </c>
      <c r="N377" s="9">
        <f>IF(C377="","",IF('01_Input_Raw_Products'!F377&lt;&gt;"",'01_Input_Raw_Products'!F377,'01_Input_Raw_Products'!D377))</f>
        <v>0</v>
      </c>
      <c r="O377" s="9">
        <f>IF(C377="","","Catalog Automation")</f>
        <v>0</v>
      </c>
      <c r="P377" s="9">
        <f>'01_Input_Raw_Products'!U377</f>
        <v>0</v>
      </c>
      <c r="Q377" s="7">
        <f>IF('01_Input_Raw_Products'!O377&lt;&gt;"",'01_Input_Raw_Products'!O377,IF('01_Input_Raw_Products'!N377&lt;&gt;"",'01_Input_Raw_Products'!N377*1.1,""))</f>
        <v>0</v>
      </c>
      <c r="R377" s="9">
        <f>'01_Input_Raw_Products'!S377</f>
        <v>0</v>
      </c>
      <c r="S377" s="9" cm="1">
        <f t="array" ref="S377">IFERROR(_xlfn.XLOOKUP('01_Input_Raw_Products'!F377,'10_Master_Gem_Types'!A:A,'10_Master_Gem_Types'!H:H),"")</f>
        <v>0</v>
      </c>
      <c r="T377" s="8">
        <f>'01_Input_Raw_Products'!Q377</f>
        <v>0</v>
      </c>
      <c r="U377" s="8">
        <f>'01_Input_Raw_Products'!R377</f>
        <v>0</v>
      </c>
      <c r="V377" s="7">
        <f>I377</f>
        <v>0</v>
      </c>
      <c r="W377" s="9" cm="1">
        <f t="array" ref="W377">IF('01_Input_Raw_Products'!G377&lt;&gt;"",'01_Input_Raw_Products'!G377,IFERROR(_xlfn.XLOOKUP('01_Input_Raw_Products'!F377,'10_Master_Gem_Types'!A:A,'10_Master_Gem_Types'!L:L),""))</f>
        <v>0</v>
      </c>
      <c r="X377" s="9" cm="1">
        <f t="array" ref="X377">IFERROR(_xlfn.XLOOKUP('01_Input_Raw_Products'!F377,'10_Master_Gem_Types'!A:A,'10_Master_Gem_Types'!J:J),"")</f>
        <v>0</v>
      </c>
      <c r="Y377" s="9" cm="1">
        <f t="array" ref="Y377">IFERROR(_xlfn.XLOOKUP('01_Input_Raw_Products'!F377,'10_Master_Gem_Types'!A:A,'10_Master_Gem_Types'!I:I),"")</f>
        <v>0</v>
      </c>
      <c r="Z377" s="9" cm="1">
        <f t="array" ref="Z377">IFERROR(_xlfn.XLOOKUP('01_Input_Raw_Products'!L377,'13_Certification_Stickers'!A:A,'13_Certification_Stickers'!C:C),"")</f>
        <v>0</v>
      </c>
      <c r="AA377" s="9" cm="1">
        <f t="array" ref="AA377">IFERROR(_xlfn.XLOOKUP('01_Input_Raw_Products'!S377,'14_Shipping_Rules'!A:A,'14_Shipping_Rules'!B:B),"")</f>
        <v>0</v>
      </c>
      <c r="AB377" s="9" cm="1">
        <f t="array" ref="AB377">IFERROR(_xlfn.XLOOKUP('01_Input_Raw_Products'!D377,'16_Astro_Flags'!A:A,'16_Astro_Flags'!B:B),"")</f>
        <v>0</v>
      </c>
      <c r="AC377" s="9">
        <f>IF(C377="","","Catalog, Search")</f>
        <v>0</v>
      </c>
      <c r="AD377" s="9">
        <f>IF(C377="","",IF(OR(F377="",J377="",M377="",S377="",Y377=""),"Manual Review","Ready"))</f>
        <v>0</v>
      </c>
      <c r="AE377" s="9">
        <f>IF(C377="","",TEXTJOIN("; ",TRUE,IF(F377="","Missing url_key",""),IF(J377="","Missing classification",""),IF(M377="","Missing j_colour",""),IF(S377="","Missing hsn_code",""),IF(Y377="","Missing tax_class_id","")))</f>
        <v>0</v>
      </c>
    </row>
    <row r="378" spans="1:31">
      <c r="A378" s="9">
        <f>IF('01_Input_Raw_Products'!B378&lt;&gt;"",20,"")</f>
        <v>0</v>
      </c>
      <c r="B378" s="9" cm="1">
        <f t="array" ref="B378">IF('01_Input_Raw_Products'!M378&lt;&gt;"",'01_Input_Raw_Products'!M378,IFERROR(_xlfn.XLOOKUP('01_Input_Raw_Products'!F378,'10_Master_Gem_Types'!A:A,'10_Master_Gem_Types'!K:K),""))</f>
        <v>0</v>
      </c>
      <c r="C378" s="9">
        <f>'01_Input_Raw_Products'!B378</f>
        <v>0</v>
      </c>
      <c r="D378" s="9">
        <f>IF(C378="","",TEXT(I378,"0.00")&amp;" Ct "&amp;IF('01_Input_Raw_Products'!F378&lt;&gt;"",'01_Input_Raw_Products'!F378,'01_Input_Raw_Products'!D378)&amp;" "&amp;'01_Input_Raw_Products'!I378)</f>
        <v>0</v>
      </c>
      <c r="E378" s="9">
        <f>IF(C378="","",D378&amp;" | GemPundit")</f>
        <v>0</v>
      </c>
      <c r="F378" s="9" cm="1">
        <f t="array" ref="F378">IF('01_Input_Raw_Products'!X378&lt;&gt;"",'01_Input_Raw_Products'!X378,IFERROR(_xlfn.XLOOKUP('01_Input_Raw_Products'!F378,'10_Master_Gem_Types'!A:A,'10_Master_Gem_Types'!O:O),LOWER(SUBSTITUTE(IF('01_Input_Raw_Products'!F378&lt;&gt;"",'01_Input_Raw_Products'!F378,'01_Input_Raw_Products'!D378)," ","-"))))</f>
        <v>0</v>
      </c>
      <c r="G378" s="9">
        <f>'01_Input_Raw_Products'!C378</f>
        <v>0</v>
      </c>
      <c r="H378" s="9" cm="1">
        <f t="array" ref="H378">IF('01_Input_Raw_Products'!H378&lt;&gt;"",'01_Input_Raw_Products'!H378,IFERROR(_xlfn.XLOOKUP('01_Input_Raw_Products'!F378,'10_Master_Gem_Types'!A:A,'10_Master_Gem_Types'!D:D),""))</f>
        <v>0</v>
      </c>
      <c r="I378" s="7">
        <f>IF('01_Input_Raw_Products'!N378&lt;&gt;"",'01_Input_Raw_Products'!N378,IF('01_Input_Raw_Products'!O378&lt;&gt;"",'01_Input_Raw_Products'!O378*0.91,""))</f>
        <v>0</v>
      </c>
      <c r="J378" s="9" cm="1">
        <f t="array" ref="J378">IFERROR(_xlfn.XLOOKUP('01_Input_Raw_Products'!F378,'10_Master_Gem_Types'!A:A,'10_Master_Gem_Types'!N:N),"")</f>
        <v>0</v>
      </c>
      <c r="K378" s="9" cm="1">
        <f t="array" ref="K378">IF('01_Input_Raw_Products'!J378&lt;&gt;"",'01_Input_Raw_Products'!J378,IFERROR(_xlfn.XLOOKUP('01_Input_Raw_Products'!F378,'10_Master_Gem_Types'!A:A,'10_Master_Gem_Types'!E:E),""))</f>
        <v>0</v>
      </c>
      <c r="L378" s="9">
        <f>'01_Input_Raw_Products'!P378</f>
        <v>0</v>
      </c>
      <c r="M378" s="9" cm="1">
        <f t="array" ref="M378">IFERROR(_xlfn.XLOOKUP('01_Input_Raw_Products'!K378,'12_Color_Mapping'!A:A,'12_Color_Mapping'!B:B),IFERROR(_xlfn.XLOOKUP('01_Input_Raw_Products'!F378,'10_Master_Gem_Types'!A:A,'10_Master_Gem_Types'!F:F),""))</f>
        <v>0</v>
      </c>
      <c r="N378" s="9">
        <f>IF(C378="","",IF('01_Input_Raw_Products'!F378&lt;&gt;"",'01_Input_Raw_Products'!F378,'01_Input_Raw_Products'!D378))</f>
        <v>0</v>
      </c>
      <c r="O378" s="9">
        <f>IF(C378="","","Catalog Automation")</f>
        <v>0</v>
      </c>
      <c r="P378" s="9">
        <f>'01_Input_Raw_Products'!U378</f>
        <v>0</v>
      </c>
      <c r="Q378" s="7">
        <f>IF('01_Input_Raw_Products'!O378&lt;&gt;"",'01_Input_Raw_Products'!O378,IF('01_Input_Raw_Products'!N378&lt;&gt;"",'01_Input_Raw_Products'!N378*1.1,""))</f>
        <v>0</v>
      </c>
      <c r="R378" s="9">
        <f>'01_Input_Raw_Products'!S378</f>
        <v>0</v>
      </c>
      <c r="S378" s="9" cm="1">
        <f t="array" ref="S378">IFERROR(_xlfn.XLOOKUP('01_Input_Raw_Products'!F378,'10_Master_Gem_Types'!A:A,'10_Master_Gem_Types'!H:H),"")</f>
        <v>0</v>
      </c>
      <c r="T378" s="8">
        <f>'01_Input_Raw_Products'!Q378</f>
        <v>0</v>
      </c>
      <c r="U378" s="8">
        <f>'01_Input_Raw_Products'!R378</f>
        <v>0</v>
      </c>
      <c r="V378" s="7">
        <f>I378</f>
        <v>0</v>
      </c>
      <c r="W378" s="9" cm="1">
        <f t="array" ref="W378">IF('01_Input_Raw_Products'!G378&lt;&gt;"",'01_Input_Raw_Products'!G378,IFERROR(_xlfn.XLOOKUP('01_Input_Raw_Products'!F378,'10_Master_Gem_Types'!A:A,'10_Master_Gem_Types'!L:L),""))</f>
        <v>0</v>
      </c>
      <c r="X378" s="9" cm="1">
        <f t="array" ref="X378">IFERROR(_xlfn.XLOOKUP('01_Input_Raw_Products'!F378,'10_Master_Gem_Types'!A:A,'10_Master_Gem_Types'!J:J),"")</f>
        <v>0</v>
      </c>
      <c r="Y378" s="9" cm="1">
        <f t="array" ref="Y378">IFERROR(_xlfn.XLOOKUP('01_Input_Raw_Products'!F378,'10_Master_Gem_Types'!A:A,'10_Master_Gem_Types'!I:I),"")</f>
        <v>0</v>
      </c>
      <c r="Z378" s="9" cm="1">
        <f t="array" ref="Z378">IFERROR(_xlfn.XLOOKUP('01_Input_Raw_Products'!L378,'13_Certification_Stickers'!A:A,'13_Certification_Stickers'!C:C),"")</f>
        <v>0</v>
      </c>
      <c r="AA378" s="9" cm="1">
        <f t="array" ref="AA378">IFERROR(_xlfn.XLOOKUP('01_Input_Raw_Products'!S378,'14_Shipping_Rules'!A:A,'14_Shipping_Rules'!B:B),"")</f>
        <v>0</v>
      </c>
      <c r="AB378" s="9" cm="1">
        <f t="array" ref="AB378">IFERROR(_xlfn.XLOOKUP('01_Input_Raw_Products'!D378,'16_Astro_Flags'!A:A,'16_Astro_Flags'!B:B),"")</f>
        <v>0</v>
      </c>
      <c r="AC378" s="9">
        <f>IF(C378="","","Catalog, Search")</f>
        <v>0</v>
      </c>
      <c r="AD378" s="9">
        <f>IF(C378="","",IF(OR(F378="",J378="",M378="",S378="",Y378=""),"Manual Review","Ready"))</f>
        <v>0</v>
      </c>
      <c r="AE378" s="9">
        <f>IF(C378="","",TEXTJOIN("; ",TRUE,IF(F378="","Missing url_key",""),IF(J378="","Missing classification",""),IF(M378="","Missing j_colour",""),IF(S378="","Missing hsn_code",""),IF(Y378="","Missing tax_class_id","")))</f>
        <v>0</v>
      </c>
    </row>
    <row r="379" spans="1:31">
      <c r="A379" s="9">
        <f>IF('01_Input_Raw_Products'!B379&lt;&gt;"",20,"")</f>
        <v>0</v>
      </c>
      <c r="B379" s="9" cm="1">
        <f t="array" ref="B379">IF('01_Input_Raw_Products'!M379&lt;&gt;"",'01_Input_Raw_Products'!M379,IFERROR(_xlfn.XLOOKUP('01_Input_Raw_Products'!F379,'10_Master_Gem_Types'!A:A,'10_Master_Gem_Types'!K:K),""))</f>
        <v>0</v>
      </c>
      <c r="C379" s="9">
        <f>'01_Input_Raw_Products'!B379</f>
        <v>0</v>
      </c>
      <c r="D379" s="9">
        <f>IF(C379="","",TEXT(I379,"0.00")&amp;" Ct "&amp;IF('01_Input_Raw_Products'!F379&lt;&gt;"",'01_Input_Raw_Products'!F379,'01_Input_Raw_Products'!D379)&amp;" "&amp;'01_Input_Raw_Products'!I379)</f>
        <v>0</v>
      </c>
      <c r="E379" s="9">
        <f>IF(C379="","",D379&amp;" | GemPundit")</f>
        <v>0</v>
      </c>
      <c r="F379" s="9" cm="1">
        <f t="array" ref="F379">IF('01_Input_Raw_Products'!X379&lt;&gt;"",'01_Input_Raw_Products'!X379,IFERROR(_xlfn.XLOOKUP('01_Input_Raw_Products'!F379,'10_Master_Gem_Types'!A:A,'10_Master_Gem_Types'!O:O),LOWER(SUBSTITUTE(IF('01_Input_Raw_Products'!F379&lt;&gt;"",'01_Input_Raw_Products'!F379,'01_Input_Raw_Products'!D379)," ","-"))))</f>
        <v>0</v>
      </c>
      <c r="G379" s="9">
        <f>'01_Input_Raw_Products'!C379</f>
        <v>0</v>
      </c>
      <c r="H379" s="9" cm="1">
        <f t="array" ref="H379">IF('01_Input_Raw_Products'!H379&lt;&gt;"",'01_Input_Raw_Products'!H379,IFERROR(_xlfn.XLOOKUP('01_Input_Raw_Products'!F379,'10_Master_Gem_Types'!A:A,'10_Master_Gem_Types'!D:D),""))</f>
        <v>0</v>
      </c>
      <c r="I379" s="7">
        <f>IF('01_Input_Raw_Products'!N379&lt;&gt;"",'01_Input_Raw_Products'!N379,IF('01_Input_Raw_Products'!O379&lt;&gt;"",'01_Input_Raw_Products'!O379*0.91,""))</f>
        <v>0</v>
      </c>
      <c r="J379" s="9" cm="1">
        <f t="array" ref="J379">IFERROR(_xlfn.XLOOKUP('01_Input_Raw_Products'!F379,'10_Master_Gem_Types'!A:A,'10_Master_Gem_Types'!N:N),"")</f>
        <v>0</v>
      </c>
      <c r="K379" s="9" cm="1">
        <f t="array" ref="K379">IF('01_Input_Raw_Products'!J379&lt;&gt;"",'01_Input_Raw_Products'!J379,IFERROR(_xlfn.XLOOKUP('01_Input_Raw_Products'!F379,'10_Master_Gem_Types'!A:A,'10_Master_Gem_Types'!E:E),""))</f>
        <v>0</v>
      </c>
      <c r="L379" s="9">
        <f>'01_Input_Raw_Products'!P379</f>
        <v>0</v>
      </c>
      <c r="M379" s="9" cm="1">
        <f t="array" ref="M379">IFERROR(_xlfn.XLOOKUP('01_Input_Raw_Products'!K379,'12_Color_Mapping'!A:A,'12_Color_Mapping'!B:B),IFERROR(_xlfn.XLOOKUP('01_Input_Raw_Products'!F379,'10_Master_Gem_Types'!A:A,'10_Master_Gem_Types'!F:F),""))</f>
        <v>0</v>
      </c>
      <c r="N379" s="9">
        <f>IF(C379="","",IF('01_Input_Raw_Products'!F379&lt;&gt;"",'01_Input_Raw_Products'!F379,'01_Input_Raw_Products'!D379))</f>
        <v>0</v>
      </c>
      <c r="O379" s="9">
        <f>IF(C379="","","Catalog Automation")</f>
        <v>0</v>
      </c>
      <c r="P379" s="9">
        <f>'01_Input_Raw_Products'!U379</f>
        <v>0</v>
      </c>
      <c r="Q379" s="7">
        <f>IF('01_Input_Raw_Products'!O379&lt;&gt;"",'01_Input_Raw_Products'!O379,IF('01_Input_Raw_Products'!N379&lt;&gt;"",'01_Input_Raw_Products'!N379*1.1,""))</f>
        <v>0</v>
      </c>
      <c r="R379" s="9">
        <f>'01_Input_Raw_Products'!S379</f>
        <v>0</v>
      </c>
      <c r="S379" s="9" cm="1">
        <f t="array" ref="S379">IFERROR(_xlfn.XLOOKUP('01_Input_Raw_Products'!F379,'10_Master_Gem_Types'!A:A,'10_Master_Gem_Types'!H:H),"")</f>
        <v>0</v>
      </c>
      <c r="T379" s="8">
        <f>'01_Input_Raw_Products'!Q379</f>
        <v>0</v>
      </c>
      <c r="U379" s="8">
        <f>'01_Input_Raw_Products'!R379</f>
        <v>0</v>
      </c>
      <c r="V379" s="7">
        <f>I379</f>
        <v>0</v>
      </c>
      <c r="W379" s="9" cm="1">
        <f t="array" ref="W379">IF('01_Input_Raw_Products'!G379&lt;&gt;"",'01_Input_Raw_Products'!G379,IFERROR(_xlfn.XLOOKUP('01_Input_Raw_Products'!F379,'10_Master_Gem_Types'!A:A,'10_Master_Gem_Types'!L:L),""))</f>
        <v>0</v>
      </c>
      <c r="X379" s="9" cm="1">
        <f t="array" ref="X379">IFERROR(_xlfn.XLOOKUP('01_Input_Raw_Products'!F379,'10_Master_Gem_Types'!A:A,'10_Master_Gem_Types'!J:J),"")</f>
        <v>0</v>
      </c>
      <c r="Y379" s="9" cm="1">
        <f t="array" ref="Y379">IFERROR(_xlfn.XLOOKUP('01_Input_Raw_Products'!F379,'10_Master_Gem_Types'!A:A,'10_Master_Gem_Types'!I:I),"")</f>
        <v>0</v>
      </c>
      <c r="Z379" s="9" cm="1">
        <f t="array" ref="Z379">IFERROR(_xlfn.XLOOKUP('01_Input_Raw_Products'!L379,'13_Certification_Stickers'!A:A,'13_Certification_Stickers'!C:C),"")</f>
        <v>0</v>
      </c>
      <c r="AA379" s="9" cm="1">
        <f t="array" ref="AA379">IFERROR(_xlfn.XLOOKUP('01_Input_Raw_Products'!S379,'14_Shipping_Rules'!A:A,'14_Shipping_Rules'!B:B),"")</f>
        <v>0</v>
      </c>
      <c r="AB379" s="9" cm="1">
        <f t="array" ref="AB379">IFERROR(_xlfn.XLOOKUP('01_Input_Raw_Products'!D379,'16_Astro_Flags'!A:A,'16_Astro_Flags'!B:B),"")</f>
        <v>0</v>
      </c>
      <c r="AC379" s="9">
        <f>IF(C379="","","Catalog, Search")</f>
        <v>0</v>
      </c>
      <c r="AD379" s="9">
        <f>IF(C379="","",IF(OR(F379="",J379="",M379="",S379="",Y379=""),"Manual Review","Ready"))</f>
        <v>0</v>
      </c>
      <c r="AE379" s="9">
        <f>IF(C379="","",TEXTJOIN("; ",TRUE,IF(F379="","Missing url_key",""),IF(J379="","Missing classification",""),IF(M379="","Missing j_colour",""),IF(S379="","Missing hsn_code",""),IF(Y379="","Missing tax_class_id","")))</f>
        <v>0</v>
      </c>
    </row>
    <row r="380" spans="1:31">
      <c r="A380" s="9">
        <f>IF('01_Input_Raw_Products'!B380&lt;&gt;"",20,"")</f>
        <v>0</v>
      </c>
      <c r="B380" s="9" cm="1">
        <f t="array" ref="B380">IF('01_Input_Raw_Products'!M380&lt;&gt;"",'01_Input_Raw_Products'!M380,IFERROR(_xlfn.XLOOKUP('01_Input_Raw_Products'!F380,'10_Master_Gem_Types'!A:A,'10_Master_Gem_Types'!K:K),""))</f>
        <v>0</v>
      </c>
      <c r="C380" s="9">
        <f>'01_Input_Raw_Products'!B380</f>
        <v>0</v>
      </c>
      <c r="D380" s="9">
        <f>IF(C380="","",TEXT(I380,"0.00")&amp;" Ct "&amp;IF('01_Input_Raw_Products'!F380&lt;&gt;"",'01_Input_Raw_Products'!F380,'01_Input_Raw_Products'!D380)&amp;" "&amp;'01_Input_Raw_Products'!I380)</f>
        <v>0</v>
      </c>
      <c r="E380" s="9">
        <f>IF(C380="","",D380&amp;" | GemPundit")</f>
        <v>0</v>
      </c>
      <c r="F380" s="9" cm="1">
        <f t="array" ref="F380">IF('01_Input_Raw_Products'!X380&lt;&gt;"",'01_Input_Raw_Products'!X380,IFERROR(_xlfn.XLOOKUP('01_Input_Raw_Products'!F380,'10_Master_Gem_Types'!A:A,'10_Master_Gem_Types'!O:O),LOWER(SUBSTITUTE(IF('01_Input_Raw_Products'!F380&lt;&gt;"",'01_Input_Raw_Products'!F380,'01_Input_Raw_Products'!D380)," ","-"))))</f>
        <v>0</v>
      </c>
      <c r="G380" s="9">
        <f>'01_Input_Raw_Products'!C380</f>
        <v>0</v>
      </c>
      <c r="H380" s="9" cm="1">
        <f t="array" ref="H380">IF('01_Input_Raw_Products'!H380&lt;&gt;"",'01_Input_Raw_Products'!H380,IFERROR(_xlfn.XLOOKUP('01_Input_Raw_Products'!F380,'10_Master_Gem_Types'!A:A,'10_Master_Gem_Types'!D:D),""))</f>
        <v>0</v>
      </c>
      <c r="I380" s="7">
        <f>IF('01_Input_Raw_Products'!N380&lt;&gt;"",'01_Input_Raw_Products'!N380,IF('01_Input_Raw_Products'!O380&lt;&gt;"",'01_Input_Raw_Products'!O380*0.91,""))</f>
        <v>0</v>
      </c>
      <c r="J380" s="9" cm="1">
        <f t="array" ref="J380">IFERROR(_xlfn.XLOOKUP('01_Input_Raw_Products'!F380,'10_Master_Gem_Types'!A:A,'10_Master_Gem_Types'!N:N),"")</f>
        <v>0</v>
      </c>
      <c r="K380" s="9" cm="1">
        <f t="array" ref="K380">IF('01_Input_Raw_Products'!J380&lt;&gt;"",'01_Input_Raw_Products'!J380,IFERROR(_xlfn.XLOOKUP('01_Input_Raw_Products'!F380,'10_Master_Gem_Types'!A:A,'10_Master_Gem_Types'!E:E),""))</f>
        <v>0</v>
      </c>
      <c r="L380" s="9">
        <f>'01_Input_Raw_Products'!P380</f>
        <v>0</v>
      </c>
      <c r="M380" s="9" cm="1">
        <f t="array" ref="M380">IFERROR(_xlfn.XLOOKUP('01_Input_Raw_Products'!K380,'12_Color_Mapping'!A:A,'12_Color_Mapping'!B:B),IFERROR(_xlfn.XLOOKUP('01_Input_Raw_Products'!F380,'10_Master_Gem_Types'!A:A,'10_Master_Gem_Types'!F:F),""))</f>
        <v>0</v>
      </c>
      <c r="N380" s="9">
        <f>IF(C380="","",IF('01_Input_Raw_Products'!F380&lt;&gt;"",'01_Input_Raw_Products'!F380,'01_Input_Raw_Products'!D380))</f>
        <v>0</v>
      </c>
      <c r="O380" s="9">
        <f>IF(C380="","","Catalog Automation")</f>
        <v>0</v>
      </c>
      <c r="P380" s="9">
        <f>'01_Input_Raw_Products'!U380</f>
        <v>0</v>
      </c>
      <c r="Q380" s="7">
        <f>IF('01_Input_Raw_Products'!O380&lt;&gt;"",'01_Input_Raw_Products'!O380,IF('01_Input_Raw_Products'!N380&lt;&gt;"",'01_Input_Raw_Products'!N380*1.1,""))</f>
        <v>0</v>
      </c>
      <c r="R380" s="9">
        <f>'01_Input_Raw_Products'!S380</f>
        <v>0</v>
      </c>
      <c r="S380" s="9" cm="1">
        <f t="array" ref="S380">IFERROR(_xlfn.XLOOKUP('01_Input_Raw_Products'!F380,'10_Master_Gem_Types'!A:A,'10_Master_Gem_Types'!H:H),"")</f>
        <v>0</v>
      </c>
      <c r="T380" s="8">
        <f>'01_Input_Raw_Products'!Q380</f>
        <v>0</v>
      </c>
      <c r="U380" s="8">
        <f>'01_Input_Raw_Products'!R380</f>
        <v>0</v>
      </c>
      <c r="V380" s="7">
        <f>I380</f>
        <v>0</v>
      </c>
      <c r="W380" s="9" cm="1">
        <f t="array" ref="W380">IF('01_Input_Raw_Products'!G380&lt;&gt;"",'01_Input_Raw_Products'!G380,IFERROR(_xlfn.XLOOKUP('01_Input_Raw_Products'!F380,'10_Master_Gem_Types'!A:A,'10_Master_Gem_Types'!L:L),""))</f>
        <v>0</v>
      </c>
      <c r="X380" s="9" cm="1">
        <f t="array" ref="X380">IFERROR(_xlfn.XLOOKUP('01_Input_Raw_Products'!F380,'10_Master_Gem_Types'!A:A,'10_Master_Gem_Types'!J:J),"")</f>
        <v>0</v>
      </c>
      <c r="Y380" s="9" cm="1">
        <f t="array" ref="Y380">IFERROR(_xlfn.XLOOKUP('01_Input_Raw_Products'!F380,'10_Master_Gem_Types'!A:A,'10_Master_Gem_Types'!I:I),"")</f>
        <v>0</v>
      </c>
      <c r="Z380" s="9" cm="1">
        <f t="array" ref="Z380">IFERROR(_xlfn.XLOOKUP('01_Input_Raw_Products'!L380,'13_Certification_Stickers'!A:A,'13_Certification_Stickers'!C:C),"")</f>
        <v>0</v>
      </c>
      <c r="AA380" s="9" cm="1">
        <f t="array" ref="AA380">IFERROR(_xlfn.XLOOKUP('01_Input_Raw_Products'!S380,'14_Shipping_Rules'!A:A,'14_Shipping_Rules'!B:B),"")</f>
        <v>0</v>
      </c>
      <c r="AB380" s="9" cm="1">
        <f t="array" ref="AB380">IFERROR(_xlfn.XLOOKUP('01_Input_Raw_Products'!D380,'16_Astro_Flags'!A:A,'16_Astro_Flags'!B:B),"")</f>
        <v>0</v>
      </c>
      <c r="AC380" s="9">
        <f>IF(C380="","","Catalog, Search")</f>
        <v>0</v>
      </c>
      <c r="AD380" s="9">
        <f>IF(C380="","",IF(OR(F380="",J380="",M380="",S380="",Y380=""),"Manual Review","Ready"))</f>
        <v>0</v>
      </c>
      <c r="AE380" s="9">
        <f>IF(C380="","",TEXTJOIN("; ",TRUE,IF(F380="","Missing url_key",""),IF(J380="","Missing classification",""),IF(M380="","Missing j_colour",""),IF(S380="","Missing hsn_code",""),IF(Y380="","Missing tax_class_id","")))</f>
        <v>0</v>
      </c>
    </row>
    <row r="381" spans="1:31">
      <c r="A381" s="9">
        <f>IF('01_Input_Raw_Products'!B381&lt;&gt;"",20,"")</f>
        <v>0</v>
      </c>
      <c r="B381" s="9" cm="1">
        <f t="array" ref="B381">IF('01_Input_Raw_Products'!M381&lt;&gt;"",'01_Input_Raw_Products'!M381,IFERROR(_xlfn.XLOOKUP('01_Input_Raw_Products'!F381,'10_Master_Gem_Types'!A:A,'10_Master_Gem_Types'!K:K),""))</f>
        <v>0</v>
      </c>
      <c r="C381" s="9">
        <f>'01_Input_Raw_Products'!B381</f>
        <v>0</v>
      </c>
      <c r="D381" s="9">
        <f>IF(C381="","",TEXT(I381,"0.00")&amp;" Ct "&amp;IF('01_Input_Raw_Products'!F381&lt;&gt;"",'01_Input_Raw_Products'!F381,'01_Input_Raw_Products'!D381)&amp;" "&amp;'01_Input_Raw_Products'!I381)</f>
        <v>0</v>
      </c>
      <c r="E381" s="9">
        <f>IF(C381="","",D381&amp;" | GemPundit")</f>
        <v>0</v>
      </c>
      <c r="F381" s="9" cm="1">
        <f t="array" ref="F381">IF('01_Input_Raw_Products'!X381&lt;&gt;"",'01_Input_Raw_Products'!X381,IFERROR(_xlfn.XLOOKUP('01_Input_Raw_Products'!F381,'10_Master_Gem_Types'!A:A,'10_Master_Gem_Types'!O:O),LOWER(SUBSTITUTE(IF('01_Input_Raw_Products'!F381&lt;&gt;"",'01_Input_Raw_Products'!F381,'01_Input_Raw_Products'!D381)," ","-"))))</f>
        <v>0</v>
      </c>
      <c r="G381" s="9">
        <f>'01_Input_Raw_Products'!C381</f>
        <v>0</v>
      </c>
      <c r="H381" s="9" cm="1">
        <f t="array" ref="H381">IF('01_Input_Raw_Products'!H381&lt;&gt;"",'01_Input_Raw_Products'!H381,IFERROR(_xlfn.XLOOKUP('01_Input_Raw_Products'!F381,'10_Master_Gem_Types'!A:A,'10_Master_Gem_Types'!D:D),""))</f>
        <v>0</v>
      </c>
      <c r="I381" s="7">
        <f>IF('01_Input_Raw_Products'!N381&lt;&gt;"",'01_Input_Raw_Products'!N381,IF('01_Input_Raw_Products'!O381&lt;&gt;"",'01_Input_Raw_Products'!O381*0.91,""))</f>
        <v>0</v>
      </c>
      <c r="J381" s="9" cm="1">
        <f t="array" ref="J381">IFERROR(_xlfn.XLOOKUP('01_Input_Raw_Products'!F381,'10_Master_Gem_Types'!A:A,'10_Master_Gem_Types'!N:N),"")</f>
        <v>0</v>
      </c>
      <c r="K381" s="9" cm="1">
        <f t="array" ref="K381">IF('01_Input_Raw_Products'!J381&lt;&gt;"",'01_Input_Raw_Products'!J381,IFERROR(_xlfn.XLOOKUP('01_Input_Raw_Products'!F381,'10_Master_Gem_Types'!A:A,'10_Master_Gem_Types'!E:E),""))</f>
        <v>0</v>
      </c>
      <c r="L381" s="9">
        <f>'01_Input_Raw_Products'!P381</f>
        <v>0</v>
      </c>
      <c r="M381" s="9" cm="1">
        <f t="array" ref="M381">IFERROR(_xlfn.XLOOKUP('01_Input_Raw_Products'!K381,'12_Color_Mapping'!A:A,'12_Color_Mapping'!B:B),IFERROR(_xlfn.XLOOKUP('01_Input_Raw_Products'!F381,'10_Master_Gem_Types'!A:A,'10_Master_Gem_Types'!F:F),""))</f>
        <v>0</v>
      </c>
      <c r="N381" s="9">
        <f>IF(C381="","",IF('01_Input_Raw_Products'!F381&lt;&gt;"",'01_Input_Raw_Products'!F381,'01_Input_Raw_Products'!D381))</f>
        <v>0</v>
      </c>
      <c r="O381" s="9">
        <f>IF(C381="","","Catalog Automation")</f>
        <v>0</v>
      </c>
      <c r="P381" s="9">
        <f>'01_Input_Raw_Products'!U381</f>
        <v>0</v>
      </c>
      <c r="Q381" s="7">
        <f>IF('01_Input_Raw_Products'!O381&lt;&gt;"",'01_Input_Raw_Products'!O381,IF('01_Input_Raw_Products'!N381&lt;&gt;"",'01_Input_Raw_Products'!N381*1.1,""))</f>
        <v>0</v>
      </c>
      <c r="R381" s="9">
        <f>'01_Input_Raw_Products'!S381</f>
        <v>0</v>
      </c>
      <c r="S381" s="9" cm="1">
        <f t="array" ref="S381">IFERROR(_xlfn.XLOOKUP('01_Input_Raw_Products'!F381,'10_Master_Gem_Types'!A:A,'10_Master_Gem_Types'!H:H),"")</f>
        <v>0</v>
      </c>
      <c r="T381" s="8">
        <f>'01_Input_Raw_Products'!Q381</f>
        <v>0</v>
      </c>
      <c r="U381" s="8">
        <f>'01_Input_Raw_Products'!R381</f>
        <v>0</v>
      </c>
      <c r="V381" s="7">
        <f>I381</f>
        <v>0</v>
      </c>
      <c r="W381" s="9" cm="1">
        <f t="array" ref="W381">IF('01_Input_Raw_Products'!G381&lt;&gt;"",'01_Input_Raw_Products'!G381,IFERROR(_xlfn.XLOOKUP('01_Input_Raw_Products'!F381,'10_Master_Gem_Types'!A:A,'10_Master_Gem_Types'!L:L),""))</f>
        <v>0</v>
      </c>
      <c r="X381" s="9" cm="1">
        <f t="array" ref="X381">IFERROR(_xlfn.XLOOKUP('01_Input_Raw_Products'!F381,'10_Master_Gem_Types'!A:A,'10_Master_Gem_Types'!J:J),"")</f>
        <v>0</v>
      </c>
      <c r="Y381" s="9" cm="1">
        <f t="array" ref="Y381">IFERROR(_xlfn.XLOOKUP('01_Input_Raw_Products'!F381,'10_Master_Gem_Types'!A:A,'10_Master_Gem_Types'!I:I),"")</f>
        <v>0</v>
      </c>
      <c r="Z381" s="9" cm="1">
        <f t="array" ref="Z381">IFERROR(_xlfn.XLOOKUP('01_Input_Raw_Products'!L381,'13_Certification_Stickers'!A:A,'13_Certification_Stickers'!C:C),"")</f>
        <v>0</v>
      </c>
      <c r="AA381" s="9" cm="1">
        <f t="array" ref="AA381">IFERROR(_xlfn.XLOOKUP('01_Input_Raw_Products'!S381,'14_Shipping_Rules'!A:A,'14_Shipping_Rules'!B:B),"")</f>
        <v>0</v>
      </c>
      <c r="AB381" s="9" cm="1">
        <f t="array" ref="AB381">IFERROR(_xlfn.XLOOKUP('01_Input_Raw_Products'!D381,'16_Astro_Flags'!A:A,'16_Astro_Flags'!B:B),"")</f>
        <v>0</v>
      </c>
      <c r="AC381" s="9">
        <f>IF(C381="","","Catalog, Search")</f>
        <v>0</v>
      </c>
      <c r="AD381" s="9">
        <f>IF(C381="","",IF(OR(F381="",J381="",M381="",S381="",Y381=""),"Manual Review","Ready"))</f>
        <v>0</v>
      </c>
      <c r="AE381" s="9">
        <f>IF(C381="","",TEXTJOIN("; ",TRUE,IF(F381="","Missing url_key",""),IF(J381="","Missing classification",""),IF(M381="","Missing j_colour",""),IF(S381="","Missing hsn_code",""),IF(Y381="","Missing tax_class_id","")))</f>
        <v>0</v>
      </c>
    </row>
    <row r="382" spans="1:31">
      <c r="A382" s="9">
        <f>IF('01_Input_Raw_Products'!B382&lt;&gt;"",20,"")</f>
        <v>0</v>
      </c>
      <c r="B382" s="9" cm="1">
        <f t="array" ref="B382">IF('01_Input_Raw_Products'!M382&lt;&gt;"",'01_Input_Raw_Products'!M382,IFERROR(_xlfn.XLOOKUP('01_Input_Raw_Products'!F382,'10_Master_Gem_Types'!A:A,'10_Master_Gem_Types'!K:K),""))</f>
        <v>0</v>
      </c>
      <c r="C382" s="9">
        <f>'01_Input_Raw_Products'!B382</f>
        <v>0</v>
      </c>
      <c r="D382" s="9">
        <f>IF(C382="","",TEXT(I382,"0.00")&amp;" Ct "&amp;IF('01_Input_Raw_Products'!F382&lt;&gt;"",'01_Input_Raw_Products'!F382,'01_Input_Raw_Products'!D382)&amp;" "&amp;'01_Input_Raw_Products'!I382)</f>
        <v>0</v>
      </c>
      <c r="E382" s="9">
        <f>IF(C382="","",D382&amp;" | GemPundit")</f>
        <v>0</v>
      </c>
      <c r="F382" s="9" cm="1">
        <f t="array" ref="F382">IF('01_Input_Raw_Products'!X382&lt;&gt;"",'01_Input_Raw_Products'!X382,IFERROR(_xlfn.XLOOKUP('01_Input_Raw_Products'!F382,'10_Master_Gem_Types'!A:A,'10_Master_Gem_Types'!O:O),LOWER(SUBSTITUTE(IF('01_Input_Raw_Products'!F382&lt;&gt;"",'01_Input_Raw_Products'!F382,'01_Input_Raw_Products'!D382)," ","-"))))</f>
        <v>0</v>
      </c>
      <c r="G382" s="9">
        <f>'01_Input_Raw_Products'!C382</f>
        <v>0</v>
      </c>
      <c r="H382" s="9" cm="1">
        <f t="array" ref="H382">IF('01_Input_Raw_Products'!H382&lt;&gt;"",'01_Input_Raw_Products'!H382,IFERROR(_xlfn.XLOOKUP('01_Input_Raw_Products'!F382,'10_Master_Gem_Types'!A:A,'10_Master_Gem_Types'!D:D),""))</f>
        <v>0</v>
      </c>
      <c r="I382" s="7">
        <f>IF('01_Input_Raw_Products'!N382&lt;&gt;"",'01_Input_Raw_Products'!N382,IF('01_Input_Raw_Products'!O382&lt;&gt;"",'01_Input_Raw_Products'!O382*0.91,""))</f>
        <v>0</v>
      </c>
      <c r="J382" s="9" cm="1">
        <f t="array" ref="J382">IFERROR(_xlfn.XLOOKUP('01_Input_Raw_Products'!F382,'10_Master_Gem_Types'!A:A,'10_Master_Gem_Types'!N:N),"")</f>
        <v>0</v>
      </c>
      <c r="K382" s="9" cm="1">
        <f t="array" ref="K382">IF('01_Input_Raw_Products'!J382&lt;&gt;"",'01_Input_Raw_Products'!J382,IFERROR(_xlfn.XLOOKUP('01_Input_Raw_Products'!F382,'10_Master_Gem_Types'!A:A,'10_Master_Gem_Types'!E:E),""))</f>
        <v>0</v>
      </c>
      <c r="L382" s="9">
        <f>'01_Input_Raw_Products'!P382</f>
        <v>0</v>
      </c>
      <c r="M382" s="9" cm="1">
        <f t="array" ref="M382">IFERROR(_xlfn.XLOOKUP('01_Input_Raw_Products'!K382,'12_Color_Mapping'!A:A,'12_Color_Mapping'!B:B),IFERROR(_xlfn.XLOOKUP('01_Input_Raw_Products'!F382,'10_Master_Gem_Types'!A:A,'10_Master_Gem_Types'!F:F),""))</f>
        <v>0</v>
      </c>
      <c r="N382" s="9">
        <f>IF(C382="","",IF('01_Input_Raw_Products'!F382&lt;&gt;"",'01_Input_Raw_Products'!F382,'01_Input_Raw_Products'!D382))</f>
        <v>0</v>
      </c>
      <c r="O382" s="9">
        <f>IF(C382="","","Catalog Automation")</f>
        <v>0</v>
      </c>
      <c r="P382" s="9">
        <f>'01_Input_Raw_Products'!U382</f>
        <v>0</v>
      </c>
      <c r="Q382" s="7">
        <f>IF('01_Input_Raw_Products'!O382&lt;&gt;"",'01_Input_Raw_Products'!O382,IF('01_Input_Raw_Products'!N382&lt;&gt;"",'01_Input_Raw_Products'!N382*1.1,""))</f>
        <v>0</v>
      </c>
      <c r="R382" s="9">
        <f>'01_Input_Raw_Products'!S382</f>
        <v>0</v>
      </c>
      <c r="S382" s="9" cm="1">
        <f t="array" ref="S382">IFERROR(_xlfn.XLOOKUP('01_Input_Raw_Products'!F382,'10_Master_Gem_Types'!A:A,'10_Master_Gem_Types'!H:H),"")</f>
        <v>0</v>
      </c>
      <c r="T382" s="8">
        <f>'01_Input_Raw_Products'!Q382</f>
        <v>0</v>
      </c>
      <c r="U382" s="8">
        <f>'01_Input_Raw_Products'!R382</f>
        <v>0</v>
      </c>
      <c r="V382" s="7">
        <f>I382</f>
        <v>0</v>
      </c>
      <c r="W382" s="9" cm="1">
        <f t="array" ref="W382">IF('01_Input_Raw_Products'!G382&lt;&gt;"",'01_Input_Raw_Products'!G382,IFERROR(_xlfn.XLOOKUP('01_Input_Raw_Products'!F382,'10_Master_Gem_Types'!A:A,'10_Master_Gem_Types'!L:L),""))</f>
        <v>0</v>
      </c>
      <c r="X382" s="9" cm="1">
        <f t="array" ref="X382">IFERROR(_xlfn.XLOOKUP('01_Input_Raw_Products'!F382,'10_Master_Gem_Types'!A:A,'10_Master_Gem_Types'!J:J),"")</f>
        <v>0</v>
      </c>
      <c r="Y382" s="9" cm="1">
        <f t="array" ref="Y382">IFERROR(_xlfn.XLOOKUP('01_Input_Raw_Products'!F382,'10_Master_Gem_Types'!A:A,'10_Master_Gem_Types'!I:I),"")</f>
        <v>0</v>
      </c>
      <c r="Z382" s="9" cm="1">
        <f t="array" ref="Z382">IFERROR(_xlfn.XLOOKUP('01_Input_Raw_Products'!L382,'13_Certification_Stickers'!A:A,'13_Certification_Stickers'!C:C),"")</f>
        <v>0</v>
      </c>
      <c r="AA382" s="9" cm="1">
        <f t="array" ref="AA382">IFERROR(_xlfn.XLOOKUP('01_Input_Raw_Products'!S382,'14_Shipping_Rules'!A:A,'14_Shipping_Rules'!B:B),"")</f>
        <v>0</v>
      </c>
      <c r="AB382" s="9" cm="1">
        <f t="array" ref="AB382">IFERROR(_xlfn.XLOOKUP('01_Input_Raw_Products'!D382,'16_Astro_Flags'!A:A,'16_Astro_Flags'!B:B),"")</f>
        <v>0</v>
      </c>
      <c r="AC382" s="9">
        <f>IF(C382="","","Catalog, Search")</f>
        <v>0</v>
      </c>
      <c r="AD382" s="9">
        <f>IF(C382="","",IF(OR(F382="",J382="",M382="",S382="",Y382=""),"Manual Review","Ready"))</f>
        <v>0</v>
      </c>
      <c r="AE382" s="9">
        <f>IF(C382="","",TEXTJOIN("; ",TRUE,IF(F382="","Missing url_key",""),IF(J382="","Missing classification",""),IF(M382="","Missing j_colour",""),IF(S382="","Missing hsn_code",""),IF(Y382="","Missing tax_class_id","")))</f>
        <v>0</v>
      </c>
    </row>
    <row r="383" spans="1:31">
      <c r="A383" s="9">
        <f>IF('01_Input_Raw_Products'!B383&lt;&gt;"",20,"")</f>
        <v>0</v>
      </c>
      <c r="B383" s="9" cm="1">
        <f t="array" ref="B383">IF('01_Input_Raw_Products'!M383&lt;&gt;"",'01_Input_Raw_Products'!M383,IFERROR(_xlfn.XLOOKUP('01_Input_Raw_Products'!F383,'10_Master_Gem_Types'!A:A,'10_Master_Gem_Types'!K:K),""))</f>
        <v>0</v>
      </c>
      <c r="C383" s="9">
        <f>'01_Input_Raw_Products'!B383</f>
        <v>0</v>
      </c>
      <c r="D383" s="9">
        <f>IF(C383="","",TEXT(I383,"0.00")&amp;" Ct "&amp;IF('01_Input_Raw_Products'!F383&lt;&gt;"",'01_Input_Raw_Products'!F383,'01_Input_Raw_Products'!D383)&amp;" "&amp;'01_Input_Raw_Products'!I383)</f>
        <v>0</v>
      </c>
      <c r="E383" s="9">
        <f>IF(C383="","",D383&amp;" | GemPundit")</f>
        <v>0</v>
      </c>
      <c r="F383" s="9" cm="1">
        <f t="array" ref="F383">IF('01_Input_Raw_Products'!X383&lt;&gt;"",'01_Input_Raw_Products'!X383,IFERROR(_xlfn.XLOOKUP('01_Input_Raw_Products'!F383,'10_Master_Gem_Types'!A:A,'10_Master_Gem_Types'!O:O),LOWER(SUBSTITUTE(IF('01_Input_Raw_Products'!F383&lt;&gt;"",'01_Input_Raw_Products'!F383,'01_Input_Raw_Products'!D383)," ","-"))))</f>
        <v>0</v>
      </c>
      <c r="G383" s="9">
        <f>'01_Input_Raw_Products'!C383</f>
        <v>0</v>
      </c>
      <c r="H383" s="9" cm="1">
        <f t="array" ref="H383">IF('01_Input_Raw_Products'!H383&lt;&gt;"",'01_Input_Raw_Products'!H383,IFERROR(_xlfn.XLOOKUP('01_Input_Raw_Products'!F383,'10_Master_Gem_Types'!A:A,'10_Master_Gem_Types'!D:D),""))</f>
        <v>0</v>
      </c>
      <c r="I383" s="7">
        <f>IF('01_Input_Raw_Products'!N383&lt;&gt;"",'01_Input_Raw_Products'!N383,IF('01_Input_Raw_Products'!O383&lt;&gt;"",'01_Input_Raw_Products'!O383*0.91,""))</f>
        <v>0</v>
      </c>
      <c r="J383" s="9" cm="1">
        <f t="array" ref="J383">IFERROR(_xlfn.XLOOKUP('01_Input_Raw_Products'!F383,'10_Master_Gem_Types'!A:A,'10_Master_Gem_Types'!N:N),"")</f>
        <v>0</v>
      </c>
      <c r="K383" s="9" cm="1">
        <f t="array" ref="K383">IF('01_Input_Raw_Products'!J383&lt;&gt;"",'01_Input_Raw_Products'!J383,IFERROR(_xlfn.XLOOKUP('01_Input_Raw_Products'!F383,'10_Master_Gem_Types'!A:A,'10_Master_Gem_Types'!E:E),""))</f>
        <v>0</v>
      </c>
      <c r="L383" s="9">
        <f>'01_Input_Raw_Products'!P383</f>
        <v>0</v>
      </c>
      <c r="M383" s="9" cm="1">
        <f t="array" ref="M383">IFERROR(_xlfn.XLOOKUP('01_Input_Raw_Products'!K383,'12_Color_Mapping'!A:A,'12_Color_Mapping'!B:B),IFERROR(_xlfn.XLOOKUP('01_Input_Raw_Products'!F383,'10_Master_Gem_Types'!A:A,'10_Master_Gem_Types'!F:F),""))</f>
        <v>0</v>
      </c>
      <c r="N383" s="9">
        <f>IF(C383="","",IF('01_Input_Raw_Products'!F383&lt;&gt;"",'01_Input_Raw_Products'!F383,'01_Input_Raw_Products'!D383))</f>
        <v>0</v>
      </c>
      <c r="O383" s="9">
        <f>IF(C383="","","Catalog Automation")</f>
        <v>0</v>
      </c>
      <c r="P383" s="9">
        <f>'01_Input_Raw_Products'!U383</f>
        <v>0</v>
      </c>
      <c r="Q383" s="7">
        <f>IF('01_Input_Raw_Products'!O383&lt;&gt;"",'01_Input_Raw_Products'!O383,IF('01_Input_Raw_Products'!N383&lt;&gt;"",'01_Input_Raw_Products'!N383*1.1,""))</f>
        <v>0</v>
      </c>
      <c r="R383" s="9">
        <f>'01_Input_Raw_Products'!S383</f>
        <v>0</v>
      </c>
      <c r="S383" s="9" cm="1">
        <f t="array" ref="S383">IFERROR(_xlfn.XLOOKUP('01_Input_Raw_Products'!F383,'10_Master_Gem_Types'!A:A,'10_Master_Gem_Types'!H:H),"")</f>
        <v>0</v>
      </c>
      <c r="T383" s="8">
        <f>'01_Input_Raw_Products'!Q383</f>
        <v>0</v>
      </c>
      <c r="U383" s="8">
        <f>'01_Input_Raw_Products'!R383</f>
        <v>0</v>
      </c>
      <c r="V383" s="7">
        <f>I383</f>
        <v>0</v>
      </c>
      <c r="W383" s="9" cm="1">
        <f t="array" ref="W383">IF('01_Input_Raw_Products'!G383&lt;&gt;"",'01_Input_Raw_Products'!G383,IFERROR(_xlfn.XLOOKUP('01_Input_Raw_Products'!F383,'10_Master_Gem_Types'!A:A,'10_Master_Gem_Types'!L:L),""))</f>
        <v>0</v>
      </c>
      <c r="X383" s="9" cm="1">
        <f t="array" ref="X383">IFERROR(_xlfn.XLOOKUP('01_Input_Raw_Products'!F383,'10_Master_Gem_Types'!A:A,'10_Master_Gem_Types'!J:J),"")</f>
        <v>0</v>
      </c>
      <c r="Y383" s="9" cm="1">
        <f t="array" ref="Y383">IFERROR(_xlfn.XLOOKUP('01_Input_Raw_Products'!F383,'10_Master_Gem_Types'!A:A,'10_Master_Gem_Types'!I:I),"")</f>
        <v>0</v>
      </c>
      <c r="Z383" s="9" cm="1">
        <f t="array" ref="Z383">IFERROR(_xlfn.XLOOKUP('01_Input_Raw_Products'!L383,'13_Certification_Stickers'!A:A,'13_Certification_Stickers'!C:C),"")</f>
        <v>0</v>
      </c>
      <c r="AA383" s="9" cm="1">
        <f t="array" ref="AA383">IFERROR(_xlfn.XLOOKUP('01_Input_Raw_Products'!S383,'14_Shipping_Rules'!A:A,'14_Shipping_Rules'!B:B),"")</f>
        <v>0</v>
      </c>
      <c r="AB383" s="9" cm="1">
        <f t="array" ref="AB383">IFERROR(_xlfn.XLOOKUP('01_Input_Raw_Products'!D383,'16_Astro_Flags'!A:A,'16_Astro_Flags'!B:B),"")</f>
        <v>0</v>
      </c>
      <c r="AC383" s="9">
        <f>IF(C383="","","Catalog, Search")</f>
        <v>0</v>
      </c>
      <c r="AD383" s="9">
        <f>IF(C383="","",IF(OR(F383="",J383="",M383="",S383="",Y383=""),"Manual Review","Ready"))</f>
        <v>0</v>
      </c>
      <c r="AE383" s="9">
        <f>IF(C383="","",TEXTJOIN("; ",TRUE,IF(F383="","Missing url_key",""),IF(J383="","Missing classification",""),IF(M383="","Missing j_colour",""),IF(S383="","Missing hsn_code",""),IF(Y383="","Missing tax_class_id","")))</f>
        <v>0</v>
      </c>
    </row>
    <row r="384" spans="1:31">
      <c r="A384" s="9">
        <f>IF('01_Input_Raw_Products'!B384&lt;&gt;"",20,"")</f>
        <v>0</v>
      </c>
      <c r="B384" s="9" cm="1">
        <f t="array" ref="B384">IF('01_Input_Raw_Products'!M384&lt;&gt;"",'01_Input_Raw_Products'!M384,IFERROR(_xlfn.XLOOKUP('01_Input_Raw_Products'!F384,'10_Master_Gem_Types'!A:A,'10_Master_Gem_Types'!K:K),""))</f>
        <v>0</v>
      </c>
      <c r="C384" s="9">
        <f>'01_Input_Raw_Products'!B384</f>
        <v>0</v>
      </c>
      <c r="D384" s="9">
        <f>IF(C384="","",TEXT(I384,"0.00")&amp;" Ct "&amp;IF('01_Input_Raw_Products'!F384&lt;&gt;"",'01_Input_Raw_Products'!F384,'01_Input_Raw_Products'!D384)&amp;" "&amp;'01_Input_Raw_Products'!I384)</f>
        <v>0</v>
      </c>
      <c r="E384" s="9">
        <f>IF(C384="","",D384&amp;" | GemPundit")</f>
        <v>0</v>
      </c>
      <c r="F384" s="9" cm="1">
        <f t="array" ref="F384">IF('01_Input_Raw_Products'!X384&lt;&gt;"",'01_Input_Raw_Products'!X384,IFERROR(_xlfn.XLOOKUP('01_Input_Raw_Products'!F384,'10_Master_Gem_Types'!A:A,'10_Master_Gem_Types'!O:O),LOWER(SUBSTITUTE(IF('01_Input_Raw_Products'!F384&lt;&gt;"",'01_Input_Raw_Products'!F384,'01_Input_Raw_Products'!D384)," ","-"))))</f>
        <v>0</v>
      </c>
      <c r="G384" s="9">
        <f>'01_Input_Raw_Products'!C384</f>
        <v>0</v>
      </c>
      <c r="H384" s="9" cm="1">
        <f t="array" ref="H384">IF('01_Input_Raw_Products'!H384&lt;&gt;"",'01_Input_Raw_Products'!H384,IFERROR(_xlfn.XLOOKUP('01_Input_Raw_Products'!F384,'10_Master_Gem_Types'!A:A,'10_Master_Gem_Types'!D:D),""))</f>
        <v>0</v>
      </c>
      <c r="I384" s="7">
        <f>IF('01_Input_Raw_Products'!N384&lt;&gt;"",'01_Input_Raw_Products'!N384,IF('01_Input_Raw_Products'!O384&lt;&gt;"",'01_Input_Raw_Products'!O384*0.91,""))</f>
        <v>0</v>
      </c>
      <c r="J384" s="9" cm="1">
        <f t="array" ref="J384">IFERROR(_xlfn.XLOOKUP('01_Input_Raw_Products'!F384,'10_Master_Gem_Types'!A:A,'10_Master_Gem_Types'!N:N),"")</f>
        <v>0</v>
      </c>
      <c r="K384" s="9" cm="1">
        <f t="array" ref="K384">IF('01_Input_Raw_Products'!J384&lt;&gt;"",'01_Input_Raw_Products'!J384,IFERROR(_xlfn.XLOOKUP('01_Input_Raw_Products'!F384,'10_Master_Gem_Types'!A:A,'10_Master_Gem_Types'!E:E),""))</f>
        <v>0</v>
      </c>
      <c r="L384" s="9">
        <f>'01_Input_Raw_Products'!P384</f>
        <v>0</v>
      </c>
      <c r="M384" s="9" cm="1">
        <f t="array" ref="M384">IFERROR(_xlfn.XLOOKUP('01_Input_Raw_Products'!K384,'12_Color_Mapping'!A:A,'12_Color_Mapping'!B:B),IFERROR(_xlfn.XLOOKUP('01_Input_Raw_Products'!F384,'10_Master_Gem_Types'!A:A,'10_Master_Gem_Types'!F:F),""))</f>
        <v>0</v>
      </c>
      <c r="N384" s="9">
        <f>IF(C384="","",IF('01_Input_Raw_Products'!F384&lt;&gt;"",'01_Input_Raw_Products'!F384,'01_Input_Raw_Products'!D384))</f>
        <v>0</v>
      </c>
      <c r="O384" s="9">
        <f>IF(C384="","","Catalog Automation")</f>
        <v>0</v>
      </c>
      <c r="P384" s="9">
        <f>'01_Input_Raw_Products'!U384</f>
        <v>0</v>
      </c>
      <c r="Q384" s="7">
        <f>IF('01_Input_Raw_Products'!O384&lt;&gt;"",'01_Input_Raw_Products'!O384,IF('01_Input_Raw_Products'!N384&lt;&gt;"",'01_Input_Raw_Products'!N384*1.1,""))</f>
        <v>0</v>
      </c>
      <c r="R384" s="9">
        <f>'01_Input_Raw_Products'!S384</f>
        <v>0</v>
      </c>
      <c r="S384" s="9" cm="1">
        <f t="array" ref="S384">IFERROR(_xlfn.XLOOKUP('01_Input_Raw_Products'!F384,'10_Master_Gem_Types'!A:A,'10_Master_Gem_Types'!H:H),"")</f>
        <v>0</v>
      </c>
      <c r="T384" s="8">
        <f>'01_Input_Raw_Products'!Q384</f>
        <v>0</v>
      </c>
      <c r="U384" s="8">
        <f>'01_Input_Raw_Products'!R384</f>
        <v>0</v>
      </c>
      <c r="V384" s="7">
        <f>I384</f>
        <v>0</v>
      </c>
      <c r="W384" s="9" cm="1">
        <f t="array" ref="W384">IF('01_Input_Raw_Products'!G384&lt;&gt;"",'01_Input_Raw_Products'!G384,IFERROR(_xlfn.XLOOKUP('01_Input_Raw_Products'!F384,'10_Master_Gem_Types'!A:A,'10_Master_Gem_Types'!L:L),""))</f>
        <v>0</v>
      </c>
      <c r="X384" s="9" cm="1">
        <f t="array" ref="X384">IFERROR(_xlfn.XLOOKUP('01_Input_Raw_Products'!F384,'10_Master_Gem_Types'!A:A,'10_Master_Gem_Types'!J:J),"")</f>
        <v>0</v>
      </c>
      <c r="Y384" s="9" cm="1">
        <f t="array" ref="Y384">IFERROR(_xlfn.XLOOKUP('01_Input_Raw_Products'!F384,'10_Master_Gem_Types'!A:A,'10_Master_Gem_Types'!I:I),"")</f>
        <v>0</v>
      </c>
      <c r="Z384" s="9" cm="1">
        <f t="array" ref="Z384">IFERROR(_xlfn.XLOOKUP('01_Input_Raw_Products'!L384,'13_Certification_Stickers'!A:A,'13_Certification_Stickers'!C:C),"")</f>
        <v>0</v>
      </c>
      <c r="AA384" s="9" cm="1">
        <f t="array" ref="AA384">IFERROR(_xlfn.XLOOKUP('01_Input_Raw_Products'!S384,'14_Shipping_Rules'!A:A,'14_Shipping_Rules'!B:B),"")</f>
        <v>0</v>
      </c>
      <c r="AB384" s="9" cm="1">
        <f t="array" ref="AB384">IFERROR(_xlfn.XLOOKUP('01_Input_Raw_Products'!D384,'16_Astro_Flags'!A:A,'16_Astro_Flags'!B:B),"")</f>
        <v>0</v>
      </c>
      <c r="AC384" s="9">
        <f>IF(C384="","","Catalog, Search")</f>
        <v>0</v>
      </c>
      <c r="AD384" s="9">
        <f>IF(C384="","",IF(OR(F384="",J384="",M384="",S384="",Y384=""),"Manual Review","Ready"))</f>
        <v>0</v>
      </c>
      <c r="AE384" s="9">
        <f>IF(C384="","",TEXTJOIN("; ",TRUE,IF(F384="","Missing url_key",""),IF(J384="","Missing classification",""),IF(M384="","Missing j_colour",""),IF(S384="","Missing hsn_code",""),IF(Y384="","Missing tax_class_id","")))</f>
        <v>0</v>
      </c>
    </row>
    <row r="385" spans="1:31">
      <c r="A385" s="9">
        <f>IF('01_Input_Raw_Products'!B385&lt;&gt;"",20,"")</f>
        <v>0</v>
      </c>
      <c r="B385" s="9" cm="1">
        <f t="array" ref="B385">IF('01_Input_Raw_Products'!M385&lt;&gt;"",'01_Input_Raw_Products'!M385,IFERROR(_xlfn.XLOOKUP('01_Input_Raw_Products'!F385,'10_Master_Gem_Types'!A:A,'10_Master_Gem_Types'!K:K),""))</f>
        <v>0</v>
      </c>
      <c r="C385" s="9">
        <f>'01_Input_Raw_Products'!B385</f>
        <v>0</v>
      </c>
      <c r="D385" s="9">
        <f>IF(C385="","",TEXT(I385,"0.00")&amp;" Ct "&amp;IF('01_Input_Raw_Products'!F385&lt;&gt;"",'01_Input_Raw_Products'!F385,'01_Input_Raw_Products'!D385)&amp;" "&amp;'01_Input_Raw_Products'!I385)</f>
        <v>0</v>
      </c>
      <c r="E385" s="9">
        <f>IF(C385="","",D385&amp;" | GemPundit")</f>
        <v>0</v>
      </c>
      <c r="F385" s="9" cm="1">
        <f t="array" ref="F385">IF('01_Input_Raw_Products'!X385&lt;&gt;"",'01_Input_Raw_Products'!X385,IFERROR(_xlfn.XLOOKUP('01_Input_Raw_Products'!F385,'10_Master_Gem_Types'!A:A,'10_Master_Gem_Types'!O:O),LOWER(SUBSTITUTE(IF('01_Input_Raw_Products'!F385&lt;&gt;"",'01_Input_Raw_Products'!F385,'01_Input_Raw_Products'!D385)," ","-"))))</f>
        <v>0</v>
      </c>
      <c r="G385" s="9">
        <f>'01_Input_Raw_Products'!C385</f>
        <v>0</v>
      </c>
      <c r="H385" s="9" cm="1">
        <f t="array" ref="H385">IF('01_Input_Raw_Products'!H385&lt;&gt;"",'01_Input_Raw_Products'!H385,IFERROR(_xlfn.XLOOKUP('01_Input_Raw_Products'!F385,'10_Master_Gem_Types'!A:A,'10_Master_Gem_Types'!D:D),""))</f>
        <v>0</v>
      </c>
      <c r="I385" s="7">
        <f>IF('01_Input_Raw_Products'!N385&lt;&gt;"",'01_Input_Raw_Products'!N385,IF('01_Input_Raw_Products'!O385&lt;&gt;"",'01_Input_Raw_Products'!O385*0.91,""))</f>
        <v>0</v>
      </c>
      <c r="J385" s="9" cm="1">
        <f t="array" ref="J385">IFERROR(_xlfn.XLOOKUP('01_Input_Raw_Products'!F385,'10_Master_Gem_Types'!A:A,'10_Master_Gem_Types'!N:N),"")</f>
        <v>0</v>
      </c>
      <c r="K385" s="9" cm="1">
        <f t="array" ref="K385">IF('01_Input_Raw_Products'!J385&lt;&gt;"",'01_Input_Raw_Products'!J385,IFERROR(_xlfn.XLOOKUP('01_Input_Raw_Products'!F385,'10_Master_Gem_Types'!A:A,'10_Master_Gem_Types'!E:E),""))</f>
        <v>0</v>
      </c>
      <c r="L385" s="9">
        <f>'01_Input_Raw_Products'!P385</f>
        <v>0</v>
      </c>
      <c r="M385" s="9" cm="1">
        <f t="array" ref="M385">IFERROR(_xlfn.XLOOKUP('01_Input_Raw_Products'!K385,'12_Color_Mapping'!A:A,'12_Color_Mapping'!B:B),IFERROR(_xlfn.XLOOKUP('01_Input_Raw_Products'!F385,'10_Master_Gem_Types'!A:A,'10_Master_Gem_Types'!F:F),""))</f>
        <v>0</v>
      </c>
      <c r="N385" s="9">
        <f>IF(C385="","",IF('01_Input_Raw_Products'!F385&lt;&gt;"",'01_Input_Raw_Products'!F385,'01_Input_Raw_Products'!D385))</f>
        <v>0</v>
      </c>
      <c r="O385" s="9">
        <f>IF(C385="","","Catalog Automation")</f>
        <v>0</v>
      </c>
      <c r="P385" s="9">
        <f>'01_Input_Raw_Products'!U385</f>
        <v>0</v>
      </c>
      <c r="Q385" s="7">
        <f>IF('01_Input_Raw_Products'!O385&lt;&gt;"",'01_Input_Raw_Products'!O385,IF('01_Input_Raw_Products'!N385&lt;&gt;"",'01_Input_Raw_Products'!N385*1.1,""))</f>
        <v>0</v>
      </c>
      <c r="R385" s="9">
        <f>'01_Input_Raw_Products'!S385</f>
        <v>0</v>
      </c>
      <c r="S385" s="9" cm="1">
        <f t="array" ref="S385">IFERROR(_xlfn.XLOOKUP('01_Input_Raw_Products'!F385,'10_Master_Gem_Types'!A:A,'10_Master_Gem_Types'!H:H),"")</f>
        <v>0</v>
      </c>
      <c r="T385" s="8">
        <f>'01_Input_Raw_Products'!Q385</f>
        <v>0</v>
      </c>
      <c r="U385" s="8">
        <f>'01_Input_Raw_Products'!R385</f>
        <v>0</v>
      </c>
      <c r="V385" s="7">
        <f>I385</f>
        <v>0</v>
      </c>
      <c r="W385" s="9" cm="1">
        <f t="array" ref="W385">IF('01_Input_Raw_Products'!G385&lt;&gt;"",'01_Input_Raw_Products'!G385,IFERROR(_xlfn.XLOOKUP('01_Input_Raw_Products'!F385,'10_Master_Gem_Types'!A:A,'10_Master_Gem_Types'!L:L),""))</f>
        <v>0</v>
      </c>
      <c r="X385" s="9" cm="1">
        <f t="array" ref="X385">IFERROR(_xlfn.XLOOKUP('01_Input_Raw_Products'!F385,'10_Master_Gem_Types'!A:A,'10_Master_Gem_Types'!J:J),"")</f>
        <v>0</v>
      </c>
      <c r="Y385" s="9" cm="1">
        <f t="array" ref="Y385">IFERROR(_xlfn.XLOOKUP('01_Input_Raw_Products'!F385,'10_Master_Gem_Types'!A:A,'10_Master_Gem_Types'!I:I),"")</f>
        <v>0</v>
      </c>
      <c r="Z385" s="9" cm="1">
        <f t="array" ref="Z385">IFERROR(_xlfn.XLOOKUP('01_Input_Raw_Products'!L385,'13_Certification_Stickers'!A:A,'13_Certification_Stickers'!C:C),"")</f>
        <v>0</v>
      </c>
      <c r="AA385" s="9" cm="1">
        <f t="array" ref="AA385">IFERROR(_xlfn.XLOOKUP('01_Input_Raw_Products'!S385,'14_Shipping_Rules'!A:A,'14_Shipping_Rules'!B:B),"")</f>
        <v>0</v>
      </c>
      <c r="AB385" s="9" cm="1">
        <f t="array" ref="AB385">IFERROR(_xlfn.XLOOKUP('01_Input_Raw_Products'!D385,'16_Astro_Flags'!A:A,'16_Astro_Flags'!B:B),"")</f>
        <v>0</v>
      </c>
      <c r="AC385" s="9">
        <f>IF(C385="","","Catalog, Search")</f>
        <v>0</v>
      </c>
      <c r="AD385" s="9">
        <f>IF(C385="","",IF(OR(F385="",J385="",M385="",S385="",Y385=""),"Manual Review","Ready"))</f>
        <v>0</v>
      </c>
      <c r="AE385" s="9">
        <f>IF(C385="","",TEXTJOIN("; ",TRUE,IF(F385="","Missing url_key",""),IF(J385="","Missing classification",""),IF(M385="","Missing j_colour",""),IF(S385="","Missing hsn_code",""),IF(Y385="","Missing tax_class_id","")))</f>
        <v>0</v>
      </c>
    </row>
    <row r="386" spans="1:31">
      <c r="A386" s="9">
        <f>IF('01_Input_Raw_Products'!B386&lt;&gt;"",20,"")</f>
        <v>0</v>
      </c>
      <c r="B386" s="9" cm="1">
        <f t="array" ref="B386">IF('01_Input_Raw_Products'!M386&lt;&gt;"",'01_Input_Raw_Products'!M386,IFERROR(_xlfn.XLOOKUP('01_Input_Raw_Products'!F386,'10_Master_Gem_Types'!A:A,'10_Master_Gem_Types'!K:K),""))</f>
        <v>0</v>
      </c>
      <c r="C386" s="9">
        <f>'01_Input_Raw_Products'!B386</f>
        <v>0</v>
      </c>
      <c r="D386" s="9">
        <f>IF(C386="","",TEXT(I386,"0.00")&amp;" Ct "&amp;IF('01_Input_Raw_Products'!F386&lt;&gt;"",'01_Input_Raw_Products'!F386,'01_Input_Raw_Products'!D386)&amp;" "&amp;'01_Input_Raw_Products'!I386)</f>
        <v>0</v>
      </c>
      <c r="E386" s="9">
        <f>IF(C386="","",D386&amp;" | GemPundit")</f>
        <v>0</v>
      </c>
      <c r="F386" s="9" cm="1">
        <f t="array" ref="F386">IF('01_Input_Raw_Products'!X386&lt;&gt;"",'01_Input_Raw_Products'!X386,IFERROR(_xlfn.XLOOKUP('01_Input_Raw_Products'!F386,'10_Master_Gem_Types'!A:A,'10_Master_Gem_Types'!O:O),LOWER(SUBSTITUTE(IF('01_Input_Raw_Products'!F386&lt;&gt;"",'01_Input_Raw_Products'!F386,'01_Input_Raw_Products'!D386)," ","-"))))</f>
        <v>0</v>
      </c>
      <c r="G386" s="9">
        <f>'01_Input_Raw_Products'!C386</f>
        <v>0</v>
      </c>
      <c r="H386" s="9" cm="1">
        <f t="array" ref="H386">IF('01_Input_Raw_Products'!H386&lt;&gt;"",'01_Input_Raw_Products'!H386,IFERROR(_xlfn.XLOOKUP('01_Input_Raw_Products'!F386,'10_Master_Gem_Types'!A:A,'10_Master_Gem_Types'!D:D),""))</f>
        <v>0</v>
      </c>
      <c r="I386" s="7">
        <f>IF('01_Input_Raw_Products'!N386&lt;&gt;"",'01_Input_Raw_Products'!N386,IF('01_Input_Raw_Products'!O386&lt;&gt;"",'01_Input_Raw_Products'!O386*0.91,""))</f>
        <v>0</v>
      </c>
      <c r="J386" s="9" cm="1">
        <f t="array" ref="J386">IFERROR(_xlfn.XLOOKUP('01_Input_Raw_Products'!F386,'10_Master_Gem_Types'!A:A,'10_Master_Gem_Types'!N:N),"")</f>
        <v>0</v>
      </c>
      <c r="K386" s="9" cm="1">
        <f t="array" ref="K386">IF('01_Input_Raw_Products'!J386&lt;&gt;"",'01_Input_Raw_Products'!J386,IFERROR(_xlfn.XLOOKUP('01_Input_Raw_Products'!F386,'10_Master_Gem_Types'!A:A,'10_Master_Gem_Types'!E:E),""))</f>
        <v>0</v>
      </c>
      <c r="L386" s="9">
        <f>'01_Input_Raw_Products'!P386</f>
        <v>0</v>
      </c>
      <c r="M386" s="9" cm="1">
        <f t="array" ref="M386">IFERROR(_xlfn.XLOOKUP('01_Input_Raw_Products'!K386,'12_Color_Mapping'!A:A,'12_Color_Mapping'!B:B),IFERROR(_xlfn.XLOOKUP('01_Input_Raw_Products'!F386,'10_Master_Gem_Types'!A:A,'10_Master_Gem_Types'!F:F),""))</f>
        <v>0</v>
      </c>
      <c r="N386" s="9">
        <f>IF(C386="","",IF('01_Input_Raw_Products'!F386&lt;&gt;"",'01_Input_Raw_Products'!F386,'01_Input_Raw_Products'!D386))</f>
        <v>0</v>
      </c>
      <c r="O386" s="9">
        <f>IF(C386="","","Catalog Automation")</f>
        <v>0</v>
      </c>
      <c r="P386" s="9">
        <f>'01_Input_Raw_Products'!U386</f>
        <v>0</v>
      </c>
      <c r="Q386" s="7">
        <f>IF('01_Input_Raw_Products'!O386&lt;&gt;"",'01_Input_Raw_Products'!O386,IF('01_Input_Raw_Products'!N386&lt;&gt;"",'01_Input_Raw_Products'!N386*1.1,""))</f>
        <v>0</v>
      </c>
      <c r="R386" s="9">
        <f>'01_Input_Raw_Products'!S386</f>
        <v>0</v>
      </c>
      <c r="S386" s="9" cm="1">
        <f t="array" ref="S386">IFERROR(_xlfn.XLOOKUP('01_Input_Raw_Products'!F386,'10_Master_Gem_Types'!A:A,'10_Master_Gem_Types'!H:H),"")</f>
        <v>0</v>
      </c>
      <c r="T386" s="8">
        <f>'01_Input_Raw_Products'!Q386</f>
        <v>0</v>
      </c>
      <c r="U386" s="8">
        <f>'01_Input_Raw_Products'!R386</f>
        <v>0</v>
      </c>
      <c r="V386" s="7">
        <f>I386</f>
        <v>0</v>
      </c>
      <c r="W386" s="9" cm="1">
        <f t="array" ref="W386">IF('01_Input_Raw_Products'!G386&lt;&gt;"",'01_Input_Raw_Products'!G386,IFERROR(_xlfn.XLOOKUP('01_Input_Raw_Products'!F386,'10_Master_Gem_Types'!A:A,'10_Master_Gem_Types'!L:L),""))</f>
        <v>0</v>
      </c>
      <c r="X386" s="9" cm="1">
        <f t="array" ref="X386">IFERROR(_xlfn.XLOOKUP('01_Input_Raw_Products'!F386,'10_Master_Gem_Types'!A:A,'10_Master_Gem_Types'!J:J),"")</f>
        <v>0</v>
      </c>
      <c r="Y386" s="9" cm="1">
        <f t="array" ref="Y386">IFERROR(_xlfn.XLOOKUP('01_Input_Raw_Products'!F386,'10_Master_Gem_Types'!A:A,'10_Master_Gem_Types'!I:I),"")</f>
        <v>0</v>
      </c>
      <c r="Z386" s="9" cm="1">
        <f t="array" ref="Z386">IFERROR(_xlfn.XLOOKUP('01_Input_Raw_Products'!L386,'13_Certification_Stickers'!A:A,'13_Certification_Stickers'!C:C),"")</f>
        <v>0</v>
      </c>
      <c r="AA386" s="9" cm="1">
        <f t="array" ref="AA386">IFERROR(_xlfn.XLOOKUP('01_Input_Raw_Products'!S386,'14_Shipping_Rules'!A:A,'14_Shipping_Rules'!B:B),"")</f>
        <v>0</v>
      </c>
      <c r="AB386" s="9" cm="1">
        <f t="array" ref="AB386">IFERROR(_xlfn.XLOOKUP('01_Input_Raw_Products'!D386,'16_Astro_Flags'!A:A,'16_Astro_Flags'!B:B),"")</f>
        <v>0</v>
      </c>
      <c r="AC386" s="9">
        <f>IF(C386="","","Catalog, Search")</f>
        <v>0</v>
      </c>
      <c r="AD386" s="9">
        <f>IF(C386="","",IF(OR(F386="",J386="",M386="",S386="",Y386=""),"Manual Review","Ready"))</f>
        <v>0</v>
      </c>
      <c r="AE386" s="9">
        <f>IF(C386="","",TEXTJOIN("; ",TRUE,IF(F386="","Missing url_key",""),IF(J386="","Missing classification",""),IF(M386="","Missing j_colour",""),IF(S386="","Missing hsn_code",""),IF(Y386="","Missing tax_class_id","")))</f>
        <v>0</v>
      </c>
    </row>
    <row r="387" spans="1:31">
      <c r="A387" s="9">
        <f>IF('01_Input_Raw_Products'!B387&lt;&gt;"",20,"")</f>
        <v>0</v>
      </c>
      <c r="B387" s="9" cm="1">
        <f t="array" ref="B387">IF('01_Input_Raw_Products'!M387&lt;&gt;"",'01_Input_Raw_Products'!M387,IFERROR(_xlfn.XLOOKUP('01_Input_Raw_Products'!F387,'10_Master_Gem_Types'!A:A,'10_Master_Gem_Types'!K:K),""))</f>
        <v>0</v>
      </c>
      <c r="C387" s="9">
        <f>'01_Input_Raw_Products'!B387</f>
        <v>0</v>
      </c>
      <c r="D387" s="9">
        <f>IF(C387="","",TEXT(I387,"0.00")&amp;" Ct "&amp;IF('01_Input_Raw_Products'!F387&lt;&gt;"",'01_Input_Raw_Products'!F387,'01_Input_Raw_Products'!D387)&amp;" "&amp;'01_Input_Raw_Products'!I387)</f>
        <v>0</v>
      </c>
      <c r="E387" s="9">
        <f>IF(C387="","",D387&amp;" | GemPundit")</f>
        <v>0</v>
      </c>
      <c r="F387" s="9" cm="1">
        <f t="array" ref="F387">IF('01_Input_Raw_Products'!X387&lt;&gt;"",'01_Input_Raw_Products'!X387,IFERROR(_xlfn.XLOOKUP('01_Input_Raw_Products'!F387,'10_Master_Gem_Types'!A:A,'10_Master_Gem_Types'!O:O),LOWER(SUBSTITUTE(IF('01_Input_Raw_Products'!F387&lt;&gt;"",'01_Input_Raw_Products'!F387,'01_Input_Raw_Products'!D387)," ","-"))))</f>
        <v>0</v>
      </c>
      <c r="G387" s="9">
        <f>'01_Input_Raw_Products'!C387</f>
        <v>0</v>
      </c>
      <c r="H387" s="9" cm="1">
        <f t="array" ref="H387">IF('01_Input_Raw_Products'!H387&lt;&gt;"",'01_Input_Raw_Products'!H387,IFERROR(_xlfn.XLOOKUP('01_Input_Raw_Products'!F387,'10_Master_Gem_Types'!A:A,'10_Master_Gem_Types'!D:D),""))</f>
        <v>0</v>
      </c>
      <c r="I387" s="7">
        <f>IF('01_Input_Raw_Products'!N387&lt;&gt;"",'01_Input_Raw_Products'!N387,IF('01_Input_Raw_Products'!O387&lt;&gt;"",'01_Input_Raw_Products'!O387*0.91,""))</f>
        <v>0</v>
      </c>
      <c r="J387" s="9" cm="1">
        <f t="array" ref="J387">IFERROR(_xlfn.XLOOKUP('01_Input_Raw_Products'!F387,'10_Master_Gem_Types'!A:A,'10_Master_Gem_Types'!N:N),"")</f>
        <v>0</v>
      </c>
      <c r="K387" s="9" cm="1">
        <f t="array" ref="K387">IF('01_Input_Raw_Products'!J387&lt;&gt;"",'01_Input_Raw_Products'!J387,IFERROR(_xlfn.XLOOKUP('01_Input_Raw_Products'!F387,'10_Master_Gem_Types'!A:A,'10_Master_Gem_Types'!E:E),""))</f>
        <v>0</v>
      </c>
      <c r="L387" s="9">
        <f>'01_Input_Raw_Products'!P387</f>
        <v>0</v>
      </c>
      <c r="M387" s="9" cm="1">
        <f t="array" ref="M387">IFERROR(_xlfn.XLOOKUP('01_Input_Raw_Products'!K387,'12_Color_Mapping'!A:A,'12_Color_Mapping'!B:B),IFERROR(_xlfn.XLOOKUP('01_Input_Raw_Products'!F387,'10_Master_Gem_Types'!A:A,'10_Master_Gem_Types'!F:F),""))</f>
        <v>0</v>
      </c>
      <c r="N387" s="9">
        <f>IF(C387="","",IF('01_Input_Raw_Products'!F387&lt;&gt;"",'01_Input_Raw_Products'!F387,'01_Input_Raw_Products'!D387))</f>
        <v>0</v>
      </c>
      <c r="O387" s="9">
        <f>IF(C387="","","Catalog Automation")</f>
        <v>0</v>
      </c>
      <c r="P387" s="9">
        <f>'01_Input_Raw_Products'!U387</f>
        <v>0</v>
      </c>
      <c r="Q387" s="7">
        <f>IF('01_Input_Raw_Products'!O387&lt;&gt;"",'01_Input_Raw_Products'!O387,IF('01_Input_Raw_Products'!N387&lt;&gt;"",'01_Input_Raw_Products'!N387*1.1,""))</f>
        <v>0</v>
      </c>
      <c r="R387" s="9">
        <f>'01_Input_Raw_Products'!S387</f>
        <v>0</v>
      </c>
      <c r="S387" s="9" cm="1">
        <f t="array" ref="S387">IFERROR(_xlfn.XLOOKUP('01_Input_Raw_Products'!F387,'10_Master_Gem_Types'!A:A,'10_Master_Gem_Types'!H:H),"")</f>
        <v>0</v>
      </c>
      <c r="T387" s="8">
        <f>'01_Input_Raw_Products'!Q387</f>
        <v>0</v>
      </c>
      <c r="U387" s="8">
        <f>'01_Input_Raw_Products'!R387</f>
        <v>0</v>
      </c>
      <c r="V387" s="7">
        <f>I387</f>
        <v>0</v>
      </c>
      <c r="W387" s="9" cm="1">
        <f t="array" ref="W387">IF('01_Input_Raw_Products'!G387&lt;&gt;"",'01_Input_Raw_Products'!G387,IFERROR(_xlfn.XLOOKUP('01_Input_Raw_Products'!F387,'10_Master_Gem_Types'!A:A,'10_Master_Gem_Types'!L:L),""))</f>
        <v>0</v>
      </c>
      <c r="X387" s="9" cm="1">
        <f t="array" ref="X387">IFERROR(_xlfn.XLOOKUP('01_Input_Raw_Products'!F387,'10_Master_Gem_Types'!A:A,'10_Master_Gem_Types'!J:J),"")</f>
        <v>0</v>
      </c>
      <c r="Y387" s="9" cm="1">
        <f t="array" ref="Y387">IFERROR(_xlfn.XLOOKUP('01_Input_Raw_Products'!F387,'10_Master_Gem_Types'!A:A,'10_Master_Gem_Types'!I:I),"")</f>
        <v>0</v>
      </c>
      <c r="Z387" s="9" cm="1">
        <f t="array" ref="Z387">IFERROR(_xlfn.XLOOKUP('01_Input_Raw_Products'!L387,'13_Certification_Stickers'!A:A,'13_Certification_Stickers'!C:C),"")</f>
        <v>0</v>
      </c>
      <c r="AA387" s="9" cm="1">
        <f t="array" ref="AA387">IFERROR(_xlfn.XLOOKUP('01_Input_Raw_Products'!S387,'14_Shipping_Rules'!A:A,'14_Shipping_Rules'!B:B),"")</f>
        <v>0</v>
      </c>
      <c r="AB387" s="9" cm="1">
        <f t="array" ref="AB387">IFERROR(_xlfn.XLOOKUP('01_Input_Raw_Products'!D387,'16_Astro_Flags'!A:A,'16_Astro_Flags'!B:B),"")</f>
        <v>0</v>
      </c>
      <c r="AC387" s="9">
        <f>IF(C387="","","Catalog, Search")</f>
        <v>0</v>
      </c>
      <c r="AD387" s="9">
        <f>IF(C387="","",IF(OR(F387="",J387="",M387="",S387="",Y387=""),"Manual Review","Ready"))</f>
        <v>0</v>
      </c>
      <c r="AE387" s="9">
        <f>IF(C387="","",TEXTJOIN("; ",TRUE,IF(F387="","Missing url_key",""),IF(J387="","Missing classification",""),IF(M387="","Missing j_colour",""),IF(S387="","Missing hsn_code",""),IF(Y387="","Missing tax_class_id","")))</f>
        <v>0</v>
      </c>
    </row>
    <row r="388" spans="1:31">
      <c r="A388" s="9">
        <f>IF('01_Input_Raw_Products'!B388&lt;&gt;"",20,"")</f>
        <v>0</v>
      </c>
      <c r="B388" s="9" cm="1">
        <f t="array" ref="B388">IF('01_Input_Raw_Products'!M388&lt;&gt;"",'01_Input_Raw_Products'!M388,IFERROR(_xlfn.XLOOKUP('01_Input_Raw_Products'!F388,'10_Master_Gem_Types'!A:A,'10_Master_Gem_Types'!K:K),""))</f>
        <v>0</v>
      </c>
      <c r="C388" s="9">
        <f>'01_Input_Raw_Products'!B388</f>
        <v>0</v>
      </c>
      <c r="D388" s="9">
        <f>IF(C388="","",TEXT(I388,"0.00")&amp;" Ct "&amp;IF('01_Input_Raw_Products'!F388&lt;&gt;"",'01_Input_Raw_Products'!F388,'01_Input_Raw_Products'!D388)&amp;" "&amp;'01_Input_Raw_Products'!I388)</f>
        <v>0</v>
      </c>
      <c r="E388" s="9">
        <f>IF(C388="","",D388&amp;" | GemPundit")</f>
        <v>0</v>
      </c>
      <c r="F388" s="9" cm="1">
        <f t="array" ref="F388">IF('01_Input_Raw_Products'!X388&lt;&gt;"",'01_Input_Raw_Products'!X388,IFERROR(_xlfn.XLOOKUP('01_Input_Raw_Products'!F388,'10_Master_Gem_Types'!A:A,'10_Master_Gem_Types'!O:O),LOWER(SUBSTITUTE(IF('01_Input_Raw_Products'!F388&lt;&gt;"",'01_Input_Raw_Products'!F388,'01_Input_Raw_Products'!D388)," ","-"))))</f>
        <v>0</v>
      </c>
      <c r="G388" s="9">
        <f>'01_Input_Raw_Products'!C388</f>
        <v>0</v>
      </c>
      <c r="H388" s="9" cm="1">
        <f t="array" ref="H388">IF('01_Input_Raw_Products'!H388&lt;&gt;"",'01_Input_Raw_Products'!H388,IFERROR(_xlfn.XLOOKUP('01_Input_Raw_Products'!F388,'10_Master_Gem_Types'!A:A,'10_Master_Gem_Types'!D:D),""))</f>
        <v>0</v>
      </c>
      <c r="I388" s="7">
        <f>IF('01_Input_Raw_Products'!N388&lt;&gt;"",'01_Input_Raw_Products'!N388,IF('01_Input_Raw_Products'!O388&lt;&gt;"",'01_Input_Raw_Products'!O388*0.91,""))</f>
        <v>0</v>
      </c>
      <c r="J388" s="9" cm="1">
        <f t="array" ref="J388">IFERROR(_xlfn.XLOOKUP('01_Input_Raw_Products'!F388,'10_Master_Gem_Types'!A:A,'10_Master_Gem_Types'!N:N),"")</f>
        <v>0</v>
      </c>
      <c r="K388" s="9" cm="1">
        <f t="array" ref="K388">IF('01_Input_Raw_Products'!J388&lt;&gt;"",'01_Input_Raw_Products'!J388,IFERROR(_xlfn.XLOOKUP('01_Input_Raw_Products'!F388,'10_Master_Gem_Types'!A:A,'10_Master_Gem_Types'!E:E),""))</f>
        <v>0</v>
      </c>
      <c r="L388" s="9">
        <f>'01_Input_Raw_Products'!P388</f>
        <v>0</v>
      </c>
      <c r="M388" s="9" cm="1">
        <f t="array" ref="M388">IFERROR(_xlfn.XLOOKUP('01_Input_Raw_Products'!K388,'12_Color_Mapping'!A:A,'12_Color_Mapping'!B:B),IFERROR(_xlfn.XLOOKUP('01_Input_Raw_Products'!F388,'10_Master_Gem_Types'!A:A,'10_Master_Gem_Types'!F:F),""))</f>
        <v>0</v>
      </c>
      <c r="N388" s="9">
        <f>IF(C388="","",IF('01_Input_Raw_Products'!F388&lt;&gt;"",'01_Input_Raw_Products'!F388,'01_Input_Raw_Products'!D388))</f>
        <v>0</v>
      </c>
      <c r="O388" s="9">
        <f>IF(C388="","","Catalog Automation")</f>
        <v>0</v>
      </c>
      <c r="P388" s="9">
        <f>'01_Input_Raw_Products'!U388</f>
        <v>0</v>
      </c>
      <c r="Q388" s="7">
        <f>IF('01_Input_Raw_Products'!O388&lt;&gt;"",'01_Input_Raw_Products'!O388,IF('01_Input_Raw_Products'!N388&lt;&gt;"",'01_Input_Raw_Products'!N388*1.1,""))</f>
        <v>0</v>
      </c>
      <c r="R388" s="9">
        <f>'01_Input_Raw_Products'!S388</f>
        <v>0</v>
      </c>
      <c r="S388" s="9" cm="1">
        <f t="array" ref="S388">IFERROR(_xlfn.XLOOKUP('01_Input_Raw_Products'!F388,'10_Master_Gem_Types'!A:A,'10_Master_Gem_Types'!H:H),"")</f>
        <v>0</v>
      </c>
      <c r="T388" s="8">
        <f>'01_Input_Raw_Products'!Q388</f>
        <v>0</v>
      </c>
      <c r="U388" s="8">
        <f>'01_Input_Raw_Products'!R388</f>
        <v>0</v>
      </c>
      <c r="V388" s="7">
        <f>I388</f>
        <v>0</v>
      </c>
      <c r="W388" s="9" cm="1">
        <f t="array" ref="W388">IF('01_Input_Raw_Products'!G388&lt;&gt;"",'01_Input_Raw_Products'!G388,IFERROR(_xlfn.XLOOKUP('01_Input_Raw_Products'!F388,'10_Master_Gem_Types'!A:A,'10_Master_Gem_Types'!L:L),""))</f>
        <v>0</v>
      </c>
      <c r="X388" s="9" cm="1">
        <f t="array" ref="X388">IFERROR(_xlfn.XLOOKUP('01_Input_Raw_Products'!F388,'10_Master_Gem_Types'!A:A,'10_Master_Gem_Types'!J:J),"")</f>
        <v>0</v>
      </c>
      <c r="Y388" s="9" cm="1">
        <f t="array" ref="Y388">IFERROR(_xlfn.XLOOKUP('01_Input_Raw_Products'!F388,'10_Master_Gem_Types'!A:A,'10_Master_Gem_Types'!I:I),"")</f>
        <v>0</v>
      </c>
      <c r="Z388" s="9" cm="1">
        <f t="array" ref="Z388">IFERROR(_xlfn.XLOOKUP('01_Input_Raw_Products'!L388,'13_Certification_Stickers'!A:A,'13_Certification_Stickers'!C:C),"")</f>
        <v>0</v>
      </c>
      <c r="AA388" s="9" cm="1">
        <f t="array" ref="AA388">IFERROR(_xlfn.XLOOKUP('01_Input_Raw_Products'!S388,'14_Shipping_Rules'!A:A,'14_Shipping_Rules'!B:B),"")</f>
        <v>0</v>
      </c>
      <c r="AB388" s="9" cm="1">
        <f t="array" ref="AB388">IFERROR(_xlfn.XLOOKUP('01_Input_Raw_Products'!D388,'16_Astro_Flags'!A:A,'16_Astro_Flags'!B:B),"")</f>
        <v>0</v>
      </c>
      <c r="AC388" s="9">
        <f>IF(C388="","","Catalog, Search")</f>
        <v>0</v>
      </c>
      <c r="AD388" s="9">
        <f>IF(C388="","",IF(OR(F388="",J388="",M388="",S388="",Y388=""),"Manual Review","Ready"))</f>
        <v>0</v>
      </c>
      <c r="AE388" s="9">
        <f>IF(C388="","",TEXTJOIN("; ",TRUE,IF(F388="","Missing url_key",""),IF(J388="","Missing classification",""),IF(M388="","Missing j_colour",""),IF(S388="","Missing hsn_code",""),IF(Y388="","Missing tax_class_id","")))</f>
        <v>0</v>
      </c>
    </row>
    <row r="389" spans="1:31">
      <c r="A389" s="9">
        <f>IF('01_Input_Raw_Products'!B389&lt;&gt;"",20,"")</f>
        <v>0</v>
      </c>
      <c r="B389" s="9" cm="1">
        <f t="array" ref="B389">IF('01_Input_Raw_Products'!M389&lt;&gt;"",'01_Input_Raw_Products'!M389,IFERROR(_xlfn.XLOOKUP('01_Input_Raw_Products'!F389,'10_Master_Gem_Types'!A:A,'10_Master_Gem_Types'!K:K),""))</f>
        <v>0</v>
      </c>
      <c r="C389" s="9">
        <f>'01_Input_Raw_Products'!B389</f>
        <v>0</v>
      </c>
      <c r="D389" s="9">
        <f>IF(C389="","",TEXT(I389,"0.00")&amp;" Ct "&amp;IF('01_Input_Raw_Products'!F389&lt;&gt;"",'01_Input_Raw_Products'!F389,'01_Input_Raw_Products'!D389)&amp;" "&amp;'01_Input_Raw_Products'!I389)</f>
        <v>0</v>
      </c>
      <c r="E389" s="9">
        <f>IF(C389="","",D389&amp;" | GemPundit")</f>
        <v>0</v>
      </c>
      <c r="F389" s="9" cm="1">
        <f t="array" ref="F389">IF('01_Input_Raw_Products'!X389&lt;&gt;"",'01_Input_Raw_Products'!X389,IFERROR(_xlfn.XLOOKUP('01_Input_Raw_Products'!F389,'10_Master_Gem_Types'!A:A,'10_Master_Gem_Types'!O:O),LOWER(SUBSTITUTE(IF('01_Input_Raw_Products'!F389&lt;&gt;"",'01_Input_Raw_Products'!F389,'01_Input_Raw_Products'!D389)," ","-"))))</f>
        <v>0</v>
      </c>
      <c r="G389" s="9">
        <f>'01_Input_Raw_Products'!C389</f>
        <v>0</v>
      </c>
      <c r="H389" s="9" cm="1">
        <f t="array" ref="H389">IF('01_Input_Raw_Products'!H389&lt;&gt;"",'01_Input_Raw_Products'!H389,IFERROR(_xlfn.XLOOKUP('01_Input_Raw_Products'!F389,'10_Master_Gem_Types'!A:A,'10_Master_Gem_Types'!D:D),""))</f>
        <v>0</v>
      </c>
      <c r="I389" s="7">
        <f>IF('01_Input_Raw_Products'!N389&lt;&gt;"",'01_Input_Raw_Products'!N389,IF('01_Input_Raw_Products'!O389&lt;&gt;"",'01_Input_Raw_Products'!O389*0.91,""))</f>
        <v>0</v>
      </c>
      <c r="J389" s="9" cm="1">
        <f t="array" ref="J389">IFERROR(_xlfn.XLOOKUP('01_Input_Raw_Products'!F389,'10_Master_Gem_Types'!A:A,'10_Master_Gem_Types'!N:N),"")</f>
        <v>0</v>
      </c>
      <c r="K389" s="9" cm="1">
        <f t="array" ref="K389">IF('01_Input_Raw_Products'!J389&lt;&gt;"",'01_Input_Raw_Products'!J389,IFERROR(_xlfn.XLOOKUP('01_Input_Raw_Products'!F389,'10_Master_Gem_Types'!A:A,'10_Master_Gem_Types'!E:E),""))</f>
        <v>0</v>
      </c>
      <c r="L389" s="9">
        <f>'01_Input_Raw_Products'!P389</f>
        <v>0</v>
      </c>
      <c r="M389" s="9" cm="1">
        <f t="array" ref="M389">IFERROR(_xlfn.XLOOKUP('01_Input_Raw_Products'!K389,'12_Color_Mapping'!A:A,'12_Color_Mapping'!B:B),IFERROR(_xlfn.XLOOKUP('01_Input_Raw_Products'!F389,'10_Master_Gem_Types'!A:A,'10_Master_Gem_Types'!F:F),""))</f>
        <v>0</v>
      </c>
      <c r="N389" s="9">
        <f>IF(C389="","",IF('01_Input_Raw_Products'!F389&lt;&gt;"",'01_Input_Raw_Products'!F389,'01_Input_Raw_Products'!D389))</f>
        <v>0</v>
      </c>
      <c r="O389" s="9">
        <f>IF(C389="","","Catalog Automation")</f>
        <v>0</v>
      </c>
      <c r="P389" s="9">
        <f>'01_Input_Raw_Products'!U389</f>
        <v>0</v>
      </c>
      <c r="Q389" s="7">
        <f>IF('01_Input_Raw_Products'!O389&lt;&gt;"",'01_Input_Raw_Products'!O389,IF('01_Input_Raw_Products'!N389&lt;&gt;"",'01_Input_Raw_Products'!N389*1.1,""))</f>
        <v>0</v>
      </c>
      <c r="R389" s="9">
        <f>'01_Input_Raw_Products'!S389</f>
        <v>0</v>
      </c>
      <c r="S389" s="9" cm="1">
        <f t="array" ref="S389">IFERROR(_xlfn.XLOOKUP('01_Input_Raw_Products'!F389,'10_Master_Gem_Types'!A:A,'10_Master_Gem_Types'!H:H),"")</f>
        <v>0</v>
      </c>
      <c r="T389" s="8">
        <f>'01_Input_Raw_Products'!Q389</f>
        <v>0</v>
      </c>
      <c r="U389" s="8">
        <f>'01_Input_Raw_Products'!R389</f>
        <v>0</v>
      </c>
      <c r="V389" s="7">
        <f>I389</f>
        <v>0</v>
      </c>
      <c r="W389" s="9" cm="1">
        <f t="array" ref="W389">IF('01_Input_Raw_Products'!G389&lt;&gt;"",'01_Input_Raw_Products'!G389,IFERROR(_xlfn.XLOOKUP('01_Input_Raw_Products'!F389,'10_Master_Gem_Types'!A:A,'10_Master_Gem_Types'!L:L),""))</f>
        <v>0</v>
      </c>
      <c r="X389" s="9" cm="1">
        <f t="array" ref="X389">IFERROR(_xlfn.XLOOKUP('01_Input_Raw_Products'!F389,'10_Master_Gem_Types'!A:A,'10_Master_Gem_Types'!J:J),"")</f>
        <v>0</v>
      </c>
      <c r="Y389" s="9" cm="1">
        <f t="array" ref="Y389">IFERROR(_xlfn.XLOOKUP('01_Input_Raw_Products'!F389,'10_Master_Gem_Types'!A:A,'10_Master_Gem_Types'!I:I),"")</f>
        <v>0</v>
      </c>
      <c r="Z389" s="9" cm="1">
        <f t="array" ref="Z389">IFERROR(_xlfn.XLOOKUP('01_Input_Raw_Products'!L389,'13_Certification_Stickers'!A:A,'13_Certification_Stickers'!C:C),"")</f>
        <v>0</v>
      </c>
      <c r="AA389" s="9" cm="1">
        <f t="array" ref="AA389">IFERROR(_xlfn.XLOOKUP('01_Input_Raw_Products'!S389,'14_Shipping_Rules'!A:A,'14_Shipping_Rules'!B:B),"")</f>
        <v>0</v>
      </c>
      <c r="AB389" s="9" cm="1">
        <f t="array" ref="AB389">IFERROR(_xlfn.XLOOKUP('01_Input_Raw_Products'!D389,'16_Astro_Flags'!A:A,'16_Astro_Flags'!B:B),"")</f>
        <v>0</v>
      </c>
      <c r="AC389" s="9">
        <f>IF(C389="","","Catalog, Search")</f>
        <v>0</v>
      </c>
      <c r="AD389" s="9">
        <f>IF(C389="","",IF(OR(F389="",J389="",M389="",S389="",Y389=""),"Manual Review","Ready"))</f>
        <v>0</v>
      </c>
      <c r="AE389" s="9">
        <f>IF(C389="","",TEXTJOIN("; ",TRUE,IF(F389="","Missing url_key",""),IF(J389="","Missing classification",""),IF(M389="","Missing j_colour",""),IF(S389="","Missing hsn_code",""),IF(Y389="","Missing tax_class_id","")))</f>
        <v>0</v>
      </c>
    </row>
    <row r="390" spans="1:31">
      <c r="A390" s="9">
        <f>IF('01_Input_Raw_Products'!B390&lt;&gt;"",20,"")</f>
        <v>0</v>
      </c>
      <c r="B390" s="9" cm="1">
        <f t="array" ref="B390">IF('01_Input_Raw_Products'!M390&lt;&gt;"",'01_Input_Raw_Products'!M390,IFERROR(_xlfn.XLOOKUP('01_Input_Raw_Products'!F390,'10_Master_Gem_Types'!A:A,'10_Master_Gem_Types'!K:K),""))</f>
        <v>0</v>
      </c>
      <c r="C390" s="9">
        <f>'01_Input_Raw_Products'!B390</f>
        <v>0</v>
      </c>
      <c r="D390" s="9">
        <f>IF(C390="","",TEXT(I390,"0.00")&amp;" Ct "&amp;IF('01_Input_Raw_Products'!F390&lt;&gt;"",'01_Input_Raw_Products'!F390,'01_Input_Raw_Products'!D390)&amp;" "&amp;'01_Input_Raw_Products'!I390)</f>
        <v>0</v>
      </c>
      <c r="E390" s="9">
        <f>IF(C390="","",D390&amp;" | GemPundit")</f>
        <v>0</v>
      </c>
      <c r="F390" s="9" cm="1">
        <f t="array" ref="F390">IF('01_Input_Raw_Products'!X390&lt;&gt;"",'01_Input_Raw_Products'!X390,IFERROR(_xlfn.XLOOKUP('01_Input_Raw_Products'!F390,'10_Master_Gem_Types'!A:A,'10_Master_Gem_Types'!O:O),LOWER(SUBSTITUTE(IF('01_Input_Raw_Products'!F390&lt;&gt;"",'01_Input_Raw_Products'!F390,'01_Input_Raw_Products'!D390)," ","-"))))</f>
        <v>0</v>
      </c>
      <c r="G390" s="9">
        <f>'01_Input_Raw_Products'!C390</f>
        <v>0</v>
      </c>
      <c r="H390" s="9" cm="1">
        <f t="array" ref="H390">IF('01_Input_Raw_Products'!H390&lt;&gt;"",'01_Input_Raw_Products'!H390,IFERROR(_xlfn.XLOOKUP('01_Input_Raw_Products'!F390,'10_Master_Gem_Types'!A:A,'10_Master_Gem_Types'!D:D),""))</f>
        <v>0</v>
      </c>
      <c r="I390" s="7">
        <f>IF('01_Input_Raw_Products'!N390&lt;&gt;"",'01_Input_Raw_Products'!N390,IF('01_Input_Raw_Products'!O390&lt;&gt;"",'01_Input_Raw_Products'!O390*0.91,""))</f>
        <v>0</v>
      </c>
      <c r="J390" s="9" cm="1">
        <f t="array" ref="J390">IFERROR(_xlfn.XLOOKUP('01_Input_Raw_Products'!F390,'10_Master_Gem_Types'!A:A,'10_Master_Gem_Types'!N:N),"")</f>
        <v>0</v>
      </c>
      <c r="K390" s="9" cm="1">
        <f t="array" ref="K390">IF('01_Input_Raw_Products'!J390&lt;&gt;"",'01_Input_Raw_Products'!J390,IFERROR(_xlfn.XLOOKUP('01_Input_Raw_Products'!F390,'10_Master_Gem_Types'!A:A,'10_Master_Gem_Types'!E:E),""))</f>
        <v>0</v>
      </c>
      <c r="L390" s="9">
        <f>'01_Input_Raw_Products'!P390</f>
        <v>0</v>
      </c>
      <c r="M390" s="9" cm="1">
        <f t="array" ref="M390">IFERROR(_xlfn.XLOOKUP('01_Input_Raw_Products'!K390,'12_Color_Mapping'!A:A,'12_Color_Mapping'!B:B),IFERROR(_xlfn.XLOOKUP('01_Input_Raw_Products'!F390,'10_Master_Gem_Types'!A:A,'10_Master_Gem_Types'!F:F),""))</f>
        <v>0</v>
      </c>
      <c r="N390" s="9">
        <f>IF(C390="","",IF('01_Input_Raw_Products'!F390&lt;&gt;"",'01_Input_Raw_Products'!F390,'01_Input_Raw_Products'!D390))</f>
        <v>0</v>
      </c>
      <c r="O390" s="9">
        <f>IF(C390="","","Catalog Automation")</f>
        <v>0</v>
      </c>
      <c r="P390" s="9">
        <f>'01_Input_Raw_Products'!U390</f>
        <v>0</v>
      </c>
      <c r="Q390" s="7">
        <f>IF('01_Input_Raw_Products'!O390&lt;&gt;"",'01_Input_Raw_Products'!O390,IF('01_Input_Raw_Products'!N390&lt;&gt;"",'01_Input_Raw_Products'!N390*1.1,""))</f>
        <v>0</v>
      </c>
      <c r="R390" s="9">
        <f>'01_Input_Raw_Products'!S390</f>
        <v>0</v>
      </c>
      <c r="S390" s="9" cm="1">
        <f t="array" ref="S390">IFERROR(_xlfn.XLOOKUP('01_Input_Raw_Products'!F390,'10_Master_Gem_Types'!A:A,'10_Master_Gem_Types'!H:H),"")</f>
        <v>0</v>
      </c>
      <c r="T390" s="8">
        <f>'01_Input_Raw_Products'!Q390</f>
        <v>0</v>
      </c>
      <c r="U390" s="8">
        <f>'01_Input_Raw_Products'!R390</f>
        <v>0</v>
      </c>
      <c r="V390" s="7">
        <f>I390</f>
        <v>0</v>
      </c>
      <c r="W390" s="9" cm="1">
        <f t="array" ref="W390">IF('01_Input_Raw_Products'!G390&lt;&gt;"",'01_Input_Raw_Products'!G390,IFERROR(_xlfn.XLOOKUP('01_Input_Raw_Products'!F390,'10_Master_Gem_Types'!A:A,'10_Master_Gem_Types'!L:L),""))</f>
        <v>0</v>
      </c>
      <c r="X390" s="9" cm="1">
        <f t="array" ref="X390">IFERROR(_xlfn.XLOOKUP('01_Input_Raw_Products'!F390,'10_Master_Gem_Types'!A:A,'10_Master_Gem_Types'!J:J),"")</f>
        <v>0</v>
      </c>
      <c r="Y390" s="9" cm="1">
        <f t="array" ref="Y390">IFERROR(_xlfn.XLOOKUP('01_Input_Raw_Products'!F390,'10_Master_Gem_Types'!A:A,'10_Master_Gem_Types'!I:I),"")</f>
        <v>0</v>
      </c>
      <c r="Z390" s="9" cm="1">
        <f t="array" ref="Z390">IFERROR(_xlfn.XLOOKUP('01_Input_Raw_Products'!L390,'13_Certification_Stickers'!A:A,'13_Certification_Stickers'!C:C),"")</f>
        <v>0</v>
      </c>
      <c r="AA390" s="9" cm="1">
        <f t="array" ref="AA390">IFERROR(_xlfn.XLOOKUP('01_Input_Raw_Products'!S390,'14_Shipping_Rules'!A:A,'14_Shipping_Rules'!B:B),"")</f>
        <v>0</v>
      </c>
      <c r="AB390" s="9" cm="1">
        <f t="array" ref="AB390">IFERROR(_xlfn.XLOOKUP('01_Input_Raw_Products'!D390,'16_Astro_Flags'!A:A,'16_Astro_Flags'!B:B),"")</f>
        <v>0</v>
      </c>
      <c r="AC390" s="9">
        <f>IF(C390="","","Catalog, Search")</f>
        <v>0</v>
      </c>
      <c r="AD390" s="9">
        <f>IF(C390="","",IF(OR(F390="",J390="",M390="",S390="",Y390=""),"Manual Review","Ready"))</f>
        <v>0</v>
      </c>
      <c r="AE390" s="9">
        <f>IF(C390="","",TEXTJOIN("; ",TRUE,IF(F390="","Missing url_key",""),IF(J390="","Missing classification",""),IF(M390="","Missing j_colour",""),IF(S390="","Missing hsn_code",""),IF(Y390="","Missing tax_class_id","")))</f>
        <v>0</v>
      </c>
    </row>
    <row r="391" spans="1:31">
      <c r="A391" s="9">
        <f>IF('01_Input_Raw_Products'!B391&lt;&gt;"",20,"")</f>
        <v>0</v>
      </c>
      <c r="B391" s="9" cm="1">
        <f t="array" ref="B391">IF('01_Input_Raw_Products'!M391&lt;&gt;"",'01_Input_Raw_Products'!M391,IFERROR(_xlfn.XLOOKUP('01_Input_Raw_Products'!F391,'10_Master_Gem_Types'!A:A,'10_Master_Gem_Types'!K:K),""))</f>
        <v>0</v>
      </c>
      <c r="C391" s="9">
        <f>'01_Input_Raw_Products'!B391</f>
        <v>0</v>
      </c>
      <c r="D391" s="9">
        <f>IF(C391="","",TEXT(I391,"0.00")&amp;" Ct "&amp;IF('01_Input_Raw_Products'!F391&lt;&gt;"",'01_Input_Raw_Products'!F391,'01_Input_Raw_Products'!D391)&amp;" "&amp;'01_Input_Raw_Products'!I391)</f>
        <v>0</v>
      </c>
      <c r="E391" s="9">
        <f>IF(C391="","",D391&amp;" | GemPundit")</f>
        <v>0</v>
      </c>
      <c r="F391" s="9" cm="1">
        <f t="array" ref="F391">IF('01_Input_Raw_Products'!X391&lt;&gt;"",'01_Input_Raw_Products'!X391,IFERROR(_xlfn.XLOOKUP('01_Input_Raw_Products'!F391,'10_Master_Gem_Types'!A:A,'10_Master_Gem_Types'!O:O),LOWER(SUBSTITUTE(IF('01_Input_Raw_Products'!F391&lt;&gt;"",'01_Input_Raw_Products'!F391,'01_Input_Raw_Products'!D391)," ","-"))))</f>
        <v>0</v>
      </c>
      <c r="G391" s="9">
        <f>'01_Input_Raw_Products'!C391</f>
        <v>0</v>
      </c>
      <c r="H391" s="9" cm="1">
        <f t="array" ref="H391">IF('01_Input_Raw_Products'!H391&lt;&gt;"",'01_Input_Raw_Products'!H391,IFERROR(_xlfn.XLOOKUP('01_Input_Raw_Products'!F391,'10_Master_Gem_Types'!A:A,'10_Master_Gem_Types'!D:D),""))</f>
        <v>0</v>
      </c>
      <c r="I391" s="7">
        <f>IF('01_Input_Raw_Products'!N391&lt;&gt;"",'01_Input_Raw_Products'!N391,IF('01_Input_Raw_Products'!O391&lt;&gt;"",'01_Input_Raw_Products'!O391*0.91,""))</f>
        <v>0</v>
      </c>
      <c r="J391" s="9" cm="1">
        <f t="array" ref="J391">IFERROR(_xlfn.XLOOKUP('01_Input_Raw_Products'!F391,'10_Master_Gem_Types'!A:A,'10_Master_Gem_Types'!N:N),"")</f>
        <v>0</v>
      </c>
      <c r="K391" s="9" cm="1">
        <f t="array" ref="K391">IF('01_Input_Raw_Products'!J391&lt;&gt;"",'01_Input_Raw_Products'!J391,IFERROR(_xlfn.XLOOKUP('01_Input_Raw_Products'!F391,'10_Master_Gem_Types'!A:A,'10_Master_Gem_Types'!E:E),""))</f>
        <v>0</v>
      </c>
      <c r="L391" s="9">
        <f>'01_Input_Raw_Products'!P391</f>
        <v>0</v>
      </c>
      <c r="M391" s="9" cm="1">
        <f t="array" ref="M391">IFERROR(_xlfn.XLOOKUP('01_Input_Raw_Products'!K391,'12_Color_Mapping'!A:A,'12_Color_Mapping'!B:B),IFERROR(_xlfn.XLOOKUP('01_Input_Raw_Products'!F391,'10_Master_Gem_Types'!A:A,'10_Master_Gem_Types'!F:F),""))</f>
        <v>0</v>
      </c>
      <c r="N391" s="9">
        <f>IF(C391="","",IF('01_Input_Raw_Products'!F391&lt;&gt;"",'01_Input_Raw_Products'!F391,'01_Input_Raw_Products'!D391))</f>
        <v>0</v>
      </c>
      <c r="O391" s="9">
        <f>IF(C391="","","Catalog Automation")</f>
        <v>0</v>
      </c>
      <c r="P391" s="9">
        <f>'01_Input_Raw_Products'!U391</f>
        <v>0</v>
      </c>
      <c r="Q391" s="7">
        <f>IF('01_Input_Raw_Products'!O391&lt;&gt;"",'01_Input_Raw_Products'!O391,IF('01_Input_Raw_Products'!N391&lt;&gt;"",'01_Input_Raw_Products'!N391*1.1,""))</f>
        <v>0</v>
      </c>
      <c r="R391" s="9">
        <f>'01_Input_Raw_Products'!S391</f>
        <v>0</v>
      </c>
      <c r="S391" s="9" cm="1">
        <f t="array" ref="S391">IFERROR(_xlfn.XLOOKUP('01_Input_Raw_Products'!F391,'10_Master_Gem_Types'!A:A,'10_Master_Gem_Types'!H:H),"")</f>
        <v>0</v>
      </c>
      <c r="T391" s="8">
        <f>'01_Input_Raw_Products'!Q391</f>
        <v>0</v>
      </c>
      <c r="U391" s="8">
        <f>'01_Input_Raw_Products'!R391</f>
        <v>0</v>
      </c>
      <c r="V391" s="7">
        <f>I391</f>
        <v>0</v>
      </c>
      <c r="W391" s="9" cm="1">
        <f t="array" ref="W391">IF('01_Input_Raw_Products'!G391&lt;&gt;"",'01_Input_Raw_Products'!G391,IFERROR(_xlfn.XLOOKUP('01_Input_Raw_Products'!F391,'10_Master_Gem_Types'!A:A,'10_Master_Gem_Types'!L:L),""))</f>
        <v>0</v>
      </c>
      <c r="X391" s="9" cm="1">
        <f t="array" ref="X391">IFERROR(_xlfn.XLOOKUP('01_Input_Raw_Products'!F391,'10_Master_Gem_Types'!A:A,'10_Master_Gem_Types'!J:J),"")</f>
        <v>0</v>
      </c>
      <c r="Y391" s="9" cm="1">
        <f t="array" ref="Y391">IFERROR(_xlfn.XLOOKUP('01_Input_Raw_Products'!F391,'10_Master_Gem_Types'!A:A,'10_Master_Gem_Types'!I:I),"")</f>
        <v>0</v>
      </c>
      <c r="Z391" s="9" cm="1">
        <f t="array" ref="Z391">IFERROR(_xlfn.XLOOKUP('01_Input_Raw_Products'!L391,'13_Certification_Stickers'!A:A,'13_Certification_Stickers'!C:C),"")</f>
        <v>0</v>
      </c>
      <c r="AA391" s="9" cm="1">
        <f t="array" ref="AA391">IFERROR(_xlfn.XLOOKUP('01_Input_Raw_Products'!S391,'14_Shipping_Rules'!A:A,'14_Shipping_Rules'!B:B),"")</f>
        <v>0</v>
      </c>
      <c r="AB391" s="9" cm="1">
        <f t="array" ref="AB391">IFERROR(_xlfn.XLOOKUP('01_Input_Raw_Products'!D391,'16_Astro_Flags'!A:A,'16_Astro_Flags'!B:B),"")</f>
        <v>0</v>
      </c>
      <c r="AC391" s="9">
        <f>IF(C391="","","Catalog, Search")</f>
        <v>0</v>
      </c>
      <c r="AD391" s="9">
        <f>IF(C391="","",IF(OR(F391="",J391="",M391="",S391="",Y391=""),"Manual Review","Ready"))</f>
        <v>0</v>
      </c>
      <c r="AE391" s="9">
        <f>IF(C391="","",TEXTJOIN("; ",TRUE,IF(F391="","Missing url_key",""),IF(J391="","Missing classification",""),IF(M391="","Missing j_colour",""),IF(S391="","Missing hsn_code",""),IF(Y391="","Missing tax_class_id","")))</f>
        <v>0</v>
      </c>
    </row>
    <row r="392" spans="1:31">
      <c r="A392" s="9">
        <f>IF('01_Input_Raw_Products'!B392&lt;&gt;"",20,"")</f>
        <v>0</v>
      </c>
      <c r="B392" s="9" cm="1">
        <f t="array" ref="B392">IF('01_Input_Raw_Products'!M392&lt;&gt;"",'01_Input_Raw_Products'!M392,IFERROR(_xlfn.XLOOKUP('01_Input_Raw_Products'!F392,'10_Master_Gem_Types'!A:A,'10_Master_Gem_Types'!K:K),""))</f>
        <v>0</v>
      </c>
      <c r="C392" s="9">
        <f>'01_Input_Raw_Products'!B392</f>
        <v>0</v>
      </c>
      <c r="D392" s="9">
        <f>IF(C392="","",TEXT(I392,"0.00")&amp;" Ct "&amp;IF('01_Input_Raw_Products'!F392&lt;&gt;"",'01_Input_Raw_Products'!F392,'01_Input_Raw_Products'!D392)&amp;" "&amp;'01_Input_Raw_Products'!I392)</f>
        <v>0</v>
      </c>
      <c r="E392" s="9">
        <f>IF(C392="","",D392&amp;" | GemPundit")</f>
        <v>0</v>
      </c>
      <c r="F392" s="9" cm="1">
        <f t="array" ref="F392">IF('01_Input_Raw_Products'!X392&lt;&gt;"",'01_Input_Raw_Products'!X392,IFERROR(_xlfn.XLOOKUP('01_Input_Raw_Products'!F392,'10_Master_Gem_Types'!A:A,'10_Master_Gem_Types'!O:O),LOWER(SUBSTITUTE(IF('01_Input_Raw_Products'!F392&lt;&gt;"",'01_Input_Raw_Products'!F392,'01_Input_Raw_Products'!D392)," ","-"))))</f>
        <v>0</v>
      </c>
      <c r="G392" s="9">
        <f>'01_Input_Raw_Products'!C392</f>
        <v>0</v>
      </c>
      <c r="H392" s="9" cm="1">
        <f t="array" ref="H392">IF('01_Input_Raw_Products'!H392&lt;&gt;"",'01_Input_Raw_Products'!H392,IFERROR(_xlfn.XLOOKUP('01_Input_Raw_Products'!F392,'10_Master_Gem_Types'!A:A,'10_Master_Gem_Types'!D:D),""))</f>
        <v>0</v>
      </c>
      <c r="I392" s="7">
        <f>IF('01_Input_Raw_Products'!N392&lt;&gt;"",'01_Input_Raw_Products'!N392,IF('01_Input_Raw_Products'!O392&lt;&gt;"",'01_Input_Raw_Products'!O392*0.91,""))</f>
        <v>0</v>
      </c>
      <c r="J392" s="9" cm="1">
        <f t="array" ref="J392">IFERROR(_xlfn.XLOOKUP('01_Input_Raw_Products'!F392,'10_Master_Gem_Types'!A:A,'10_Master_Gem_Types'!N:N),"")</f>
        <v>0</v>
      </c>
      <c r="K392" s="9" cm="1">
        <f t="array" ref="K392">IF('01_Input_Raw_Products'!J392&lt;&gt;"",'01_Input_Raw_Products'!J392,IFERROR(_xlfn.XLOOKUP('01_Input_Raw_Products'!F392,'10_Master_Gem_Types'!A:A,'10_Master_Gem_Types'!E:E),""))</f>
        <v>0</v>
      </c>
      <c r="L392" s="9">
        <f>'01_Input_Raw_Products'!P392</f>
        <v>0</v>
      </c>
      <c r="M392" s="9" cm="1">
        <f t="array" ref="M392">IFERROR(_xlfn.XLOOKUP('01_Input_Raw_Products'!K392,'12_Color_Mapping'!A:A,'12_Color_Mapping'!B:B),IFERROR(_xlfn.XLOOKUP('01_Input_Raw_Products'!F392,'10_Master_Gem_Types'!A:A,'10_Master_Gem_Types'!F:F),""))</f>
        <v>0</v>
      </c>
      <c r="N392" s="9">
        <f>IF(C392="","",IF('01_Input_Raw_Products'!F392&lt;&gt;"",'01_Input_Raw_Products'!F392,'01_Input_Raw_Products'!D392))</f>
        <v>0</v>
      </c>
      <c r="O392" s="9">
        <f>IF(C392="","","Catalog Automation")</f>
        <v>0</v>
      </c>
      <c r="P392" s="9">
        <f>'01_Input_Raw_Products'!U392</f>
        <v>0</v>
      </c>
      <c r="Q392" s="7">
        <f>IF('01_Input_Raw_Products'!O392&lt;&gt;"",'01_Input_Raw_Products'!O392,IF('01_Input_Raw_Products'!N392&lt;&gt;"",'01_Input_Raw_Products'!N392*1.1,""))</f>
        <v>0</v>
      </c>
      <c r="R392" s="9">
        <f>'01_Input_Raw_Products'!S392</f>
        <v>0</v>
      </c>
      <c r="S392" s="9" cm="1">
        <f t="array" ref="S392">IFERROR(_xlfn.XLOOKUP('01_Input_Raw_Products'!F392,'10_Master_Gem_Types'!A:A,'10_Master_Gem_Types'!H:H),"")</f>
        <v>0</v>
      </c>
      <c r="T392" s="8">
        <f>'01_Input_Raw_Products'!Q392</f>
        <v>0</v>
      </c>
      <c r="U392" s="8">
        <f>'01_Input_Raw_Products'!R392</f>
        <v>0</v>
      </c>
      <c r="V392" s="7">
        <f>I392</f>
        <v>0</v>
      </c>
      <c r="W392" s="9" cm="1">
        <f t="array" ref="W392">IF('01_Input_Raw_Products'!G392&lt;&gt;"",'01_Input_Raw_Products'!G392,IFERROR(_xlfn.XLOOKUP('01_Input_Raw_Products'!F392,'10_Master_Gem_Types'!A:A,'10_Master_Gem_Types'!L:L),""))</f>
        <v>0</v>
      </c>
      <c r="X392" s="9" cm="1">
        <f t="array" ref="X392">IFERROR(_xlfn.XLOOKUP('01_Input_Raw_Products'!F392,'10_Master_Gem_Types'!A:A,'10_Master_Gem_Types'!J:J),"")</f>
        <v>0</v>
      </c>
      <c r="Y392" s="9" cm="1">
        <f t="array" ref="Y392">IFERROR(_xlfn.XLOOKUP('01_Input_Raw_Products'!F392,'10_Master_Gem_Types'!A:A,'10_Master_Gem_Types'!I:I),"")</f>
        <v>0</v>
      </c>
      <c r="Z392" s="9" cm="1">
        <f t="array" ref="Z392">IFERROR(_xlfn.XLOOKUP('01_Input_Raw_Products'!L392,'13_Certification_Stickers'!A:A,'13_Certification_Stickers'!C:C),"")</f>
        <v>0</v>
      </c>
      <c r="AA392" s="9" cm="1">
        <f t="array" ref="AA392">IFERROR(_xlfn.XLOOKUP('01_Input_Raw_Products'!S392,'14_Shipping_Rules'!A:A,'14_Shipping_Rules'!B:B),"")</f>
        <v>0</v>
      </c>
      <c r="AB392" s="9" cm="1">
        <f t="array" ref="AB392">IFERROR(_xlfn.XLOOKUP('01_Input_Raw_Products'!D392,'16_Astro_Flags'!A:A,'16_Astro_Flags'!B:B),"")</f>
        <v>0</v>
      </c>
      <c r="AC392" s="9">
        <f>IF(C392="","","Catalog, Search")</f>
        <v>0</v>
      </c>
      <c r="AD392" s="9">
        <f>IF(C392="","",IF(OR(F392="",J392="",M392="",S392="",Y392=""),"Manual Review","Ready"))</f>
        <v>0</v>
      </c>
      <c r="AE392" s="9">
        <f>IF(C392="","",TEXTJOIN("; ",TRUE,IF(F392="","Missing url_key",""),IF(J392="","Missing classification",""),IF(M392="","Missing j_colour",""),IF(S392="","Missing hsn_code",""),IF(Y392="","Missing tax_class_id","")))</f>
        <v>0</v>
      </c>
    </row>
    <row r="393" spans="1:31">
      <c r="A393" s="9">
        <f>IF('01_Input_Raw_Products'!B393&lt;&gt;"",20,"")</f>
        <v>0</v>
      </c>
      <c r="B393" s="9" cm="1">
        <f t="array" ref="B393">IF('01_Input_Raw_Products'!M393&lt;&gt;"",'01_Input_Raw_Products'!M393,IFERROR(_xlfn.XLOOKUP('01_Input_Raw_Products'!F393,'10_Master_Gem_Types'!A:A,'10_Master_Gem_Types'!K:K),""))</f>
        <v>0</v>
      </c>
      <c r="C393" s="9">
        <f>'01_Input_Raw_Products'!B393</f>
        <v>0</v>
      </c>
      <c r="D393" s="9">
        <f>IF(C393="","",TEXT(I393,"0.00")&amp;" Ct "&amp;IF('01_Input_Raw_Products'!F393&lt;&gt;"",'01_Input_Raw_Products'!F393,'01_Input_Raw_Products'!D393)&amp;" "&amp;'01_Input_Raw_Products'!I393)</f>
        <v>0</v>
      </c>
      <c r="E393" s="9">
        <f>IF(C393="","",D393&amp;" | GemPundit")</f>
        <v>0</v>
      </c>
      <c r="F393" s="9" cm="1">
        <f t="array" ref="F393">IF('01_Input_Raw_Products'!X393&lt;&gt;"",'01_Input_Raw_Products'!X393,IFERROR(_xlfn.XLOOKUP('01_Input_Raw_Products'!F393,'10_Master_Gem_Types'!A:A,'10_Master_Gem_Types'!O:O),LOWER(SUBSTITUTE(IF('01_Input_Raw_Products'!F393&lt;&gt;"",'01_Input_Raw_Products'!F393,'01_Input_Raw_Products'!D393)," ","-"))))</f>
        <v>0</v>
      </c>
      <c r="G393" s="9">
        <f>'01_Input_Raw_Products'!C393</f>
        <v>0</v>
      </c>
      <c r="H393" s="9" cm="1">
        <f t="array" ref="H393">IF('01_Input_Raw_Products'!H393&lt;&gt;"",'01_Input_Raw_Products'!H393,IFERROR(_xlfn.XLOOKUP('01_Input_Raw_Products'!F393,'10_Master_Gem_Types'!A:A,'10_Master_Gem_Types'!D:D),""))</f>
        <v>0</v>
      </c>
      <c r="I393" s="7">
        <f>IF('01_Input_Raw_Products'!N393&lt;&gt;"",'01_Input_Raw_Products'!N393,IF('01_Input_Raw_Products'!O393&lt;&gt;"",'01_Input_Raw_Products'!O393*0.91,""))</f>
        <v>0</v>
      </c>
      <c r="J393" s="9" cm="1">
        <f t="array" ref="J393">IFERROR(_xlfn.XLOOKUP('01_Input_Raw_Products'!F393,'10_Master_Gem_Types'!A:A,'10_Master_Gem_Types'!N:N),"")</f>
        <v>0</v>
      </c>
      <c r="K393" s="9" cm="1">
        <f t="array" ref="K393">IF('01_Input_Raw_Products'!J393&lt;&gt;"",'01_Input_Raw_Products'!J393,IFERROR(_xlfn.XLOOKUP('01_Input_Raw_Products'!F393,'10_Master_Gem_Types'!A:A,'10_Master_Gem_Types'!E:E),""))</f>
        <v>0</v>
      </c>
      <c r="L393" s="9">
        <f>'01_Input_Raw_Products'!P393</f>
        <v>0</v>
      </c>
      <c r="M393" s="9" cm="1">
        <f t="array" ref="M393">IFERROR(_xlfn.XLOOKUP('01_Input_Raw_Products'!K393,'12_Color_Mapping'!A:A,'12_Color_Mapping'!B:B),IFERROR(_xlfn.XLOOKUP('01_Input_Raw_Products'!F393,'10_Master_Gem_Types'!A:A,'10_Master_Gem_Types'!F:F),""))</f>
        <v>0</v>
      </c>
      <c r="N393" s="9">
        <f>IF(C393="","",IF('01_Input_Raw_Products'!F393&lt;&gt;"",'01_Input_Raw_Products'!F393,'01_Input_Raw_Products'!D393))</f>
        <v>0</v>
      </c>
      <c r="O393" s="9">
        <f>IF(C393="","","Catalog Automation")</f>
        <v>0</v>
      </c>
      <c r="P393" s="9">
        <f>'01_Input_Raw_Products'!U393</f>
        <v>0</v>
      </c>
      <c r="Q393" s="7">
        <f>IF('01_Input_Raw_Products'!O393&lt;&gt;"",'01_Input_Raw_Products'!O393,IF('01_Input_Raw_Products'!N393&lt;&gt;"",'01_Input_Raw_Products'!N393*1.1,""))</f>
        <v>0</v>
      </c>
      <c r="R393" s="9">
        <f>'01_Input_Raw_Products'!S393</f>
        <v>0</v>
      </c>
      <c r="S393" s="9" cm="1">
        <f t="array" ref="S393">IFERROR(_xlfn.XLOOKUP('01_Input_Raw_Products'!F393,'10_Master_Gem_Types'!A:A,'10_Master_Gem_Types'!H:H),"")</f>
        <v>0</v>
      </c>
      <c r="T393" s="8">
        <f>'01_Input_Raw_Products'!Q393</f>
        <v>0</v>
      </c>
      <c r="U393" s="8">
        <f>'01_Input_Raw_Products'!R393</f>
        <v>0</v>
      </c>
      <c r="V393" s="7">
        <f>I393</f>
        <v>0</v>
      </c>
      <c r="W393" s="9" cm="1">
        <f t="array" ref="W393">IF('01_Input_Raw_Products'!G393&lt;&gt;"",'01_Input_Raw_Products'!G393,IFERROR(_xlfn.XLOOKUP('01_Input_Raw_Products'!F393,'10_Master_Gem_Types'!A:A,'10_Master_Gem_Types'!L:L),""))</f>
        <v>0</v>
      </c>
      <c r="X393" s="9" cm="1">
        <f t="array" ref="X393">IFERROR(_xlfn.XLOOKUP('01_Input_Raw_Products'!F393,'10_Master_Gem_Types'!A:A,'10_Master_Gem_Types'!J:J),"")</f>
        <v>0</v>
      </c>
      <c r="Y393" s="9" cm="1">
        <f t="array" ref="Y393">IFERROR(_xlfn.XLOOKUP('01_Input_Raw_Products'!F393,'10_Master_Gem_Types'!A:A,'10_Master_Gem_Types'!I:I),"")</f>
        <v>0</v>
      </c>
      <c r="Z393" s="9" cm="1">
        <f t="array" ref="Z393">IFERROR(_xlfn.XLOOKUP('01_Input_Raw_Products'!L393,'13_Certification_Stickers'!A:A,'13_Certification_Stickers'!C:C),"")</f>
        <v>0</v>
      </c>
      <c r="AA393" s="9" cm="1">
        <f t="array" ref="AA393">IFERROR(_xlfn.XLOOKUP('01_Input_Raw_Products'!S393,'14_Shipping_Rules'!A:A,'14_Shipping_Rules'!B:B),"")</f>
        <v>0</v>
      </c>
      <c r="AB393" s="9" cm="1">
        <f t="array" ref="AB393">IFERROR(_xlfn.XLOOKUP('01_Input_Raw_Products'!D393,'16_Astro_Flags'!A:A,'16_Astro_Flags'!B:B),"")</f>
        <v>0</v>
      </c>
      <c r="AC393" s="9">
        <f>IF(C393="","","Catalog, Search")</f>
        <v>0</v>
      </c>
      <c r="AD393" s="9">
        <f>IF(C393="","",IF(OR(F393="",J393="",M393="",S393="",Y393=""),"Manual Review","Ready"))</f>
        <v>0</v>
      </c>
      <c r="AE393" s="9">
        <f>IF(C393="","",TEXTJOIN("; ",TRUE,IF(F393="","Missing url_key",""),IF(J393="","Missing classification",""),IF(M393="","Missing j_colour",""),IF(S393="","Missing hsn_code",""),IF(Y393="","Missing tax_class_id","")))</f>
        <v>0</v>
      </c>
    </row>
    <row r="394" spans="1:31">
      <c r="A394" s="9">
        <f>IF('01_Input_Raw_Products'!B394&lt;&gt;"",20,"")</f>
        <v>0</v>
      </c>
      <c r="B394" s="9" cm="1">
        <f t="array" ref="B394">IF('01_Input_Raw_Products'!M394&lt;&gt;"",'01_Input_Raw_Products'!M394,IFERROR(_xlfn.XLOOKUP('01_Input_Raw_Products'!F394,'10_Master_Gem_Types'!A:A,'10_Master_Gem_Types'!K:K),""))</f>
        <v>0</v>
      </c>
      <c r="C394" s="9">
        <f>'01_Input_Raw_Products'!B394</f>
        <v>0</v>
      </c>
      <c r="D394" s="9">
        <f>IF(C394="","",TEXT(I394,"0.00")&amp;" Ct "&amp;IF('01_Input_Raw_Products'!F394&lt;&gt;"",'01_Input_Raw_Products'!F394,'01_Input_Raw_Products'!D394)&amp;" "&amp;'01_Input_Raw_Products'!I394)</f>
        <v>0</v>
      </c>
      <c r="E394" s="9">
        <f>IF(C394="","",D394&amp;" | GemPundit")</f>
        <v>0</v>
      </c>
      <c r="F394" s="9" cm="1">
        <f t="array" ref="F394">IF('01_Input_Raw_Products'!X394&lt;&gt;"",'01_Input_Raw_Products'!X394,IFERROR(_xlfn.XLOOKUP('01_Input_Raw_Products'!F394,'10_Master_Gem_Types'!A:A,'10_Master_Gem_Types'!O:O),LOWER(SUBSTITUTE(IF('01_Input_Raw_Products'!F394&lt;&gt;"",'01_Input_Raw_Products'!F394,'01_Input_Raw_Products'!D394)," ","-"))))</f>
        <v>0</v>
      </c>
      <c r="G394" s="9">
        <f>'01_Input_Raw_Products'!C394</f>
        <v>0</v>
      </c>
      <c r="H394" s="9" cm="1">
        <f t="array" ref="H394">IF('01_Input_Raw_Products'!H394&lt;&gt;"",'01_Input_Raw_Products'!H394,IFERROR(_xlfn.XLOOKUP('01_Input_Raw_Products'!F394,'10_Master_Gem_Types'!A:A,'10_Master_Gem_Types'!D:D),""))</f>
        <v>0</v>
      </c>
      <c r="I394" s="7">
        <f>IF('01_Input_Raw_Products'!N394&lt;&gt;"",'01_Input_Raw_Products'!N394,IF('01_Input_Raw_Products'!O394&lt;&gt;"",'01_Input_Raw_Products'!O394*0.91,""))</f>
        <v>0</v>
      </c>
      <c r="J394" s="9" cm="1">
        <f t="array" ref="J394">IFERROR(_xlfn.XLOOKUP('01_Input_Raw_Products'!F394,'10_Master_Gem_Types'!A:A,'10_Master_Gem_Types'!N:N),"")</f>
        <v>0</v>
      </c>
      <c r="K394" s="9" cm="1">
        <f t="array" ref="K394">IF('01_Input_Raw_Products'!J394&lt;&gt;"",'01_Input_Raw_Products'!J394,IFERROR(_xlfn.XLOOKUP('01_Input_Raw_Products'!F394,'10_Master_Gem_Types'!A:A,'10_Master_Gem_Types'!E:E),""))</f>
        <v>0</v>
      </c>
      <c r="L394" s="9">
        <f>'01_Input_Raw_Products'!P394</f>
        <v>0</v>
      </c>
      <c r="M394" s="9" cm="1">
        <f t="array" ref="M394">IFERROR(_xlfn.XLOOKUP('01_Input_Raw_Products'!K394,'12_Color_Mapping'!A:A,'12_Color_Mapping'!B:B),IFERROR(_xlfn.XLOOKUP('01_Input_Raw_Products'!F394,'10_Master_Gem_Types'!A:A,'10_Master_Gem_Types'!F:F),""))</f>
        <v>0</v>
      </c>
      <c r="N394" s="9">
        <f>IF(C394="","",IF('01_Input_Raw_Products'!F394&lt;&gt;"",'01_Input_Raw_Products'!F394,'01_Input_Raw_Products'!D394))</f>
        <v>0</v>
      </c>
      <c r="O394" s="9">
        <f>IF(C394="","","Catalog Automation")</f>
        <v>0</v>
      </c>
      <c r="P394" s="9">
        <f>'01_Input_Raw_Products'!U394</f>
        <v>0</v>
      </c>
      <c r="Q394" s="7">
        <f>IF('01_Input_Raw_Products'!O394&lt;&gt;"",'01_Input_Raw_Products'!O394,IF('01_Input_Raw_Products'!N394&lt;&gt;"",'01_Input_Raw_Products'!N394*1.1,""))</f>
        <v>0</v>
      </c>
      <c r="R394" s="9">
        <f>'01_Input_Raw_Products'!S394</f>
        <v>0</v>
      </c>
      <c r="S394" s="9" cm="1">
        <f t="array" ref="S394">IFERROR(_xlfn.XLOOKUP('01_Input_Raw_Products'!F394,'10_Master_Gem_Types'!A:A,'10_Master_Gem_Types'!H:H),"")</f>
        <v>0</v>
      </c>
      <c r="T394" s="8">
        <f>'01_Input_Raw_Products'!Q394</f>
        <v>0</v>
      </c>
      <c r="U394" s="8">
        <f>'01_Input_Raw_Products'!R394</f>
        <v>0</v>
      </c>
      <c r="V394" s="7">
        <f>I394</f>
        <v>0</v>
      </c>
      <c r="W394" s="9" cm="1">
        <f t="array" ref="W394">IF('01_Input_Raw_Products'!G394&lt;&gt;"",'01_Input_Raw_Products'!G394,IFERROR(_xlfn.XLOOKUP('01_Input_Raw_Products'!F394,'10_Master_Gem_Types'!A:A,'10_Master_Gem_Types'!L:L),""))</f>
        <v>0</v>
      </c>
      <c r="X394" s="9" cm="1">
        <f t="array" ref="X394">IFERROR(_xlfn.XLOOKUP('01_Input_Raw_Products'!F394,'10_Master_Gem_Types'!A:A,'10_Master_Gem_Types'!J:J),"")</f>
        <v>0</v>
      </c>
      <c r="Y394" s="9" cm="1">
        <f t="array" ref="Y394">IFERROR(_xlfn.XLOOKUP('01_Input_Raw_Products'!F394,'10_Master_Gem_Types'!A:A,'10_Master_Gem_Types'!I:I),"")</f>
        <v>0</v>
      </c>
      <c r="Z394" s="9" cm="1">
        <f t="array" ref="Z394">IFERROR(_xlfn.XLOOKUP('01_Input_Raw_Products'!L394,'13_Certification_Stickers'!A:A,'13_Certification_Stickers'!C:C),"")</f>
        <v>0</v>
      </c>
      <c r="AA394" s="9" cm="1">
        <f t="array" ref="AA394">IFERROR(_xlfn.XLOOKUP('01_Input_Raw_Products'!S394,'14_Shipping_Rules'!A:A,'14_Shipping_Rules'!B:B),"")</f>
        <v>0</v>
      </c>
      <c r="AB394" s="9" cm="1">
        <f t="array" ref="AB394">IFERROR(_xlfn.XLOOKUP('01_Input_Raw_Products'!D394,'16_Astro_Flags'!A:A,'16_Astro_Flags'!B:B),"")</f>
        <v>0</v>
      </c>
      <c r="AC394" s="9">
        <f>IF(C394="","","Catalog, Search")</f>
        <v>0</v>
      </c>
      <c r="AD394" s="9">
        <f>IF(C394="","",IF(OR(F394="",J394="",M394="",S394="",Y394=""),"Manual Review","Ready"))</f>
        <v>0</v>
      </c>
      <c r="AE394" s="9">
        <f>IF(C394="","",TEXTJOIN("; ",TRUE,IF(F394="","Missing url_key",""),IF(J394="","Missing classification",""),IF(M394="","Missing j_colour",""),IF(S394="","Missing hsn_code",""),IF(Y394="","Missing tax_class_id","")))</f>
        <v>0</v>
      </c>
    </row>
    <row r="395" spans="1:31">
      <c r="A395" s="9">
        <f>IF('01_Input_Raw_Products'!B395&lt;&gt;"",20,"")</f>
        <v>0</v>
      </c>
      <c r="B395" s="9" cm="1">
        <f t="array" ref="B395">IF('01_Input_Raw_Products'!M395&lt;&gt;"",'01_Input_Raw_Products'!M395,IFERROR(_xlfn.XLOOKUP('01_Input_Raw_Products'!F395,'10_Master_Gem_Types'!A:A,'10_Master_Gem_Types'!K:K),""))</f>
        <v>0</v>
      </c>
      <c r="C395" s="9">
        <f>'01_Input_Raw_Products'!B395</f>
        <v>0</v>
      </c>
      <c r="D395" s="9">
        <f>IF(C395="","",TEXT(I395,"0.00")&amp;" Ct "&amp;IF('01_Input_Raw_Products'!F395&lt;&gt;"",'01_Input_Raw_Products'!F395,'01_Input_Raw_Products'!D395)&amp;" "&amp;'01_Input_Raw_Products'!I395)</f>
        <v>0</v>
      </c>
      <c r="E395" s="9">
        <f>IF(C395="","",D395&amp;" | GemPundit")</f>
        <v>0</v>
      </c>
      <c r="F395" s="9" cm="1">
        <f t="array" ref="F395">IF('01_Input_Raw_Products'!X395&lt;&gt;"",'01_Input_Raw_Products'!X395,IFERROR(_xlfn.XLOOKUP('01_Input_Raw_Products'!F395,'10_Master_Gem_Types'!A:A,'10_Master_Gem_Types'!O:O),LOWER(SUBSTITUTE(IF('01_Input_Raw_Products'!F395&lt;&gt;"",'01_Input_Raw_Products'!F395,'01_Input_Raw_Products'!D395)," ","-"))))</f>
        <v>0</v>
      </c>
      <c r="G395" s="9">
        <f>'01_Input_Raw_Products'!C395</f>
        <v>0</v>
      </c>
      <c r="H395" s="9" cm="1">
        <f t="array" ref="H395">IF('01_Input_Raw_Products'!H395&lt;&gt;"",'01_Input_Raw_Products'!H395,IFERROR(_xlfn.XLOOKUP('01_Input_Raw_Products'!F395,'10_Master_Gem_Types'!A:A,'10_Master_Gem_Types'!D:D),""))</f>
        <v>0</v>
      </c>
      <c r="I395" s="7">
        <f>IF('01_Input_Raw_Products'!N395&lt;&gt;"",'01_Input_Raw_Products'!N395,IF('01_Input_Raw_Products'!O395&lt;&gt;"",'01_Input_Raw_Products'!O395*0.91,""))</f>
        <v>0</v>
      </c>
      <c r="J395" s="9" cm="1">
        <f t="array" ref="J395">IFERROR(_xlfn.XLOOKUP('01_Input_Raw_Products'!F395,'10_Master_Gem_Types'!A:A,'10_Master_Gem_Types'!N:N),"")</f>
        <v>0</v>
      </c>
      <c r="K395" s="9" cm="1">
        <f t="array" ref="K395">IF('01_Input_Raw_Products'!J395&lt;&gt;"",'01_Input_Raw_Products'!J395,IFERROR(_xlfn.XLOOKUP('01_Input_Raw_Products'!F395,'10_Master_Gem_Types'!A:A,'10_Master_Gem_Types'!E:E),""))</f>
        <v>0</v>
      </c>
      <c r="L395" s="9">
        <f>'01_Input_Raw_Products'!P395</f>
        <v>0</v>
      </c>
      <c r="M395" s="9" cm="1">
        <f t="array" ref="M395">IFERROR(_xlfn.XLOOKUP('01_Input_Raw_Products'!K395,'12_Color_Mapping'!A:A,'12_Color_Mapping'!B:B),IFERROR(_xlfn.XLOOKUP('01_Input_Raw_Products'!F395,'10_Master_Gem_Types'!A:A,'10_Master_Gem_Types'!F:F),""))</f>
        <v>0</v>
      </c>
      <c r="N395" s="9">
        <f>IF(C395="","",IF('01_Input_Raw_Products'!F395&lt;&gt;"",'01_Input_Raw_Products'!F395,'01_Input_Raw_Products'!D395))</f>
        <v>0</v>
      </c>
      <c r="O395" s="9">
        <f>IF(C395="","","Catalog Automation")</f>
        <v>0</v>
      </c>
      <c r="P395" s="9">
        <f>'01_Input_Raw_Products'!U395</f>
        <v>0</v>
      </c>
      <c r="Q395" s="7">
        <f>IF('01_Input_Raw_Products'!O395&lt;&gt;"",'01_Input_Raw_Products'!O395,IF('01_Input_Raw_Products'!N395&lt;&gt;"",'01_Input_Raw_Products'!N395*1.1,""))</f>
        <v>0</v>
      </c>
      <c r="R395" s="9">
        <f>'01_Input_Raw_Products'!S395</f>
        <v>0</v>
      </c>
      <c r="S395" s="9" cm="1">
        <f t="array" ref="S395">IFERROR(_xlfn.XLOOKUP('01_Input_Raw_Products'!F395,'10_Master_Gem_Types'!A:A,'10_Master_Gem_Types'!H:H),"")</f>
        <v>0</v>
      </c>
      <c r="T395" s="8">
        <f>'01_Input_Raw_Products'!Q395</f>
        <v>0</v>
      </c>
      <c r="U395" s="8">
        <f>'01_Input_Raw_Products'!R395</f>
        <v>0</v>
      </c>
      <c r="V395" s="7">
        <f>I395</f>
        <v>0</v>
      </c>
      <c r="W395" s="9" cm="1">
        <f t="array" ref="W395">IF('01_Input_Raw_Products'!G395&lt;&gt;"",'01_Input_Raw_Products'!G395,IFERROR(_xlfn.XLOOKUP('01_Input_Raw_Products'!F395,'10_Master_Gem_Types'!A:A,'10_Master_Gem_Types'!L:L),""))</f>
        <v>0</v>
      </c>
      <c r="X395" s="9" cm="1">
        <f t="array" ref="X395">IFERROR(_xlfn.XLOOKUP('01_Input_Raw_Products'!F395,'10_Master_Gem_Types'!A:A,'10_Master_Gem_Types'!J:J),"")</f>
        <v>0</v>
      </c>
      <c r="Y395" s="9" cm="1">
        <f t="array" ref="Y395">IFERROR(_xlfn.XLOOKUP('01_Input_Raw_Products'!F395,'10_Master_Gem_Types'!A:A,'10_Master_Gem_Types'!I:I),"")</f>
        <v>0</v>
      </c>
      <c r="Z395" s="9" cm="1">
        <f t="array" ref="Z395">IFERROR(_xlfn.XLOOKUP('01_Input_Raw_Products'!L395,'13_Certification_Stickers'!A:A,'13_Certification_Stickers'!C:C),"")</f>
        <v>0</v>
      </c>
      <c r="AA395" s="9" cm="1">
        <f t="array" ref="AA395">IFERROR(_xlfn.XLOOKUP('01_Input_Raw_Products'!S395,'14_Shipping_Rules'!A:A,'14_Shipping_Rules'!B:B),"")</f>
        <v>0</v>
      </c>
      <c r="AB395" s="9" cm="1">
        <f t="array" ref="AB395">IFERROR(_xlfn.XLOOKUP('01_Input_Raw_Products'!D395,'16_Astro_Flags'!A:A,'16_Astro_Flags'!B:B),"")</f>
        <v>0</v>
      </c>
      <c r="AC395" s="9">
        <f>IF(C395="","","Catalog, Search")</f>
        <v>0</v>
      </c>
      <c r="AD395" s="9">
        <f>IF(C395="","",IF(OR(F395="",J395="",M395="",S395="",Y395=""),"Manual Review","Ready"))</f>
        <v>0</v>
      </c>
      <c r="AE395" s="9">
        <f>IF(C395="","",TEXTJOIN("; ",TRUE,IF(F395="","Missing url_key",""),IF(J395="","Missing classification",""),IF(M395="","Missing j_colour",""),IF(S395="","Missing hsn_code",""),IF(Y395="","Missing tax_class_id","")))</f>
        <v>0</v>
      </c>
    </row>
    <row r="396" spans="1:31">
      <c r="A396" s="9">
        <f>IF('01_Input_Raw_Products'!B396&lt;&gt;"",20,"")</f>
        <v>0</v>
      </c>
      <c r="B396" s="9" cm="1">
        <f t="array" ref="B396">IF('01_Input_Raw_Products'!M396&lt;&gt;"",'01_Input_Raw_Products'!M396,IFERROR(_xlfn.XLOOKUP('01_Input_Raw_Products'!F396,'10_Master_Gem_Types'!A:A,'10_Master_Gem_Types'!K:K),""))</f>
        <v>0</v>
      </c>
      <c r="C396" s="9">
        <f>'01_Input_Raw_Products'!B396</f>
        <v>0</v>
      </c>
      <c r="D396" s="9">
        <f>IF(C396="","",TEXT(I396,"0.00")&amp;" Ct "&amp;IF('01_Input_Raw_Products'!F396&lt;&gt;"",'01_Input_Raw_Products'!F396,'01_Input_Raw_Products'!D396)&amp;" "&amp;'01_Input_Raw_Products'!I396)</f>
        <v>0</v>
      </c>
      <c r="E396" s="9">
        <f>IF(C396="","",D396&amp;" | GemPundit")</f>
        <v>0</v>
      </c>
      <c r="F396" s="9" cm="1">
        <f t="array" ref="F396">IF('01_Input_Raw_Products'!X396&lt;&gt;"",'01_Input_Raw_Products'!X396,IFERROR(_xlfn.XLOOKUP('01_Input_Raw_Products'!F396,'10_Master_Gem_Types'!A:A,'10_Master_Gem_Types'!O:O),LOWER(SUBSTITUTE(IF('01_Input_Raw_Products'!F396&lt;&gt;"",'01_Input_Raw_Products'!F396,'01_Input_Raw_Products'!D396)," ","-"))))</f>
        <v>0</v>
      </c>
      <c r="G396" s="9">
        <f>'01_Input_Raw_Products'!C396</f>
        <v>0</v>
      </c>
      <c r="H396" s="9" cm="1">
        <f t="array" ref="H396">IF('01_Input_Raw_Products'!H396&lt;&gt;"",'01_Input_Raw_Products'!H396,IFERROR(_xlfn.XLOOKUP('01_Input_Raw_Products'!F396,'10_Master_Gem_Types'!A:A,'10_Master_Gem_Types'!D:D),""))</f>
        <v>0</v>
      </c>
      <c r="I396" s="7">
        <f>IF('01_Input_Raw_Products'!N396&lt;&gt;"",'01_Input_Raw_Products'!N396,IF('01_Input_Raw_Products'!O396&lt;&gt;"",'01_Input_Raw_Products'!O396*0.91,""))</f>
        <v>0</v>
      </c>
      <c r="J396" s="9" cm="1">
        <f t="array" ref="J396">IFERROR(_xlfn.XLOOKUP('01_Input_Raw_Products'!F396,'10_Master_Gem_Types'!A:A,'10_Master_Gem_Types'!N:N),"")</f>
        <v>0</v>
      </c>
      <c r="K396" s="9" cm="1">
        <f t="array" ref="K396">IF('01_Input_Raw_Products'!J396&lt;&gt;"",'01_Input_Raw_Products'!J396,IFERROR(_xlfn.XLOOKUP('01_Input_Raw_Products'!F396,'10_Master_Gem_Types'!A:A,'10_Master_Gem_Types'!E:E),""))</f>
        <v>0</v>
      </c>
      <c r="L396" s="9">
        <f>'01_Input_Raw_Products'!P396</f>
        <v>0</v>
      </c>
      <c r="M396" s="9" cm="1">
        <f t="array" ref="M396">IFERROR(_xlfn.XLOOKUP('01_Input_Raw_Products'!K396,'12_Color_Mapping'!A:A,'12_Color_Mapping'!B:B),IFERROR(_xlfn.XLOOKUP('01_Input_Raw_Products'!F396,'10_Master_Gem_Types'!A:A,'10_Master_Gem_Types'!F:F),""))</f>
        <v>0</v>
      </c>
      <c r="N396" s="9">
        <f>IF(C396="","",IF('01_Input_Raw_Products'!F396&lt;&gt;"",'01_Input_Raw_Products'!F396,'01_Input_Raw_Products'!D396))</f>
        <v>0</v>
      </c>
      <c r="O396" s="9">
        <f>IF(C396="","","Catalog Automation")</f>
        <v>0</v>
      </c>
      <c r="P396" s="9">
        <f>'01_Input_Raw_Products'!U396</f>
        <v>0</v>
      </c>
      <c r="Q396" s="7">
        <f>IF('01_Input_Raw_Products'!O396&lt;&gt;"",'01_Input_Raw_Products'!O396,IF('01_Input_Raw_Products'!N396&lt;&gt;"",'01_Input_Raw_Products'!N396*1.1,""))</f>
        <v>0</v>
      </c>
      <c r="R396" s="9">
        <f>'01_Input_Raw_Products'!S396</f>
        <v>0</v>
      </c>
      <c r="S396" s="9" cm="1">
        <f t="array" ref="S396">IFERROR(_xlfn.XLOOKUP('01_Input_Raw_Products'!F396,'10_Master_Gem_Types'!A:A,'10_Master_Gem_Types'!H:H),"")</f>
        <v>0</v>
      </c>
      <c r="T396" s="8">
        <f>'01_Input_Raw_Products'!Q396</f>
        <v>0</v>
      </c>
      <c r="U396" s="8">
        <f>'01_Input_Raw_Products'!R396</f>
        <v>0</v>
      </c>
      <c r="V396" s="7">
        <f>I396</f>
        <v>0</v>
      </c>
      <c r="W396" s="9" cm="1">
        <f t="array" ref="W396">IF('01_Input_Raw_Products'!G396&lt;&gt;"",'01_Input_Raw_Products'!G396,IFERROR(_xlfn.XLOOKUP('01_Input_Raw_Products'!F396,'10_Master_Gem_Types'!A:A,'10_Master_Gem_Types'!L:L),""))</f>
        <v>0</v>
      </c>
      <c r="X396" s="9" cm="1">
        <f t="array" ref="X396">IFERROR(_xlfn.XLOOKUP('01_Input_Raw_Products'!F396,'10_Master_Gem_Types'!A:A,'10_Master_Gem_Types'!J:J),"")</f>
        <v>0</v>
      </c>
      <c r="Y396" s="9" cm="1">
        <f t="array" ref="Y396">IFERROR(_xlfn.XLOOKUP('01_Input_Raw_Products'!F396,'10_Master_Gem_Types'!A:A,'10_Master_Gem_Types'!I:I),"")</f>
        <v>0</v>
      </c>
      <c r="Z396" s="9" cm="1">
        <f t="array" ref="Z396">IFERROR(_xlfn.XLOOKUP('01_Input_Raw_Products'!L396,'13_Certification_Stickers'!A:A,'13_Certification_Stickers'!C:C),"")</f>
        <v>0</v>
      </c>
      <c r="AA396" s="9" cm="1">
        <f t="array" ref="AA396">IFERROR(_xlfn.XLOOKUP('01_Input_Raw_Products'!S396,'14_Shipping_Rules'!A:A,'14_Shipping_Rules'!B:B),"")</f>
        <v>0</v>
      </c>
      <c r="AB396" s="9" cm="1">
        <f t="array" ref="AB396">IFERROR(_xlfn.XLOOKUP('01_Input_Raw_Products'!D396,'16_Astro_Flags'!A:A,'16_Astro_Flags'!B:B),"")</f>
        <v>0</v>
      </c>
      <c r="AC396" s="9">
        <f>IF(C396="","","Catalog, Search")</f>
        <v>0</v>
      </c>
      <c r="AD396" s="9">
        <f>IF(C396="","",IF(OR(F396="",J396="",M396="",S396="",Y396=""),"Manual Review","Ready"))</f>
        <v>0</v>
      </c>
      <c r="AE396" s="9">
        <f>IF(C396="","",TEXTJOIN("; ",TRUE,IF(F396="","Missing url_key",""),IF(J396="","Missing classification",""),IF(M396="","Missing j_colour",""),IF(S396="","Missing hsn_code",""),IF(Y396="","Missing tax_class_id","")))</f>
        <v>0</v>
      </c>
    </row>
    <row r="397" spans="1:31">
      <c r="A397" s="9">
        <f>IF('01_Input_Raw_Products'!B397&lt;&gt;"",20,"")</f>
        <v>0</v>
      </c>
      <c r="B397" s="9" cm="1">
        <f t="array" ref="B397">IF('01_Input_Raw_Products'!M397&lt;&gt;"",'01_Input_Raw_Products'!M397,IFERROR(_xlfn.XLOOKUP('01_Input_Raw_Products'!F397,'10_Master_Gem_Types'!A:A,'10_Master_Gem_Types'!K:K),""))</f>
        <v>0</v>
      </c>
      <c r="C397" s="9">
        <f>'01_Input_Raw_Products'!B397</f>
        <v>0</v>
      </c>
      <c r="D397" s="9">
        <f>IF(C397="","",TEXT(I397,"0.00")&amp;" Ct "&amp;IF('01_Input_Raw_Products'!F397&lt;&gt;"",'01_Input_Raw_Products'!F397,'01_Input_Raw_Products'!D397)&amp;" "&amp;'01_Input_Raw_Products'!I397)</f>
        <v>0</v>
      </c>
      <c r="E397" s="9">
        <f>IF(C397="","",D397&amp;" | GemPundit")</f>
        <v>0</v>
      </c>
      <c r="F397" s="9" cm="1">
        <f t="array" ref="F397">IF('01_Input_Raw_Products'!X397&lt;&gt;"",'01_Input_Raw_Products'!X397,IFERROR(_xlfn.XLOOKUP('01_Input_Raw_Products'!F397,'10_Master_Gem_Types'!A:A,'10_Master_Gem_Types'!O:O),LOWER(SUBSTITUTE(IF('01_Input_Raw_Products'!F397&lt;&gt;"",'01_Input_Raw_Products'!F397,'01_Input_Raw_Products'!D397)," ","-"))))</f>
        <v>0</v>
      </c>
      <c r="G397" s="9">
        <f>'01_Input_Raw_Products'!C397</f>
        <v>0</v>
      </c>
      <c r="H397" s="9" cm="1">
        <f t="array" ref="H397">IF('01_Input_Raw_Products'!H397&lt;&gt;"",'01_Input_Raw_Products'!H397,IFERROR(_xlfn.XLOOKUP('01_Input_Raw_Products'!F397,'10_Master_Gem_Types'!A:A,'10_Master_Gem_Types'!D:D),""))</f>
        <v>0</v>
      </c>
      <c r="I397" s="7">
        <f>IF('01_Input_Raw_Products'!N397&lt;&gt;"",'01_Input_Raw_Products'!N397,IF('01_Input_Raw_Products'!O397&lt;&gt;"",'01_Input_Raw_Products'!O397*0.91,""))</f>
        <v>0</v>
      </c>
      <c r="J397" s="9" cm="1">
        <f t="array" ref="J397">IFERROR(_xlfn.XLOOKUP('01_Input_Raw_Products'!F397,'10_Master_Gem_Types'!A:A,'10_Master_Gem_Types'!N:N),"")</f>
        <v>0</v>
      </c>
      <c r="K397" s="9" cm="1">
        <f t="array" ref="K397">IF('01_Input_Raw_Products'!J397&lt;&gt;"",'01_Input_Raw_Products'!J397,IFERROR(_xlfn.XLOOKUP('01_Input_Raw_Products'!F397,'10_Master_Gem_Types'!A:A,'10_Master_Gem_Types'!E:E),""))</f>
        <v>0</v>
      </c>
      <c r="L397" s="9">
        <f>'01_Input_Raw_Products'!P397</f>
        <v>0</v>
      </c>
      <c r="M397" s="9" cm="1">
        <f t="array" ref="M397">IFERROR(_xlfn.XLOOKUP('01_Input_Raw_Products'!K397,'12_Color_Mapping'!A:A,'12_Color_Mapping'!B:B),IFERROR(_xlfn.XLOOKUP('01_Input_Raw_Products'!F397,'10_Master_Gem_Types'!A:A,'10_Master_Gem_Types'!F:F),""))</f>
        <v>0</v>
      </c>
      <c r="N397" s="9">
        <f>IF(C397="","",IF('01_Input_Raw_Products'!F397&lt;&gt;"",'01_Input_Raw_Products'!F397,'01_Input_Raw_Products'!D397))</f>
        <v>0</v>
      </c>
      <c r="O397" s="9">
        <f>IF(C397="","","Catalog Automation")</f>
        <v>0</v>
      </c>
      <c r="P397" s="9">
        <f>'01_Input_Raw_Products'!U397</f>
        <v>0</v>
      </c>
      <c r="Q397" s="7">
        <f>IF('01_Input_Raw_Products'!O397&lt;&gt;"",'01_Input_Raw_Products'!O397,IF('01_Input_Raw_Products'!N397&lt;&gt;"",'01_Input_Raw_Products'!N397*1.1,""))</f>
        <v>0</v>
      </c>
      <c r="R397" s="9">
        <f>'01_Input_Raw_Products'!S397</f>
        <v>0</v>
      </c>
      <c r="S397" s="9" cm="1">
        <f t="array" ref="S397">IFERROR(_xlfn.XLOOKUP('01_Input_Raw_Products'!F397,'10_Master_Gem_Types'!A:A,'10_Master_Gem_Types'!H:H),"")</f>
        <v>0</v>
      </c>
      <c r="T397" s="8">
        <f>'01_Input_Raw_Products'!Q397</f>
        <v>0</v>
      </c>
      <c r="U397" s="8">
        <f>'01_Input_Raw_Products'!R397</f>
        <v>0</v>
      </c>
      <c r="V397" s="7">
        <f>I397</f>
        <v>0</v>
      </c>
      <c r="W397" s="9" cm="1">
        <f t="array" ref="W397">IF('01_Input_Raw_Products'!G397&lt;&gt;"",'01_Input_Raw_Products'!G397,IFERROR(_xlfn.XLOOKUP('01_Input_Raw_Products'!F397,'10_Master_Gem_Types'!A:A,'10_Master_Gem_Types'!L:L),""))</f>
        <v>0</v>
      </c>
      <c r="X397" s="9" cm="1">
        <f t="array" ref="X397">IFERROR(_xlfn.XLOOKUP('01_Input_Raw_Products'!F397,'10_Master_Gem_Types'!A:A,'10_Master_Gem_Types'!J:J),"")</f>
        <v>0</v>
      </c>
      <c r="Y397" s="9" cm="1">
        <f t="array" ref="Y397">IFERROR(_xlfn.XLOOKUP('01_Input_Raw_Products'!F397,'10_Master_Gem_Types'!A:A,'10_Master_Gem_Types'!I:I),"")</f>
        <v>0</v>
      </c>
      <c r="Z397" s="9" cm="1">
        <f t="array" ref="Z397">IFERROR(_xlfn.XLOOKUP('01_Input_Raw_Products'!L397,'13_Certification_Stickers'!A:A,'13_Certification_Stickers'!C:C),"")</f>
        <v>0</v>
      </c>
      <c r="AA397" s="9" cm="1">
        <f t="array" ref="AA397">IFERROR(_xlfn.XLOOKUP('01_Input_Raw_Products'!S397,'14_Shipping_Rules'!A:A,'14_Shipping_Rules'!B:B),"")</f>
        <v>0</v>
      </c>
      <c r="AB397" s="9" cm="1">
        <f t="array" ref="AB397">IFERROR(_xlfn.XLOOKUP('01_Input_Raw_Products'!D397,'16_Astro_Flags'!A:A,'16_Astro_Flags'!B:B),"")</f>
        <v>0</v>
      </c>
      <c r="AC397" s="9">
        <f>IF(C397="","","Catalog, Search")</f>
        <v>0</v>
      </c>
      <c r="AD397" s="9">
        <f>IF(C397="","",IF(OR(F397="",J397="",M397="",S397="",Y397=""),"Manual Review","Ready"))</f>
        <v>0</v>
      </c>
      <c r="AE397" s="9">
        <f>IF(C397="","",TEXTJOIN("; ",TRUE,IF(F397="","Missing url_key",""),IF(J397="","Missing classification",""),IF(M397="","Missing j_colour",""),IF(S397="","Missing hsn_code",""),IF(Y397="","Missing tax_class_id","")))</f>
        <v>0</v>
      </c>
    </row>
    <row r="398" spans="1:31">
      <c r="A398" s="9">
        <f>IF('01_Input_Raw_Products'!B398&lt;&gt;"",20,"")</f>
        <v>0</v>
      </c>
      <c r="B398" s="9" cm="1">
        <f t="array" ref="B398">IF('01_Input_Raw_Products'!M398&lt;&gt;"",'01_Input_Raw_Products'!M398,IFERROR(_xlfn.XLOOKUP('01_Input_Raw_Products'!F398,'10_Master_Gem_Types'!A:A,'10_Master_Gem_Types'!K:K),""))</f>
        <v>0</v>
      </c>
      <c r="C398" s="9">
        <f>'01_Input_Raw_Products'!B398</f>
        <v>0</v>
      </c>
      <c r="D398" s="9">
        <f>IF(C398="","",TEXT(I398,"0.00")&amp;" Ct "&amp;IF('01_Input_Raw_Products'!F398&lt;&gt;"",'01_Input_Raw_Products'!F398,'01_Input_Raw_Products'!D398)&amp;" "&amp;'01_Input_Raw_Products'!I398)</f>
        <v>0</v>
      </c>
      <c r="E398" s="9">
        <f>IF(C398="","",D398&amp;" | GemPundit")</f>
        <v>0</v>
      </c>
      <c r="F398" s="9" cm="1">
        <f t="array" ref="F398">IF('01_Input_Raw_Products'!X398&lt;&gt;"",'01_Input_Raw_Products'!X398,IFERROR(_xlfn.XLOOKUP('01_Input_Raw_Products'!F398,'10_Master_Gem_Types'!A:A,'10_Master_Gem_Types'!O:O),LOWER(SUBSTITUTE(IF('01_Input_Raw_Products'!F398&lt;&gt;"",'01_Input_Raw_Products'!F398,'01_Input_Raw_Products'!D398)," ","-"))))</f>
        <v>0</v>
      </c>
      <c r="G398" s="9">
        <f>'01_Input_Raw_Products'!C398</f>
        <v>0</v>
      </c>
      <c r="H398" s="9" cm="1">
        <f t="array" ref="H398">IF('01_Input_Raw_Products'!H398&lt;&gt;"",'01_Input_Raw_Products'!H398,IFERROR(_xlfn.XLOOKUP('01_Input_Raw_Products'!F398,'10_Master_Gem_Types'!A:A,'10_Master_Gem_Types'!D:D),""))</f>
        <v>0</v>
      </c>
      <c r="I398" s="7">
        <f>IF('01_Input_Raw_Products'!N398&lt;&gt;"",'01_Input_Raw_Products'!N398,IF('01_Input_Raw_Products'!O398&lt;&gt;"",'01_Input_Raw_Products'!O398*0.91,""))</f>
        <v>0</v>
      </c>
      <c r="J398" s="9" cm="1">
        <f t="array" ref="J398">IFERROR(_xlfn.XLOOKUP('01_Input_Raw_Products'!F398,'10_Master_Gem_Types'!A:A,'10_Master_Gem_Types'!N:N),"")</f>
        <v>0</v>
      </c>
      <c r="K398" s="9" cm="1">
        <f t="array" ref="K398">IF('01_Input_Raw_Products'!J398&lt;&gt;"",'01_Input_Raw_Products'!J398,IFERROR(_xlfn.XLOOKUP('01_Input_Raw_Products'!F398,'10_Master_Gem_Types'!A:A,'10_Master_Gem_Types'!E:E),""))</f>
        <v>0</v>
      </c>
      <c r="L398" s="9">
        <f>'01_Input_Raw_Products'!P398</f>
        <v>0</v>
      </c>
      <c r="M398" s="9" cm="1">
        <f t="array" ref="M398">IFERROR(_xlfn.XLOOKUP('01_Input_Raw_Products'!K398,'12_Color_Mapping'!A:A,'12_Color_Mapping'!B:B),IFERROR(_xlfn.XLOOKUP('01_Input_Raw_Products'!F398,'10_Master_Gem_Types'!A:A,'10_Master_Gem_Types'!F:F),""))</f>
        <v>0</v>
      </c>
      <c r="N398" s="9">
        <f>IF(C398="","",IF('01_Input_Raw_Products'!F398&lt;&gt;"",'01_Input_Raw_Products'!F398,'01_Input_Raw_Products'!D398))</f>
        <v>0</v>
      </c>
      <c r="O398" s="9">
        <f>IF(C398="","","Catalog Automation")</f>
        <v>0</v>
      </c>
      <c r="P398" s="9">
        <f>'01_Input_Raw_Products'!U398</f>
        <v>0</v>
      </c>
      <c r="Q398" s="7">
        <f>IF('01_Input_Raw_Products'!O398&lt;&gt;"",'01_Input_Raw_Products'!O398,IF('01_Input_Raw_Products'!N398&lt;&gt;"",'01_Input_Raw_Products'!N398*1.1,""))</f>
        <v>0</v>
      </c>
      <c r="R398" s="9">
        <f>'01_Input_Raw_Products'!S398</f>
        <v>0</v>
      </c>
      <c r="S398" s="9" cm="1">
        <f t="array" ref="S398">IFERROR(_xlfn.XLOOKUP('01_Input_Raw_Products'!F398,'10_Master_Gem_Types'!A:A,'10_Master_Gem_Types'!H:H),"")</f>
        <v>0</v>
      </c>
      <c r="T398" s="8">
        <f>'01_Input_Raw_Products'!Q398</f>
        <v>0</v>
      </c>
      <c r="U398" s="8">
        <f>'01_Input_Raw_Products'!R398</f>
        <v>0</v>
      </c>
      <c r="V398" s="7">
        <f>I398</f>
        <v>0</v>
      </c>
      <c r="W398" s="9" cm="1">
        <f t="array" ref="W398">IF('01_Input_Raw_Products'!G398&lt;&gt;"",'01_Input_Raw_Products'!G398,IFERROR(_xlfn.XLOOKUP('01_Input_Raw_Products'!F398,'10_Master_Gem_Types'!A:A,'10_Master_Gem_Types'!L:L),""))</f>
        <v>0</v>
      </c>
      <c r="X398" s="9" cm="1">
        <f t="array" ref="X398">IFERROR(_xlfn.XLOOKUP('01_Input_Raw_Products'!F398,'10_Master_Gem_Types'!A:A,'10_Master_Gem_Types'!J:J),"")</f>
        <v>0</v>
      </c>
      <c r="Y398" s="9" cm="1">
        <f t="array" ref="Y398">IFERROR(_xlfn.XLOOKUP('01_Input_Raw_Products'!F398,'10_Master_Gem_Types'!A:A,'10_Master_Gem_Types'!I:I),"")</f>
        <v>0</v>
      </c>
      <c r="Z398" s="9" cm="1">
        <f t="array" ref="Z398">IFERROR(_xlfn.XLOOKUP('01_Input_Raw_Products'!L398,'13_Certification_Stickers'!A:A,'13_Certification_Stickers'!C:C),"")</f>
        <v>0</v>
      </c>
      <c r="AA398" s="9" cm="1">
        <f t="array" ref="AA398">IFERROR(_xlfn.XLOOKUP('01_Input_Raw_Products'!S398,'14_Shipping_Rules'!A:A,'14_Shipping_Rules'!B:B),"")</f>
        <v>0</v>
      </c>
      <c r="AB398" s="9" cm="1">
        <f t="array" ref="AB398">IFERROR(_xlfn.XLOOKUP('01_Input_Raw_Products'!D398,'16_Astro_Flags'!A:A,'16_Astro_Flags'!B:B),"")</f>
        <v>0</v>
      </c>
      <c r="AC398" s="9">
        <f>IF(C398="","","Catalog, Search")</f>
        <v>0</v>
      </c>
      <c r="AD398" s="9">
        <f>IF(C398="","",IF(OR(F398="",J398="",M398="",S398="",Y398=""),"Manual Review","Ready"))</f>
        <v>0</v>
      </c>
      <c r="AE398" s="9">
        <f>IF(C398="","",TEXTJOIN("; ",TRUE,IF(F398="","Missing url_key",""),IF(J398="","Missing classification",""),IF(M398="","Missing j_colour",""),IF(S398="","Missing hsn_code",""),IF(Y398="","Missing tax_class_id","")))</f>
        <v>0</v>
      </c>
    </row>
    <row r="399" spans="1:31">
      <c r="A399" s="9">
        <f>IF('01_Input_Raw_Products'!B399&lt;&gt;"",20,"")</f>
        <v>0</v>
      </c>
      <c r="B399" s="9" cm="1">
        <f t="array" ref="B399">IF('01_Input_Raw_Products'!M399&lt;&gt;"",'01_Input_Raw_Products'!M399,IFERROR(_xlfn.XLOOKUP('01_Input_Raw_Products'!F399,'10_Master_Gem_Types'!A:A,'10_Master_Gem_Types'!K:K),""))</f>
        <v>0</v>
      </c>
      <c r="C399" s="9">
        <f>'01_Input_Raw_Products'!B399</f>
        <v>0</v>
      </c>
      <c r="D399" s="9">
        <f>IF(C399="","",TEXT(I399,"0.00")&amp;" Ct "&amp;IF('01_Input_Raw_Products'!F399&lt;&gt;"",'01_Input_Raw_Products'!F399,'01_Input_Raw_Products'!D399)&amp;" "&amp;'01_Input_Raw_Products'!I399)</f>
        <v>0</v>
      </c>
      <c r="E399" s="9">
        <f>IF(C399="","",D399&amp;" | GemPundit")</f>
        <v>0</v>
      </c>
      <c r="F399" s="9" cm="1">
        <f t="array" ref="F399">IF('01_Input_Raw_Products'!X399&lt;&gt;"",'01_Input_Raw_Products'!X399,IFERROR(_xlfn.XLOOKUP('01_Input_Raw_Products'!F399,'10_Master_Gem_Types'!A:A,'10_Master_Gem_Types'!O:O),LOWER(SUBSTITUTE(IF('01_Input_Raw_Products'!F399&lt;&gt;"",'01_Input_Raw_Products'!F399,'01_Input_Raw_Products'!D399)," ","-"))))</f>
        <v>0</v>
      </c>
      <c r="G399" s="9">
        <f>'01_Input_Raw_Products'!C399</f>
        <v>0</v>
      </c>
      <c r="H399" s="9" cm="1">
        <f t="array" ref="H399">IF('01_Input_Raw_Products'!H399&lt;&gt;"",'01_Input_Raw_Products'!H399,IFERROR(_xlfn.XLOOKUP('01_Input_Raw_Products'!F399,'10_Master_Gem_Types'!A:A,'10_Master_Gem_Types'!D:D),""))</f>
        <v>0</v>
      </c>
      <c r="I399" s="7">
        <f>IF('01_Input_Raw_Products'!N399&lt;&gt;"",'01_Input_Raw_Products'!N399,IF('01_Input_Raw_Products'!O399&lt;&gt;"",'01_Input_Raw_Products'!O399*0.91,""))</f>
        <v>0</v>
      </c>
      <c r="J399" s="9" cm="1">
        <f t="array" ref="J399">IFERROR(_xlfn.XLOOKUP('01_Input_Raw_Products'!F399,'10_Master_Gem_Types'!A:A,'10_Master_Gem_Types'!N:N),"")</f>
        <v>0</v>
      </c>
      <c r="K399" s="9" cm="1">
        <f t="array" ref="K399">IF('01_Input_Raw_Products'!J399&lt;&gt;"",'01_Input_Raw_Products'!J399,IFERROR(_xlfn.XLOOKUP('01_Input_Raw_Products'!F399,'10_Master_Gem_Types'!A:A,'10_Master_Gem_Types'!E:E),""))</f>
        <v>0</v>
      </c>
      <c r="L399" s="9">
        <f>'01_Input_Raw_Products'!P399</f>
        <v>0</v>
      </c>
      <c r="M399" s="9" cm="1">
        <f t="array" ref="M399">IFERROR(_xlfn.XLOOKUP('01_Input_Raw_Products'!K399,'12_Color_Mapping'!A:A,'12_Color_Mapping'!B:B),IFERROR(_xlfn.XLOOKUP('01_Input_Raw_Products'!F399,'10_Master_Gem_Types'!A:A,'10_Master_Gem_Types'!F:F),""))</f>
        <v>0</v>
      </c>
      <c r="N399" s="9">
        <f>IF(C399="","",IF('01_Input_Raw_Products'!F399&lt;&gt;"",'01_Input_Raw_Products'!F399,'01_Input_Raw_Products'!D399))</f>
        <v>0</v>
      </c>
      <c r="O399" s="9">
        <f>IF(C399="","","Catalog Automation")</f>
        <v>0</v>
      </c>
      <c r="P399" s="9">
        <f>'01_Input_Raw_Products'!U399</f>
        <v>0</v>
      </c>
      <c r="Q399" s="7">
        <f>IF('01_Input_Raw_Products'!O399&lt;&gt;"",'01_Input_Raw_Products'!O399,IF('01_Input_Raw_Products'!N399&lt;&gt;"",'01_Input_Raw_Products'!N399*1.1,""))</f>
        <v>0</v>
      </c>
      <c r="R399" s="9">
        <f>'01_Input_Raw_Products'!S399</f>
        <v>0</v>
      </c>
      <c r="S399" s="9" cm="1">
        <f t="array" ref="S399">IFERROR(_xlfn.XLOOKUP('01_Input_Raw_Products'!F399,'10_Master_Gem_Types'!A:A,'10_Master_Gem_Types'!H:H),"")</f>
        <v>0</v>
      </c>
      <c r="T399" s="8">
        <f>'01_Input_Raw_Products'!Q399</f>
        <v>0</v>
      </c>
      <c r="U399" s="8">
        <f>'01_Input_Raw_Products'!R399</f>
        <v>0</v>
      </c>
      <c r="V399" s="7">
        <f>I399</f>
        <v>0</v>
      </c>
      <c r="W399" s="9" cm="1">
        <f t="array" ref="W399">IF('01_Input_Raw_Products'!G399&lt;&gt;"",'01_Input_Raw_Products'!G399,IFERROR(_xlfn.XLOOKUP('01_Input_Raw_Products'!F399,'10_Master_Gem_Types'!A:A,'10_Master_Gem_Types'!L:L),""))</f>
        <v>0</v>
      </c>
      <c r="X399" s="9" cm="1">
        <f t="array" ref="X399">IFERROR(_xlfn.XLOOKUP('01_Input_Raw_Products'!F399,'10_Master_Gem_Types'!A:A,'10_Master_Gem_Types'!J:J),"")</f>
        <v>0</v>
      </c>
      <c r="Y399" s="9" cm="1">
        <f t="array" ref="Y399">IFERROR(_xlfn.XLOOKUP('01_Input_Raw_Products'!F399,'10_Master_Gem_Types'!A:A,'10_Master_Gem_Types'!I:I),"")</f>
        <v>0</v>
      </c>
      <c r="Z399" s="9" cm="1">
        <f t="array" ref="Z399">IFERROR(_xlfn.XLOOKUP('01_Input_Raw_Products'!L399,'13_Certification_Stickers'!A:A,'13_Certification_Stickers'!C:C),"")</f>
        <v>0</v>
      </c>
      <c r="AA399" s="9" cm="1">
        <f t="array" ref="AA399">IFERROR(_xlfn.XLOOKUP('01_Input_Raw_Products'!S399,'14_Shipping_Rules'!A:A,'14_Shipping_Rules'!B:B),"")</f>
        <v>0</v>
      </c>
      <c r="AB399" s="9" cm="1">
        <f t="array" ref="AB399">IFERROR(_xlfn.XLOOKUP('01_Input_Raw_Products'!D399,'16_Astro_Flags'!A:A,'16_Astro_Flags'!B:B),"")</f>
        <v>0</v>
      </c>
      <c r="AC399" s="9">
        <f>IF(C399="","","Catalog, Search")</f>
        <v>0</v>
      </c>
      <c r="AD399" s="9">
        <f>IF(C399="","",IF(OR(F399="",J399="",M399="",S399="",Y399=""),"Manual Review","Ready"))</f>
        <v>0</v>
      </c>
      <c r="AE399" s="9">
        <f>IF(C399="","",TEXTJOIN("; ",TRUE,IF(F399="","Missing url_key",""),IF(J399="","Missing classification",""),IF(M399="","Missing j_colour",""),IF(S399="","Missing hsn_code",""),IF(Y399="","Missing tax_class_id","")))</f>
        <v>0</v>
      </c>
    </row>
    <row r="400" spans="1:31">
      <c r="A400" s="9">
        <f>IF('01_Input_Raw_Products'!B400&lt;&gt;"",20,"")</f>
        <v>0</v>
      </c>
      <c r="B400" s="9" cm="1">
        <f t="array" ref="B400">IF('01_Input_Raw_Products'!M400&lt;&gt;"",'01_Input_Raw_Products'!M400,IFERROR(_xlfn.XLOOKUP('01_Input_Raw_Products'!F400,'10_Master_Gem_Types'!A:A,'10_Master_Gem_Types'!K:K),""))</f>
        <v>0</v>
      </c>
      <c r="C400" s="9">
        <f>'01_Input_Raw_Products'!B400</f>
        <v>0</v>
      </c>
      <c r="D400" s="9">
        <f>IF(C400="","",TEXT(I400,"0.00")&amp;" Ct "&amp;IF('01_Input_Raw_Products'!F400&lt;&gt;"",'01_Input_Raw_Products'!F400,'01_Input_Raw_Products'!D400)&amp;" "&amp;'01_Input_Raw_Products'!I400)</f>
        <v>0</v>
      </c>
      <c r="E400" s="9">
        <f>IF(C400="","",D400&amp;" | GemPundit")</f>
        <v>0</v>
      </c>
      <c r="F400" s="9" cm="1">
        <f t="array" ref="F400">IF('01_Input_Raw_Products'!X400&lt;&gt;"",'01_Input_Raw_Products'!X400,IFERROR(_xlfn.XLOOKUP('01_Input_Raw_Products'!F400,'10_Master_Gem_Types'!A:A,'10_Master_Gem_Types'!O:O),LOWER(SUBSTITUTE(IF('01_Input_Raw_Products'!F400&lt;&gt;"",'01_Input_Raw_Products'!F400,'01_Input_Raw_Products'!D400)," ","-"))))</f>
        <v>0</v>
      </c>
      <c r="G400" s="9">
        <f>'01_Input_Raw_Products'!C400</f>
        <v>0</v>
      </c>
      <c r="H400" s="9" cm="1">
        <f t="array" ref="H400">IF('01_Input_Raw_Products'!H400&lt;&gt;"",'01_Input_Raw_Products'!H400,IFERROR(_xlfn.XLOOKUP('01_Input_Raw_Products'!F400,'10_Master_Gem_Types'!A:A,'10_Master_Gem_Types'!D:D),""))</f>
        <v>0</v>
      </c>
      <c r="I400" s="7">
        <f>IF('01_Input_Raw_Products'!N400&lt;&gt;"",'01_Input_Raw_Products'!N400,IF('01_Input_Raw_Products'!O400&lt;&gt;"",'01_Input_Raw_Products'!O400*0.91,""))</f>
        <v>0</v>
      </c>
      <c r="J400" s="9" cm="1">
        <f t="array" ref="J400">IFERROR(_xlfn.XLOOKUP('01_Input_Raw_Products'!F400,'10_Master_Gem_Types'!A:A,'10_Master_Gem_Types'!N:N),"")</f>
        <v>0</v>
      </c>
      <c r="K400" s="9" cm="1">
        <f t="array" ref="K400">IF('01_Input_Raw_Products'!J400&lt;&gt;"",'01_Input_Raw_Products'!J400,IFERROR(_xlfn.XLOOKUP('01_Input_Raw_Products'!F400,'10_Master_Gem_Types'!A:A,'10_Master_Gem_Types'!E:E),""))</f>
        <v>0</v>
      </c>
      <c r="L400" s="9">
        <f>'01_Input_Raw_Products'!P400</f>
        <v>0</v>
      </c>
      <c r="M400" s="9" cm="1">
        <f t="array" ref="M400">IFERROR(_xlfn.XLOOKUP('01_Input_Raw_Products'!K400,'12_Color_Mapping'!A:A,'12_Color_Mapping'!B:B),IFERROR(_xlfn.XLOOKUP('01_Input_Raw_Products'!F400,'10_Master_Gem_Types'!A:A,'10_Master_Gem_Types'!F:F),""))</f>
        <v>0</v>
      </c>
      <c r="N400" s="9">
        <f>IF(C400="","",IF('01_Input_Raw_Products'!F400&lt;&gt;"",'01_Input_Raw_Products'!F400,'01_Input_Raw_Products'!D400))</f>
        <v>0</v>
      </c>
      <c r="O400" s="9">
        <f>IF(C400="","","Catalog Automation")</f>
        <v>0</v>
      </c>
      <c r="P400" s="9">
        <f>'01_Input_Raw_Products'!U400</f>
        <v>0</v>
      </c>
      <c r="Q400" s="7">
        <f>IF('01_Input_Raw_Products'!O400&lt;&gt;"",'01_Input_Raw_Products'!O400,IF('01_Input_Raw_Products'!N400&lt;&gt;"",'01_Input_Raw_Products'!N400*1.1,""))</f>
        <v>0</v>
      </c>
      <c r="R400" s="9">
        <f>'01_Input_Raw_Products'!S400</f>
        <v>0</v>
      </c>
      <c r="S400" s="9" cm="1">
        <f t="array" ref="S400">IFERROR(_xlfn.XLOOKUP('01_Input_Raw_Products'!F400,'10_Master_Gem_Types'!A:A,'10_Master_Gem_Types'!H:H),"")</f>
        <v>0</v>
      </c>
      <c r="T400" s="8">
        <f>'01_Input_Raw_Products'!Q400</f>
        <v>0</v>
      </c>
      <c r="U400" s="8">
        <f>'01_Input_Raw_Products'!R400</f>
        <v>0</v>
      </c>
      <c r="V400" s="7">
        <f>I400</f>
        <v>0</v>
      </c>
      <c r="W400" s="9" cm="1">
        <f t="array" ref="W400">IF('01_Input_Raw_Products'!G400&lt;&gt;"",'01_Input_Raw_Products'!G400,IFERROR(_xlfn.XLOOKUP('01_Input_Raw_Products'!F400,'10_Master_Gem_Types'!A:A,'10_Master_Gem_Types'!L:L),""))</f>
        <v>0</v>
      </c>
      <c r="X400" s="9" cm="1">
        <f t="array" ref="X400">IFERROR(_xlfn.XLOOKUP('01_Input_Raw_Products'!F400,'10_Master_Gem_Types'!A:A,'10_Master_Gem_Types'!J:J),"")</f>
        <v>0</v>
      </c>
      <c r="Y400" s="9" cm="1">
        <f t="array" ref="Y400">IFERROR(_xlfn.XLOOKUP('01_Input_Raw_Products'!F400,'10_Master_Gem_Types'!A:A,'10_Master_Gem_Types'!I:I),"")</f>
        <v>0</v>
      </c>
      <c r="Z400" s="9" cm="1">
        <f t="array" ref="Z400">IFERROR(_xlfn.XLOOKUP('01_Input_Raw_Products'!L400,'13_Certification_Stickers'!A:A,'13_Certification_Stickers'!C:C),"")</f>
        <v>0</v>
      </c>
      <c r="AA400" s="9" cm="1">
        <f t="array" ref="AA400">IFERROR(_xlfn.XLOOKUP('01_Input_Raw_Products'!S400,'14_Shipping_Rules'!A:A,'14_Shipping_Rules'!B:B),"")</f>
        <v>0</v>
      </c>
      <c r="AB400" s="9" cm="1">
        <f t="array" ref="AB400">IFERROR(_xlfn.XLOOKUP('01_Input_Raw_Products'!D400,'16_Astro_Flags'!A:A,'16_Astro_Flags'!B:B),"")</f>
        <v>0</v>
      </c>
      <c r="AC400" s="9">
        <f>IF(C400="","","Catalog, Search")</f>
        <v>0</v>
      </c>
      <c r="AD400" s="9">
        <f>IF(C400="","",IF(OR(F400="",J400="",M400="",S400="",Y400=""),"Manual Review","Ready"))</f>
        <v>0</v>
      </c>
      <c r="AE400" s="9">
        <f>IF(C400="","",TEXTJOIN("; ",TRUE,IF(F400="","Missing url_key",""),IF(J400="","Missing classification",""),IF(M400="","Missing j_colour",""),IF(S400="","Missing hsn_code",""),IF(Y400="","Missing tax_class_id","")))</f>
        <v>0</v>
      </c>
    </row>
    <row r="401" spans="1:31">
      <c r="A401" s="9">
        <f>IF('01_Input_Raw_Products'!B401&lt;&gt;"",20,"")</f>
        <v>0</v>
      </c>
      <c r="B401" s="9" cm="1">
        <f t="array" ref="B401">IF('01_Input_Raw_Products'!M401&lt;&gt;"",'01_Input_Raw_Products'!M401,IFERROR(_xlfn.XLOOKUP('01_Input_Raw_Products'!F401,'10_Master_Gem_Types'!A:A,'10_Master_Gem_Types'!K:K),""))</f>
        <v>0</v>
      </c>
      <c r="C401" s="9">
        <f>'01_Input_Raw_Products'!B401</f>
        <v>0</v>
      </c>
      <c r="D401" s="9">
        <f>IF(C401="","",TEXT(I401,"0.00")&amp;" Ct "&amp;IF('01_Input_Raw_Products'!F401&lt;&gt;"",'01_Input_Raw_Products'!F401,'01_Input_Raw_Products'!D401)&amp;" "&amp;'01_Input_Raw_Products'!I401)</f>
        <v>0</v>
      </c>
      <c r="E401" s="9">
        <f>IF(C401="","",D401&amp;" | GemPundit")</f>
        <v>0</v>
      </c>
      <c r="F401" s="9" cm="1">
        <f t="array" ref="F401">IF('01_Input_Raw_Products'!X401&lt;&gt;"",'01_Input_Raw_Products'!X401,IFERROR(_xlfn.XLOOKUP('01_Input_Raw_Products'!F401,'10_Master_Gem_Types'!A:A,'10_Master_Gem_Types'!O:O),LOWER(SUBSTITUTE(IF('01_Input_Raw_Products'!F401&lt;&gt;"",'01_Input_Raw_Products'!F401,'01_Input_Raw_Products'!D401)," ","-"))))</f>
        <v>0</v>
      </c>
      <c r="G401" s="9">
        <f>'01_Input_Raw_Products'!C401</f>
        <v>0</v>
      </c>
      <c r="H401" s="9" cm="1">
        <f t="array" ref="H401">IF('01_Input_Raw_Products'!H401&lt;&gt;"",'01_Input_Raw_Products'!H401,IFERROR(_xlfn.XLOOKUP('01_Input_Raw_Products'!F401,'10_Master_Gem_Types'!A:A,'10_Master_Gem_Types'!D:D),""))</f>
        <v>0</v>
      </c>
      <c r="I401" s="7">
        <f>IF('01_Input_Raw_Products'!N401&lt;&gt;"",'01_Input_Raw_Products'!N401,IF('01_Input_Raw_Products'!O401&lt;&gt;"",'01_Input_Raw_Products'!O401*0.91,""))</f>
        <v>0</v>
      </c>
      <c r="J401" s="9" cm="1">
        <f t="array" ref="J401">IFERROR(_xlfn.XLOOKUP('01_Input_Raw_Products'!F401,'10_Master_Gem_Types'!A:A,'10_Master_Gem_Types'!N:N),"")</f>
        <v>0</v>
      </c>
      <c r="K401" s="9" cm="1">
        <f t="array" ref="K401">IF('01_Input_Raw_Products'!J401&lt;&gt;"",'01_Input_Raw_Products'!J401,IFERROR(_xlfn.XLOOKUP('01_Input_Raw_Products'!F401,'10_Master_Gem_Types'!A:A,'10_Master_Gem_Types'!E:E),""))</f>
        <v>0</v>
      </c>
      <c r="L401" s="9">
        <f>'01_Input_Raw_Products'!P401</f>
        <v>0</v>
      </c>
      <c r="M401" s="9" cm="1">
        <f t="array" ref="M401">IFERROR(_xlfn.XLOOKUP('01_Input_Raw_Products'!K401,'12_Color_Mapping'!A:A,'12_Color_Mapping'!B:B),IFERROR(_xlfn.XLOOKUP('01_Input_Raw_Products'!F401,'10_Master_Gem_Types'!A:A,'10_Master_Gem_Types'!F:F),""))</f>
        <v>0</v>
      </c>
      <c r="N401" s="9">
        <f>IF(C401="","",IF('01_Input_Raw_Products'!F401&lt;&gt;"",'01_Input_Raw_Products'!F401,'01_Input_Raw_Products'!D401))</f>
        <v>0</v>
      </c>
      <c r="O401" s="9">
        <f>IF(C401="","","Catalog Automation")</f>
        <v>0</v>
      </c>
      <c r="P401" s="9">
        <f>'01_Input_Raw_Products'!U401</f>
        <v>0</v>
      </c>
      <c r="Q401" s="7">
        <f>IF('01_Input_Raw_Products'!O401&lt;&gt;"",'01_Input_Raw_Products'!O401,IF('01_Input_Raw_Products'!N401&lt;&gt;"",'01_Input_Raw_Products'!N401*1.1,""))</f>
        <v>0</v>
      </c>
      <c r="R401" s="9">
        <f>'01_Input_Raw_Products'!S401</f>
        <v>0</v>
      </c>
      <c r="S401" s="9" cm="1">
        <f t="array" ref="S401">IFERROR(_xlfn.XLOOKUP('01_Input_Raw_Products'!F401,'10_Master_Gem_Types'!A:A,'10_Master_Gem_Types'!H:H),"")</f>
        <v>0</v>
      </c>
      <c r="T401" s="8">
        <f>'01_Input_Raw_Products'!Q401</f>
        <v>0</v>
      </c>
      <c r="U401" s="8">
        <f>'01_Input_Raw_Products'!R401</f>
        <v>0</v>
      </c>
      <c r="V401" s="7">
        <f>I401</f>
        <v>0</v>
      </c>
      <c r="W401" s="9" cm="1">
        <f t="array" ref="W401">IF('01_Input_Raw_Products'!G401&lt;&gt;"",'01_Input_Raw_Products'!G401,IFERROR(_xlfn.XLOOKUP('01_Input_Raw_Products'!F401,'10_Master_Gem_Types'!A:A,'10_Master_Gem_Types'!L:L),""))</f>
        <v>0</v>
      </c>
      <c r="X401" s="9" cm="1">
        <f t="array" ref="X401">IFERROR(_xlfn.XLOOKUP('01_Input_Raw_Products'!F401,'10_Master_Gem_Types'!A:A,'10_Master_Gem_Types'!J:J),"")</f>
        <v>0</v>
      </c>
      <c r="Y401" s="9" cm="1">
        <f t="array" ref="Y401">IFERROR(_xlfn.XLOOKUP('01_Input_Raw_Products'!F401,'10_Master_Gem_Types'!A:A,'10_Master_Gem_Types'!I:I),"")</f>
        <v>0</v>
      </c>
      <c r="Z401" s="9" cm="1">
        <f t="array" ref="Z401">IFERROR(_xlfn.XLOOKUP('01_Input_Raw_Products'!L401,'13_Certification_Stickers'!A:A,'13_Certification_Stickers'!C:C),"")</f>
        <v>0</v>
      </c>
      <c r="AA401" s="9" cm="1">
        <f t="array" ref="AA401">IFERROR(_xlfn.XLOOKUP('01_Input_Raw_Products'!S401,'14_Shipping_Rules'!A:A,'14_Shipping_Rules'!B:B),"")</f>
        <v>0</v>
      </c>
      <c r="AB401" s="9" cm="1">
        <f t="array" ref="AB401">IFERROR(_xlfn.XLOOKUP('01_Input_Raw_Products'!D401,'16_Astro_Flags'!A:A,'16_Astro_Flags'!B:B),"")</f>
        <v>0</v>
      </c>
      <c r="AC401" s="9">
        <f>IF(C401="","","Catalog, Search")</f>
        <v>0</v>
      </c>
      <c r="AD401" s="9">
        <f>IF(C401="","",IF(OR(F401="",J401="",M401="",S401="",Y401=""),"Manual Review","Ready"))</f>
        <v>0</v>
      </c>
      <c r="AE401" s="9">
        <f>IF(C401="","",TEXTJOIN("; ",TRUE,IF(F401="","Missing url_key",""),IF(J401="","Missing classification",""),IF(M401="","Missing j_colour",""),IF(S401="","Missing hsn_code",""),IF(Y401="","Missing tax_class_id","")))</f>
        <v>0</v>
      </c>
    </row>
    <row r="402" spans="1:31">
      <c r="A402" s="9">
        <f>IF('01_Input_Raw_Products'!B402&lt;&gt;"",20,"")</f>
        <v>0</v>
      </c>
      <c r="B402" s="9" cm="1">
        <f t="array" ref="B402">IF('01_Input_Raw_Products'!M402&lt;&gt;"",'01_Input_Raw_Products'!M402,IFERROR(_xlfn.XLOOKUP('01_Input_Raw_Products'!F402,'10_Master_Gem_Types'!A:A,'10_Master_Gem_Types'!K:K),""))</f>
        <v>0</v>
      </c>
      <c r="C402" s="9">
        <f>'01_Input_Raw_Products'!B402</f>
        <v>0</v>
      </c>
      <c r="D402" s="9">
        <f>IF(C402="","",TEXT(I402,"0.00")&amp;" Ct "&amp;IF('01_Input_Raw_Products'!F402&lt;&gt;"",'01_Input_Raw_Products'!F402,'01_Input_Raw_Products'!D402)&amp;" "&amp;'01_Input_Raw_Products'!I402)</f>
        <v>0</v>
      </c>
      <c r="E402" s="9">
        <f>IF(C402="","",D402&amp;" | GemPundit")</f>
        <v>0</v>
      </c>
      <c r="F402" s="9" cm="1">
        <f t="array" ref="F402">IF('01_Input_Raw_Products'!X402&lt;&gt;"",'01_Input_Raw_Products'!X402,IFERROR(_xlfn.XLOOKUP('01_Input_Raw_Products'!F402,'10_Master_Gem_Types'!A:A,'10_Master_Gem_Types'!O:O),LOWER(SUBSTITUTE(IF('01_Input_Raw_Products'!F402&lt;&gt;"",'01_Input_Raw_Products'!F402,'01_Input_Raw_Products'!D402)," ","-"))))</f>
        <v>0</v>
      </c>
      <c r="G402" s="9">
        <f>'01_Input_Raw_Products'!C402</f>
        <v>0</v>
      </c>
      <c r="H402" s="9" cm="1">
        <f t="array" ref="H402">IF('01_Input_Raw_Products'!H402&lt;&gt;"",'01_Input_Raw_Products'!H402,IFERROR(_xlfn.XLOOKUP('01_Input_Raw_Products'!F402,'10_Master_Gem_Types'!A:A,'10_Master_Gem_Types'!D:D),""))</f>
        <v>0</v>
      </c>
      <c r="I402" s="7">
        <f>IF('01_Input_Raw_Products'!N402&lt;&gt;"",'01_Input_Raw_Products'!N402,IF('01_Input_Raw_Products'!O402&lt;&gt;"",'01_Input_Raw_Products'!O402*0.91,""))</f>
        <v>0</v>
      </c>
      <c r="J402" s="9" cm="1">
        <f t="array" ref="J402">IFERROR(_xlfn.XLOOKUP('01_Input_Raw_Products'!F402,'10_Master_Gem_Types'!A:A,'10_Master_Gem_Types'!N:N),"")</f>
        <v>0</v>
      </c>
      <c r="K402" s="9" cm="1">
        <f t="array" ref="K402">IF('01_Input_Raw_Products'!J402&lt;&gt;"",'01_Input_Raw_Products'!J402,IFERROR(_xlfn.XLOOKUP('01_Input_Raw_Products'!F402,'10_Master_Gem_Types'!A:A,'10_Master_Gem_Types'!E:E),""))</f>
        <v>0</v>
      </c>
      <c r="L402" s="9">
        <f>'01_Input_Raw_Products'!P402</f>
        <v>0</v>
      </c>
      <c r="M402" s="9" cm="1">
        <f t="array" ref="M402">IFERROR(_xlfn.XLOOKUP('01_Input_Raw_Products'!K402,'12_Color_Mapping'!A:A,'12_Color_Mapping'!B:B),IFERROR(_xlfn.XLOOKUP('01_Input_Raw_Products'!F402,'10_Master_Gem_Types'!A:A,'10_Master_Gem_Types'!F:F),""))</f>
        <v>0</v>
      </c>
      <c r="N402" s="9">
        <f>IF(C402="","",IF('01_Input_Raw_Products'!F402&lt;&gt;"",'01_Input_Raw_Products'!F402,'01_Input_Raw_Products'!D402))</f>
        <v>0</v>
      </c>
      <c r="O402" s="9">
        <f>IF(C402="","","Catalog Automation")</f>
        <v>0</v>
      </c>
      <c r="P402" s="9">
        <f>'01_Input_Raw_Products'!U402</f>
        <v>0</v>
      </c>
      <c r="Q402" s="7">
        <f>IF('01_Input_Raw_Products'!O402&lt;&gt;"",'01_Input_Raw_Products'!O402,IF('01_Input_Raw_Products'!N402&lt;&gt;"",'01_Input_Raw_Products'!N402*1.1,""))</f>
        <v>0</v>
      </c>
      <c r="R402" s="9">
        <f>'01_Input_Raw_Products'!S402</f>
        <v>0</v>
      </c>
      <c r="S402" s="9" cm="1">
        <f t="array" ref="S402">IFERROR(_xlfn.XLOOKUP('01_Input_Raw_Products'!F402,'10_Master_Gem_Types'!A:A,'10_Master_Gem_Types'!H:H),"")</f>
        <v>0</v>
      </c>
      <c r="T402" s="8">
        <f>'01_Input_Raw_Products'!Q402</f>
        <v>0</v>
      </c>
      <c r="U402" s="8">
        <f>'01_Input_Raw_Products'!R402</f>
        <v>0</v>
      </c>
      <c r="V402" s="7">
        <f>I402</f>
        <v>0</v>
      </c>
      <c r="W402" s="9" cm="1">
        <f t="array" ref="W402">IF('01_Input_Raw_Products'!G402&lt;&gt;"",'01_Input_Raw_Products'!G402,IFERROR(_xlfn.XLOOKUP('01_Input_Raw_Products'!F402,'10_Master_Gem_Types'!A:A,'10_Master_Gem_Types'!L:L),""))</f>
        <v>0</v>
      </c>
      <c r="X402" s="9" cm="1">
        <f t="array" ref="X402">IFERROR(_xlfn.XLOOKUP('01_Input_Raw_Products'!F402,'10_Master_Gem_Types'!A:A,'10_Master_Gem_Types'!J:J),"")</f>
        <v>0</v>
      </c>
      <c r="Y402" s="9" cm="1">
        <f t="array" ref="Y402">IFERROR(_xlfn.XLOOKUP('01_Input_Raw_Products'!F402,'10_Master_Gem_Types'!A:A,'10_Master_Gem_Types'!I:I),"")</f>
        <v>0</v>
      </c>
      <c r="Z402" s="9" cm="1">
        <f t="array" ref="Z402">IFERROR(_xlfn.XLOOKUP('01_Input_Raw_Products'!L402,'13_Certification_Stickers'!A:A,'13_Certification_Stickers'!C:C),"")</f>
        <v>0</v>
      </c>
      <c r="AA402" s="9" cm="1">
        <f t="array" ref="AA402">IFERROR(_xlfn.XLOOKUP('01_Input_Raw_Products'!S402,'14_Shipping_Rules'!A:A,'14_Shipping_Rules'!B:B),"")</f>
        <v>0</v>
      </c>
      <c r="AB402" s="9" cm="1">
        <f t="array" ref="AB402">IFERROR(_xlfn.XLOOKUP('01_Input_Raw_Products'!D402,'16_Astro_Flags'!A:A,'16_Astro_Flags'!B:B),"")</f>
        <v>0</v>
      </c>
      <c r="AC402" s="9">
        <f>IF(C402="","","Catalog, Search")</f>
        <v>0</v>
      </c>
      <c r="AD402" s="9">
        <f>IF(C402="","",IF(OR(F402="",J402="",M402="",S402="",Y402=""),"Manual Review","Ready"))</f>
        <v>0</v>
      </c>
      <c r="AE402" s="9">
        <f>IF(C402="","",TEXTJOIN("; ",TRUE,IF(F402="","Missing url_key",""),IF(J402="","Missing classification",""),IF(M402="","Missing j_colour",""),IF(S402="","Missing hsn_code",""),IF(Y402="","Missing tax_class_id","")))</f>
        <v>0</v>
      </c>
    </row>
    <row r="403" spans="1:31">
      <c r="A403" s="9">
        <f>IF('01_Input_Raw_Products'!B403&lt;&gt;"",20,"")</f>
        <v>0</v>
      </c>
      <c r="B403" s="9" cm="1">
        <f t="array" ref="B403">IF('01_Input_Raw_Products'!M403&lt;&gt;"",'01_Input_Raw_Products'!M403,IFERROR(_xlfn.XLOOKUP('01_Input_Raw_Products'!F403,'10_Master_Gem_Types'!A:A,'10_Master_Gem_Types'!K:K),""))</f>
        <v>0</v>
      </c>
      <c r="C403" s="9">
        <f>'01_Input_Raw_Products'!B403</f>
        <v>0</v>
      </c>
      <c r="D403" s="9">
        <f>IF(C403="","",TEXT(I403,"0.00")&amp;" Ct "&amp;IF('01_Input_Raw_Products'!F403&lt;&gt;"",'01_Input_Raw_Products'!F403,'01_Input_Raw_Products'!D403)&amp;" "&amp;'01_Input_Raw_Products'!I403)</f>
        <v>0</v>
      </c>
      <c r="E403" s="9">
        <f>IF(C403="","",D403&amp;" | GemPundit")</f>
        <v>0</v>
      </c>
      <c r="F403" s="9" cm="1">
        <f t="array" ref="F403">IF('01_Input_Raw_Products'!X403&lt;&gt;"",'01_Input_Raw_Products'!X403,IFERROR(_xlfn.XLOOKUP('01_Input_Raw_Products'!F403,'10_Master_Gem_Types'!A:A,'10_Master_Gem_Types'!O:O),LOWER(SUBSTITUTE(IF('01_Input_Raw_Products'!F403&lt;&gt;"",'01_Input_Raw_Products'!F403,'01_Input_Raw_Products'!D403)," ","-"))))</f>
        <v>0</v>
      </c>
      <c r="G403" s="9">
        <f>'01_Input_Raw_Products'!C403</f>
        <v>0</v>
      </c>
      <c r="H403" s="9" cm="1">
        <f t="array" ref="H403">IF('01_Input_Raw_Products'!H403&lt;&gt;"",'01_Input_Raw_Products'!H403,IFERROR(_xlfn.XLOOKUP('01_Input_Raw_Products'!F403,'10_Master_Gem_Types'!A:A,'10_Master_Gem_Types'!D:D),""))</f>
        <v>0</v>
      </c>
      <c r="I403" s="7">
        <f>IF('01_Input_Raw_Products'!N403&lt;&gt;"",'01_Input_Raw_Products'!N403,IF('01_Input_Raw_Products'!O403&lt;&gt;"",'01_Input_Raw_Products'!O403*0.91,""))</f>
        <v>0</v>
      </c>
      <c r="J403" s="9" cm="1">
        <f t="array" ref="J403">IFERROR(_xlfn.XLOOKUP('01_Input_Raw_Products'!F403,'10_Master_Gem_Types'!A:A,'10_Master_Gem_Types'!N:N),"")</f>
        <v>0</v>
      </c>
      <c r="K403" s="9" cm="1">
        <f t="array" ref="K403">IF('01_Input_Raw_Products'!J403&lt;&gt;"",'01_Input_Raw_Products'!J403,IFERROR(_xlfn.XLOOKUP('01_Input_Raw_Products'!F403,'10_Master_Gem_Types'!A:A,'10_Master_Gem_Types'!E:E),""))</f>
        <v>0</v>
      </c>
      <c r="L403" s="9">
        <f>'01_Input_Raw_Products'!P403</f>
        <v>0</v>
      </c>
      <c r="M403" s="9" cm="1">
        <f t="array" ref="M403">IFERROR(_xlfn.XLOOKUP('01_Input_Raw_Products'!K403,'12_Color_Mapping'!A:A,'12_Color_Mapping'!B:B),IFERROR(_xlfn.XLOOKUP('01_Input_Raw_Products'!F403,'10_Master_Gem_Types'!A:A,'10_Master_Gem_Types'!F:F),""))</f>
        <v>0</v>
      </c>
      <c r="N403" s="9">
        <f>IF(C403="","",IF('01_Input_Raw_Products'!F403&lt;&gt;"",'01_Input_Raw_Products'!F403,'01_Input_Raw_Products'!D403))</f>
        <v>0</v>
      </c>
      <c r="O403" s="9">
        <f>IF(C403="","","Catalog Automation")</f>
        <v>0</v>
      </c>
      <c r="P403" s="9">
        <f>'01_Input_Raw_Products'!U403</f>
        <v>0</v>
      </c>
      <c r="Q403" s="7">
        <f>IF('01_Input_Raw_Products'!O403&lt;&gt;"",'01_Input_Raw_Products'!O403,IF('01_Input_Raw_Products'!N403&lt;&gt;"",'01_Input_Raw_Products'!N403*1.1,""))</f>
        <v>0</v>
      </c>
      <c r="R403" s="9">
        <f>'01_Input_Raw_Products'!S403</f>
        <v>0</v>
      </c>
      <c r="S403" s="9" cm="1">
        <f t="array" ref="S403">IFERROR(_xlfn.XLOOKUP('01_Input_Raw_Products'!F403,'10_Master_Gem_Types'!A:A,'10_Master_Gem_Types'!H:H),"")</f>
        <v>0</v>
      </c>
      <c r="T403" s="8">
        <f>'01_Input_Raw_Products'!Q403</f>
        <v>0</v>
      </c>
      <c r="U403" s="8">
        <f>'01_Input_Raw_Products'!R403</f>
        <v>0</v>
      </c>
      <c r="V403" s="7">
        <f>I403</f>
        <v>0</v>
      </c>
      <c r="W403" s="9" cm="1">
        <f t="array" ref="W403">IF('01_Input_Raw_Products'!G403&lt;&gt;"",'01_Input_Raw_Products'!G403,IFERROR(_xlfn.XLOOKUP('01_Input_Raw_Products'!F403,'10_Master_Gem_Types'!A:A,'10_Master_Gem_Types'!L:L),""))</f>
        <v>0</v>
      </c>
      <c r="X403" s="9" cm="1">
        <f t="array" ref="X403">IFERROR(_xlfn.XLOOKUP('01_Input_Raw_Products'!F403,'10_Master_Gem_Types'!A:A,'10_Master_Gem_Types'!J:J),"")</f>
        <v>0</v>
      </c>
      <c r="Y403" s="9" cm="1">
        <f t="array" ref="Y403">IFERROR(_xlfn.XLOOKUP('01_Input_Raw_Products'!F403,'10_Master_Gem_Types'!A:A,'10_Master_Gem_Types'!I:I),"")</f>
        <v>0</v>
      </c>
      <c r="Z403" s="9" cm="1">
        <f t="array" ref="Z403">IFERROR(_xlfn.XLOOKUP('01_Input_Raw_Products'!L403,'13_Certification_Stickers'!A:A,'13_Certification_Stickers'!C:C),"")</f>
        <v>0</v>
      </c>
      <c r="AA403" s="9" cm="1">
        <f t="array" ref="AA403">IFERROR(_xlfn.XLOOKUP('01_Input_Raw_Products'!S403,'14_Shipping_Rules'!A:A,'14_Shipping_Rules'!B:B),"")</f>
        <v>0</v>
      </c>
      <c r="AB403" s="9" cm="1">
        <f t="array" ref="AB403">IFERROR(_xlfn.XLOOKUP('01_Input_Raw_Products'!D403,'16_Astro_Flags'!A:A,'16_Astro_Flags'!B:B),"")</f>
        <v>0</v>
      </c>
      <c r="AC403" s="9">
        <f>IF(C403="","","Catalog, Search")</f>
        <v>0</v>
      </c>
      <c r="AD403" s="9">
        <f>IF(C403="","",IF(OR(F403="",J403="",M403="",S403="",Y403=""),"Manual Review","Ready"))</f>
        <v>0</v>
      </c>
      <c r="AE403" s="9">
        <f>IF(C403="","",TEXTJOIN("; ",TRUE,IF(F403="","Missing url_key",""),IF(J403="","Missing classification",""),IF(M403="","Missing j_colour",""),IF(S403="","Missing hsn_code",""),IF(Y403="","Missing tax_class_id","")))</f>
        <v>0</v>
      </c>
    </row>
    <row r="404" spans="1:31">
      <c r="A404" s="9">
        <f>IF('01_Input_Raw_Products'!B404&lt;&gt;"",20,"")</f>
        <v>0</v>
      </c>
      <c r="B404" s="9" cm="1">
        <f t="array" ref="B404">IF('01_Input_Raw_Products'!M404&lt;&gt;"",'01_Input_Raw_Products'!M404,IFERROR(_xlfn.XLOOKUP('01_Input_Raw_Products'!F404,'10_Master_Gem_Types'!A:A,'10_Master_Gem_Types'!K:K),""))</f>
        <v>0</v>
      </c>
      <c r="C404" s="9">
        <f>'01_Input_Raw_Products'!B404</f>
        <v>0</v>
      </c>
      <c r="D404" s="9">
        <f>IF(C404="","",TEXT(I404,"0.00")&amp;" Ct "&amp;IF('01_Input_Raw_Products'!F404&lt;&gt;"",'01_Input_Raw_Products'!F404,'01_Input_Raw_Products'!D404)&amp;" "&amp;'01_Input_Raw_Products'!I404)</f>
        <v>0</v>
      </c>
      <c r="E404" s="9">
        <f>IF(C404="","",D404&amp;" | GemPundit")</f>
        <v>0</v>
      </c>
      <c r="F404" s="9" cm="1">
        <f t="array" ref="F404">IF('01_Input_Raw_Products'!X404&lt;&gt;"",'01_Input_Raw_Products'!X404,IFERROR(_xlfn.XLOOKUP('01_Input_Raw_Products'!F404,'10_Master_Gem_Types'!A:A,'10_Master_Gem_Types'!O:O),LOWER(SUBSTITUTE(IF('01_Input_Raw_Products'!F404&lt;&gt;"",'01_Input_Raw_Products'!F404,'01_Input_Raw_Products'!D404)," ","-"))))</f>
        <v>0</v>
      </c>
      <c r="G404" s="9">
        <f>'01_Input_Raw_Products'!C404</f>
        <v>0</v>
      </c>
      <c r="H404" s="9" cm="1">
        <f t="array" ref="H404">IF('01_Input_Raw_Products'!H404&lt;&gt;"",'01_Input_Raw_Products'!H404,IFERROR(_xlfn.XLOOKUP('01_Input_Raw_Products'!F404,'10_Master_Gem_Types'!A:A,'10_Master_Gem_Types'!D:D),""))</f>
        <v>0</v>
      </c>
      <c r="I404" s="7">
        <f>IF('01_Input_Raw_Products'!N404&lt;&gt;"",'01_Input_Raw_Products'!N404,IF('01_Input_Raw_Products'!O404&lt;&gt;"",'01_Input_Raw_Products'!O404*0.91,""))</f>
        <v>0</v>
      </c>
      <c r="J404" s="9" cm="1">
        <f t="array" ref="J404">IFERROR(_xlfn.XLOOKUP('01_Input_Raw_Products'!F404,'10_Master_Gem_Types'!A:A,'10_Master_Gem_Types'!N:N),"")</f>
        <v>0</v>
      </c>
      <c r="K404" s="9" cm="1">
        <f t="array" ref="K404">IF('01_Input_Raw_Products'!J404&lt;&gt;"",'01_Input_Raw_Products'!J404,IFERROR(_xlfn.XLOOKUP('01_Input_Raw_Products'!F404,'10_Master_Gem_Types'!A:A,'10_Master_Gem_Types'!E:E),""))</f>
        <v>0</v>
      </c>
      <c r="L404" s="9">
        <f>'01_Input_Raw_Products'!P404</f>
        <v>0</v>
      </c>
      <c r="M404" s="9" cm="1">
        <f t="array" ref="M404">IFERROR(_xlfn.XLOOKUP('01_Input_Raw_Products'!K404,'12_Color_Mapping'!A:A,'12_Color_Mapping'!B:B),IFERROR(_xlfn.XLOOKUP('01_Input_Raw_Products'!F404,'10_Master_Gem_Types'!A:A,'10_Master_Gem_Types'!F:F),""))</f>
        <v>0</v>
      </c>
      <c r="N404" s="9">
        <f>IF(C404="","",IF('01_Input_Raw_Products'!F404&lt;&gt;"",'01_Input_Raw_Products'!F404,'01_Input_Raw_Products'!D404))</f>
        <v>0</v>
      </c>
      <c r="O404" s="9">
        <f>IF(C404="","","Catalog Automation")</f>
        <v>0</v>
      </c>
      <c r="P404" s="9">
        <f>'01_Input_Raw_Products'!U404</f>
        <v>0</v>
      </c>
      <c r="Q404" s="7">
        <f>IF('01_Input_Raw_Products'!O404&lt;&gt;"",'01_Input_Raw_Products'!O404,IF('01_Input_Raw_Products'!N404&lt;&gt;"",'01_Input_Raw_Products'!N404*1.1,""))</f>
        <v>0</v>
      </c>
      <c r="R404" s="9">
        <f>'01_Input_Raw_Products'!S404</f>
        <v>0</v>
      </c>
      <c r="S404" s="9" cm="1">
        <f t="array" ref="S404">IFERROR(_xlfn.XLOOKUP('01_Input_Raw_Products'!F404,'10_Master_Gem_Types'!A:A,'10_Master_Gem_Types'!H:H),"")</f>
        <v>0</v>
      </c>
      <c r="T404" s="8">
        <f>'01_Input_Raw_Products'!Q404</f>
        <v>0</v>
      </c>
      <c r="U404" s="8">
        <f>'01_Input_Raw_Products'!R404</f>
        <v>0</v>
      </c>
      <c r="V404" s="7">
        <f>I404</f>
        <v>0</v>
      </c>
      <c r="W404" s="9" cm="1">
        <f t="array" ref="W404">IF('01_Input_Raw_Products'!G404&lt;&gt;"",'01_Input_Raw_Products'!G404,IFERROR(_xlfn.XLOOKUP('01_Input_Raw_Products'!F404,'10_Master_Gem_Types'!A:A,'10_Master_Gem_Types'!L:L),""))</f>
        <v>0</v>
      </c>
      <c r="X404" s="9" cm="1">
        <f t="array" ref="X404">IFERROR(_xlfn.XLOOKUP('01_Input_Raw_Products'!F404,'10_Master_Gem_Types'!A:A,'10_Master_Gem_Types'!J:J),"")</f>
        <v>0</v>
      </c>
      <c r="Y404" s="9" cm="1">
        <f t="array" ref="Y404">IFERROR(_xlfn.XLOOKUP('01_Input_Raw_Products'!F404,'10_Master_Gem_Types'!A:A,'10_Master_Gem_Types'!I:I),"")</f>
        <v>0</v>
      </c>
      <c r="Z404" s="9" cm="1">
        <f t="array" ref="Z404">IFERROR(_xlfn.XLOOKUP('01_Input_Raw_Products'!L404,'13_Certification_Stickers'!A:A,'13_Certification_Stickers'!C:C),"")</f>
        <v>0</v>
      </c>
      <c r="AA404" s="9" cm="1">
        <f t="array" ref="AA404">IFERROR(_xlfn.XLOOKUP('01_Input_Raw_Products'!S404,'14_Shipping_Rules'!A:A,'14_Shipping_Rules'!B:B),"")</f>
        <v>0</v>
      </c>
      <c r="AB404" s="9" cm="1">
        <f t="array" ref="AB404">IFERROR(_xlfn.XLOOKUP('01_Input_Raw_Products'!D404,'16_Astro_Flags'!A:A,'16_Astro_Flags'!B:B),"")</f>
        <v>0</v>
      </c>
      <c r="AC404" s="9">
        <f>IF(C404="","","Catalog, Search")</f>
        <v>0</v>
      </c>
      <c r="AD404" s="9">
        <f>IF(C404="","",IF(OR(F404="",J404="",M404="",S404="",Y404=""),"Manual Review","Ready"))</f>
        <v>0</v>
      </c>
      <c r="AE404" s="9">
        <f>IF(C404="","",TEXTJOIN("; ",TRUE,IF(F404="","Missing url_key",""),IF(J404="","Missing classification",""),IF(M404="","Missing j_colour",""),IF(S404="","Missing hsn_code",""),IF(Y404="","Missing tax_class_id","")))</f>
        <v>0</v>
      </c>
    </row>
    <row r="405" spans="1:31">
      <c r="A405" s="9">
        <f>IF('01_Input_Raw_Products'!B405&lt;&gt;"",20,"")</f>
        <v>0</v>
      </c>
      <c r="B405" s="9" cm="1">
        <f t="array" ref="B405">IF('01_Input_Raw_Products'!M405&lt;&gt;"",'01_Input_Raw_Products'!M405,IFERROR(_xlfn.XLOOKUP('01_Input_Raw_Products'!F405,'10_Master_Gem_Types'!A:A,'10_Master_Gem_Types'!K:K),""))</f>
        <v>0</v>
      </c>
      <c r="C405" s="9">
        <f>'01_Input_Raw_Products'!B405</f>
        <v>0</v>
      </c>
      <c r="D405" s="9">
        <f>IF(C405="","",TEXT(I405,"0.00")&amp;" Ct "&amp;IF('01_Input_Raw_Products'!F405&lt;&gt;"",'01_Input_Raw_Products'!F405,'01_Input_Raw_Products'!D405)&amp;" "&amp;'01_Input_Raw_Products'!I405)</f>
        <v>0</v>
      </c>
      <c r="E405" s="9">
        <f>IF(C405="","",D405&amp;" | GemPundit")</f>
        <v>0</v>
      </c>
      <c r="F405" s="9" cm="1">
        <f t="array" ref="F405">IF('01_Input_Raw_Products'!X405&lt;&gt;"",'01_Input_Raw_Products'!X405,IFERROR(_xlfn.XLOOKUP('01_Input_Raw_Products'!F405,'10_Master_Gem_Types'!A:A,'10_Master_Gem_Types'!O:O),LOWER(SUBSTITUTE(IF('01_Input_Raw_Products'!F405&lt;&gt;"",'01_Input_Raw_Products'!F405,'01_Input_Raw_Products'!D405)," ","-"))))</f>
        <v>0</v>
      </c>
      <c r="G405" s="9">
        <f>'01_Input_Raw_Products'!C405</f>
        <v>0</v>
      </c>
      <c r="H405" s="9" cm="1">
        <f t="array" ref="H405">IF('01_Input_Raw_Products'!H405&lt;&gt;"",'01_Input_Raw_Products'!H405,IFERROR(_xlfn.XLOOKUP('01_Input_Raw_Products'!F405,'10_Master_Gem_Types'!A:A,'10_Master_Gem_Types'!D:D),""))</f>
        <v>0</v>
      </c>
      <c r="I405" s="7">
        <f>IF('01_Input_Raw_Products'!N405&lt;&gt;"",'01_Input_Raw_Products'!N405,IF('01_Input_Raw_Products'!O405&lt;&gt;"",'01_Input_Raw_Products'!O405*0.91,""))</f>
        <v>0</v>
      </c>
      <c r="J405" s="9" cm="1">
        <f t="array" ref="J405">IFERROR(_xlfn.XLOOKUP('01_Input_Raw_Products'!F405,'10_Master_Gem_Types'!A:A,'10_Master_Gem_Types'!N:N),"")</f>
        <v>0</v>
      </c>
      <c r="K405" s="9" cm="1">
        <f t="array" ref="K405">IF('01_Input_Raw_Products'!J405&lt;&gt;"",'01_Input_Raw_Products'!J405,IFERROR(_xlfn.XLOOKUP('01_Input_Raw_Products'!F405,'10_Master_Gem_Types'!A:A,'10_Master_Gem_Types'!E:E),""))</f>
        <v>0</v>
      </c>
      <c r="L405" s="9">
        <f>'01_Input_Raw_Products'!P405</f>
        <v>0</v>
      </c>
      <c r="M405" s="9" cm="1">
        <f t="array" ref="M405">IFERROR(_xlfn.XLOOKUP('01_Input_Raw_Products'!K405,'12_Color_Mapping'!A:A,'12_Color_Mapping'!B:B),IFERROR(_xlfn.XLOOKUP('01_Input_Raw_Products'!F405,'10_Master_Gem_Types'!A:A,'10_Master_Gem_Types'!F:F),""))</f>
        <v>0</v>
      </c>
      <c r="N405" s="9">
        <f>IF(C405="","",IF('01_Input_Raw_Products'!F405&lt;&gt;"",'01_Input_Raw_Products'!F405,'01_Input_Raw_Products'!D405))</f>
        <v>0</v>
      </c>
      <c r="O405" s="9">
        <f>IF(C405="","","Catalog Automation")</f>
        <v>0</v>
      </c>
      <c r="P405" s="9">
        <f>'01_Input_Raw_Products'!U405</f>
        <v>0</v>
      </c>
      <c r="Q405" s="7">
        <f>IF('01_Input_Raw_Products'!O405&lt;&gt;"",'01_Input_Raw_Products'!O405,IF('01_Input_Raw_Products'!N405&lt;&gt;"",'01_Input_Raw_Products'!N405*1.1,""))</f>
        <v>0</v>
      </c>
      <c r="R405" s="9">
        <f>'01_Input_Raw_Products'!S405</f>
        <v>0</v>
      </c>
      <c r="S405" s="9" cm="1">
        <f t="array" ref="S405">IFERROR(_xlfn.XLOOKUP('01_Input_Raw_Products'!F405,'10_Master_Gem_Types'!A:A,'10_Master_Gem_Types'!H:H),"")</f>
        <v>0</v>
      </c>
      <c r="T405" s="8">
        <f>'01_Input_Raw_Products'!Q405</f>
        <v>0</v>
      </c>
      <c r="U405" s="8">
        <f>'01_Input_Raw_Products'!R405</f>
        <v>0</v>
      </c>
      <c r="V405" s="7">
        <f>I405</f>
        <v>0</v>
      </c>
      <c r="W405" s="9" cm="1">
        <f t="array" ref="W405">IF('01_Input_Raw_Products'!G405&lt;&gt;"",'01_Input_Raw_Products'!G405,IFERROR(_xlfn.XLOOKUP('01_Input_Raw_Products'!F405,'10_Master_Gem_Types'!A:A,'10_Master_Gem_Types'!L:L),""))</f>
        <v>0</v>
      </c>
      <c r="X405" s="9" cm="1">
        <f t="array" ref="X405">IFERROR(_xlfn.XLOOKUP('01_Input_Raw_Products'!F405,'10_Master_Gem_Types'!A:A,'10_Master_Gem_Types'!J:J),"")</f>
        <v>0</v>
      </c>
      <c r="Y405" s="9" cm="1">
        <f t="array" ref="Y405">IFERROR(_xlfn.XLOOKUP('01_Input_Raw_Products'!F405,'10_Master_Gem_Types'!A:A,'10_Master_Gem_Types'!I:I),"")</f>
        <v>0</v>
      </c>
      <c r="Z405" s="9" cm="1">
        <f t="array" ref="Z405">IFERROR(_xlfn.XLOOKUP('01_Input_Raw_Products'!L405,'13_Certification_Stickers'!A:A,'13_Certification_Stickers'!C:C),"")</f>
        <v>0</v>
      </c>
      <c r="AA405" s="9" cm="1">
        <f t="array" ref="AA405">IFERROR(_xlfn.XLOOKUP('01_Input_Raw_Products'!S405,'14_Shipping_Rules'!A:A,'14_Shipping_Rules'!B:B),"")</f>
        <v>0</v>
      </c>
      <c r="AB405" s="9" cm="1">
        <f t="array" ref="AB405">IFERROR(_xlfn.XLOOKUP('01_Input_Raw_Products'!D405,'16_Astro_Flags'!A:A,'16_Astro_Flags'!B:B),"")</f>
        <v>0</v>
      </c>
      <c r="AC405" s="9">
        <f>IF(C405="","","Catalog, Search")</f>
        <v>0</v>
      </c>
      <c r="AD405" s="9">
        <f>IF(C405="","",IF(OR(F405="",J405="",M405="",S405="",Y405=""),"Manual Review","Ready"))</f>
        <v>0</v>
      </c>
      <c r="AE405" s="9">
        <f>IF(C405="","",TEXTJOIN("; ",TRUE,IF(F405="","Missing url_key",""),IF(J405="","Missing classification",""),IF(M405="","Missing j_colour",""),IF(S405="","Missing hsn_code",""),IF(Y405="","Missing tax_class_id","")))</f>
        <v>0</v>
      </c>
    </row>
    <row r="406" spans="1:31">
      <c r="A406" s="9">
        <f>IF('01_Input_Raw_Products'!B406&lt;&gt;"",20,"")</f>
        <v>0</v>
      </c>
      <c r="B406" s="9" cm="1">
        <f t="array" ref="B406">IF('01_Input_Raw_Products'!M406&lt;&gt;"",'01_Input_Raw_Products'!M406,IFERROR(_xlfn.XLOOKUP('01_Input_Raw_Products'!F406,'10_Master_Gem_Types'!A:A,'10_Master_Gem_Types'!K:K),""))</f>
        <v>0</v>
      </c>
      <c r="C406" s="9">
        <f>'01_Input_Raw_Products'!B406</f>
        <v>0</v>
      </c>
      <c r="D406" s="9">
        <f>IF(C406="","",TEXT(I406,"0.00")&amp;" Ct "&amp;IF('01_Input_Raw_Products'!F406&lt;&gt;"",'01_Input_Raw_Products'!F406,'01_Input_Raw_Products'!D406)&amp;" "&amp;'01_Input_Raw_Products'!I406)</f>
        <v>0</v>
      </c>
      <c r="E406" s="9">
        <f>IF(C406="","",D406&amp;" | GemPundit")</f>
        <v>0</v>
      </c>
      <c r="F406" s="9" cm="1">
        <f t="array" ref="F406">IF('01_Input_Raw_Products'!X406&lt;&gt;"",'01_Input_Raw_Products'!X406,IFERROR(_xlfn.XLOOKUP('01_Input_Raw_Products'!F406,'10_Master_Gem_Types'!A:A,'10_Master_Gem_Types'!O:O),LOWER(SUBSTITUTE(IF('01_Input_Raw_Products'!F406&lt;&gt;"",'01_Input_Raw_Products'!F406,'01_Input_Raw_Products'!D406)," ","-"))))</f>
        <v>0</v>
      </c>
      <c r="G406" s="9">
        <f>'01_Input_Raw_Products'!C406</f>
        <v>0</v>
      </c>
      <c r="H406" s="9" cm="1">
        <f t="array" ref="H406">IF('01_Input_Raw_Products'!H406&lt;&gt;"",'01_Input_Raw_Products'!H406,IFERROR(_xlfn.XLOOKUP('01_Input_Raw_Products'!F406,'10_Master_Gem_Types'!A:A,'10_Master_Gem_Types'!D:D),""))</f>
        <v>0</v>
      </c>
      <c r="I406" s="7">
        <f>IF('01_Input_Raw_Products'!N406&lt;&gt;"",'01_Input_Raw_Products'!N406,IF('01_Input_Raw_Products'!O406&lt;&gt;"",'01_Input_Raw_Products'!O406*0.91,""))</f>
        <v>0</v>
      </c>
      <c r="J406" s="9" cm="1">
        <f t="array" ref="J406">IFERROR(_xlfn.XLOOKUP('01_Input_Raw_Products'!F406,'10_Master_Gem_Types'!A:A,'10_Master_Gem_Types'!N:N),"")</f>
        <v>0</v>
      </c>
      <c r="K406" s="9" cm="1">
        <f t="array" ref="K406">IF('01_Input_Raw_Products'!J406&lt;&gt;"",'01_Input_Raw_Products'!J406,IFERROR(_xlfn.XLOOKUP('01_Input_Raw_Products'!F406,'10_Master_Gem_Types'!A:A,'10_Master_Gem_Types'!E:E),""))</f>
        <v>0</v>
      </c>
      <c r="L406" s="9">
        <f>'01_Input_Raw_Products'!P406</f>
        <v>0</v>
      </c>
      <c r="M406" s="9" cm="1">
        <f t="array" ref="M406">IFERROR(_xlfn.XLOOKUP('01_Input_Raw_Products'!K406,'12_Color_Mapping'!A:A,'12_Color_Mapping'!B:B),IFERROR(_xlfn.XLOOKUP('01_Input_Raw_Products'!F406,'10_Master_Gem_Types'!A:A,'10_Master_Gem_Types'!F:F),""))</f>
        <v>0</v>
      </c>
      <c r="N406" s="9">
        <f>IF(C406="","",IF('01_Input_Raw_Products'!F406&lt;&gt;"",'01_Input_Raw_Products'!F406,'01_Input_Raw_Products'!D406))</f>
        <v>0</v>
      </c>
      <c r="O406" s="9">
        <f>IF(C406="","","Catalog Automation")</f>
        <v>0</v>
      </c>
      <c r="P406" s="9">
        <f>'01_Input_Raw_Products'!U406</f>
        <v>0</v>
      </c>
      <c r="Q406" s="7">
        <f>IF('01_Input_Raw_Products'!O406&lt;&gt;"",'01_Input_Raw_Products'!O406,IF('01_Input_Raw_Products'!N406&lt;&gt;"",'01_Input_Raw_Products'!N406*1.1,""))</f>
        <v>0</v>
      </c>
      <c r="R406" s="9">
        <f>'01_Input_Raw_Products'!S406</f>
        <v>0</v>
      </c>
      <c r="S406" s="9" cm="1">
        <f t="array" ref="S406">IFERROR(_xlfn.XLOOKUP('01_Input_Raw_Products'!F406,'10_Master_Gem_Types'!A:A,'10_Master_Gem_Types'!H:H),"")</f>
        <v>0</v>
      </c>
      <c r="T406" s="8">
        <f>'01_Input_Raw_Products'!Q406</f>
        <v>0</v>
      </c>
      <c r="U406" s="8">
        <f>'01_Input_Raw_Products'!R406</f>
        <v>0</v>
      </c>
      <c r="V406" s="7">
        <f>I406</f>
        <v>0</v>
      </c>
      <c r="W406" s="9" cm="1">
        <f t="array" ref="W406">IF('01_Input_Raw_Products'!G406&lt;&gt;"",'01_Input_Raw_Products'!G406,IFERROR(_xlfn.XLOOKUP('01_Input_Raw_Products'!F406,'10_Master_Gem_Types'!A:A,'10_Master_Gem_Types'!L:L),""))</f>
        <v>0</v>
      </c>
      <c r="X406" s="9" cm="1">
        <f t="array" ref="X406">IFERROR(_xlfn.XLOOKUP('01_Input_Raw_Products'!F406,'10_Master_Gem_Types'!A:A,'10_Master_Gem_Types'!J:J),"")</f>
        <v>0</v>
      </c>
      <c r="Y406" s="9" cm="1">
        <f t="array" ref="Y406">IFERROR(_xlfn.XLOOKUP('01_Input_Raw_Products'!F406,'10_Master_Gem_Types'!A:A,'10_Master_Gem_Types'!I:I),"")</f>
        <v>0</v>
      </c>
      <c r="Z406" s="9" cm="1">
        <f t="array" ref="Z406">IFERROR(_xlfn.XLOOKUP('01_Input_Raw_Products'!L406,'13_Certification_Stickers'!A:A,'13_Certification_Stickers'!C:C),"")</f>
        <v>0</v>
      </c>
      <c r="AA406" s="9" cm="1">
        <f t="array" ref="AA406">IFERROR(_xlfn.XLOOKUP('01_Input_Raw_Products'!S406,'14_Shipping_Rules'!A:A,'14_Shipping_Rules'!B:B),"")</f>
        <v>0</v>
      </c>
      <c r="AB406" s="9" cm="1">
        <f t="array" ref="AB406">IFERROR(_xlfn.XLOOKUP('01_Input_Raw_Products'!D406,'16_Astro_Flags'!A:A,'16_Astro_Flags'!B:B),"")</f>
        <v>0</v>
      </c>
      <c r="AC406" s="9">
        <f>IF(C406="","","Catalog, Search")</f>
        <v>0</v>
      </c>
      <c r="AD406" s="9">
        <f>IF(C406="","",IF(OR(F406="",J406="",M406="",S406="",Y406=""),"Manual Review","Ready"))</f>
        <v>0</v>
      </c>
      <c r="AE406" s="9">
        <f>IF(C406="","",TEXTJOIN("; ",TRUE,IF(F406="","Missing url_key",""),IF(J406="","Missing classification",""),IF(M406="","Missing j_colour",""),IF(S406="","Missing hsn_code",""),IF(Y406="","Missing tax_class_id","")))</f>
        <v>0</v>
      </c>
    </row>
    <row r="407" spans="1:31">
      <c r="A407" s="9">
        <f>IF('01_Input_Raw_Products'!B407&lt;&gt;"",20,"")</f>
        <v>0</v>
      </c>
      <c r="B407" s="9" cm="1">
        <f t="array" ref="B407">IF('01_Input_Raw_Products'!M407&lt;&gt;"",'01_Input_Raw_Products'!M407,IFERROR(_xlfn.XLOOKUP('01_Input_Raw_Products'!F407,'10_Master_Gem_Types'!A:A,'10_Master_Gem_Types'!K:K),""))</f>
        <v>0</v>
      </c>
      <c r="C407" s="9">
        <f>'01_Input_Raw_Products'!B407</f>
        <v>0</v>
      </c>
      <c r="D407" s="9">
        <f>IF(C407="","",TEXT(I407,"0.00")&amp;" Ct "&amp;IF('01_Input_Raw_Products'!F407&lt;&gt;"",'01_Input_Raw_Products'!F407,'01_Input_Raw_Products'!D407)&amp;" "&amp;'01_Input_Raw_Products'!I407)</f>
        <v>0</v>
      </c>
      <c r="E407" s="9">
        <f>IF(C407="","",D407&amp;" | GemPundit")</f>
        <v>0</v>
      </c>
      <c r="F407" s="9" cm="1">
        <f t="array" ref="F407">IF('01_Input_Raw_Products'!X407&lt;&gt;"",'01_Input_Raw_Products'!X407,IFERROR(_xlfn.XLOOKUP('01_Input_Raw_Products'!F407,'10_Master_Gem_Types'!A:A,'10_Master_Gem_Types'!O:O),LOWER(SUBSTITUTE(IF('01_Input_Raw_Products'!F407&lt;&gt;"",'01_Input_Raw_Products'!F407,'01_Input_Raw_Products'!D407)," ","-"))))</f>
        <v>0</v>
      </c>
      <c r="G407" s="9">
        <f>'01_Input_Raw_Products'!C407</f>
        <v>0</v>
      </c>
      <c r="H407" s="9" cm="1">
        <f t="array" ref="H407">IF('01_Input_Raw_Products'!H407&lt;&gt;"",'01_Input_Raw_Products'!H407,IFERROR(_xlfn.XLOOKUP('01_Input_Raw_Products'!F407,'10_Master_Gem_Types'!A:A,'10_Master_Gem_Types'!D:D),""))</f>
        <v>0</v>
      </c>
      <c r="I407" s="7">
        <f>IF('01_Input_Raw_Products'!N407&lt;&gt;"",'01_Input_Raw_Products'!N407,IF('01_Input_Raw_Products'!O407&lt;&gt;"",'01_Input_Raw_Products'!O407*0.91,""))</f>
        <v>0</v>
      </c>
      <c r="J407" s="9" cm="1">
        <f t="array" ref="J407">IFERROR(_xlfn.XLOOKUP('01_Input_Raw_Products'!F407,'10_Master_Gem_Types'!A:A,'10_Master_Gem_Types'!N:N),"")</f>
        <v>0</v>
      </c>
      <c r="K407" s="9" cm="1">
        <f t="array" ref="K407">IF('01_Input_Raw_Products'!J407&lt;&gt;"",'01_Input_Raw_Products'!J407,IFERROR(_xlfn.XLOOKUP('01_Input_Raw_Products'!F407,'10_Master_Gem_Types'!A:A,'10_Master_Gem_Types'!E:E),""))</f>
        <v>0</v>
      </c>
      <c r="L407" s="9">
        <f>'01_Input_Raw_Products'!P407</f>
        <v>0</v>
      </c>
      <c r="M407" s="9" cm="1">
        <f t="array" ref="M407">IFERROR(_xlfn.XLOOKUP('01_Input_Raw_Products'!K407,'12_Color_Mapping'!A:A,'12_Color_Mapping'!B:B),IFERROR(_xlfn.XLOOKUP('01_Input_Raw_Products'!F407,'10_Master_Gem_Types'!A:A,'10_Master_Gem_Types'!F:F),""))</f>
        <v>0</v>
      </c>
      <c r="N407" s="9">
        <f>IF(C407="","",IF('01_Input_Raw_Products'!F407&lt;&gt;"",'01_Input_Raw_Products'!F407,'01_Input_Raw_Products'!D407))</f>
        <v>0</v>
      </c>
      <c r="O407" s="9">
        <f>IF(C407="","","Catalog Automation")</f>
        <v>0</v>
      </c>
      <c r="P407" s="9">
        <f>'01_Input_Raw_Products'!U407</f>
        <v>0</v>
      </c>
      <c r="Q407" s="7">
        <f>IF('01_Input_Raw_Products'!O407&lt;&gt;"",'01_Input_Raw_Products'!O407,IF('01_Input_Raw_Products'!N407&lt;&gt;"",'01_Input_Raw_Products'!N407*1.1,""))</f>
        <v>0</v>
      </c>
      <c r="R407" s="9">
        <f>'01_Input_Raw_Products'!S407</f>
        <v>0</v>
      </c>
      <c r="S407" s="9" cm="1">
        <f t="array" ref="S407">IFERROR(_xlfn.XLOOKUP('01_Input_Raw_Products'!F407,'10_Master_Gem_Types'!A:A,'10_Master_Gem_Types'!H:H),"")</f>
        <v>0</v>
      </c>
      <c r="T407" s="8">
        <f>'01_Input_Raw_Products'!Q407</f>
        <v>0</v>
      </c>
      <c r="U407" s="8">
        <f>'01_Input_Raw_Products'!R407</f>
        <v>0</v>
      </c>
      <c r="V407" s="7">
        <f>I407</f>
        <v>0</v>
      </c>
      <c r="W407" s="9" cm="1">
        <f t="array" ref="W407">IF('01_Input_Raw_Products'!G407&lt;&gt;"",'01_Input_Raw_Products'!G407,IFERROR(_xlfn.XLOOKUP('01_Input_Raw_Products'!F407,'10_Master_Gem_Types'!A:A,'10_Master_Gem_Types'!L:L),""))</f>
        <v>0</v>
      </c>
      <c r="X407" s="9" cm="1">
        <f t="array" ref="X407">IFERROR(_xlfn.XLOOKUP('01_Input_Raw_Products'!F407,'10_Master_Gem_Types'!A:A,'10_Master_Gem_Types'!J:J),"")</f>
        <v>0</v>
      </c>
      <c r="Y407" s="9" cm="1">
        <f t="array" ref="Y407">IFERROR(_xlfn.XLOOKUP('01_Input_Raw_Products'!F407,'10_Master_Gem_Types'!A:A,'10_Master_Gem_Types'!I:I),"")</f>
        <v>0</v>
      </c>
      <c r="Z407" s="9" cm="1">
        <f t="array" ref="Z407">IFERROR(_xlfn.XLOOKUP('01_Input_Raw_Products'!L407,'13_Certification_Stickers'!A:A,'13_Certification_Stickers'!C:C),"")</f>
        <v>0</v>
      </c>
      <c r="AA407" s="9" cm="1">
        <f t="array" ref="AA407">IFERROR(_xlfn.XLOOKUP('01_Input_Raw_Products'!S407,'14_Shipping_Rules'!A:A,'14_Shipping_Rules'!B:B),"")</f>
        <v>0</v>
      </c>
      <c r="AB407" s="9" cm="1">
        <f t="array" ref="AB407">IFERROR(_xlfn.XLOOKUP('01_Input_Raw_Products'!D407,'16_Astro_Flags'!A:A,'16_Astro_Flags'!B:B),"")</f>
        <v>0</v>
      </c>
      <c r="AC407" s="9">
        <f>IF(C407="","","Catalog, Search")</f>
        <v>0</v>
      </c>
      <c r="AD407" s="9">
        <f>IF(C407="","",IF(OR(F407="",J407="",M407="",S407="",Y407=""),"Manual Review","Ready"))</f>
        <v>0</v>
      </c>
      <c r="AE407" s="9">
        <f>IF(C407="","",TEXTJOIN("; ",TRUE,IF(F407="","Missing url_key",""),IF(J407="","Missing classification",""),IF(M407="","Missing j_colour",""),IF(S407="","Missing hsn_code",""),IF(Y407="","Missing tax_class_id","")))</f>
        <v>0</v>
      </c>
    </row>
    <row r="408" spans="1:31">
      <c r="A408" s="9">
        <f>IF('01_Input_Raw_Products'!B408&lt;&gt;"",20,"")</f>
        <v>0</v>
      </c>
      <c r="B408" s="9" cm="1">
        <f t="array" ref="B408">IF('01_Input_Raw_Products'!M408&lt;&gt;"",'01_Input_Raw_Products'!M408,IFERROR(_xlfn.XLOOKUP('01_Input_Raw_Products'!F408,'10_Master_Gem_Types'!A:A,'10_Master_Gem_Types'!K:K),""))</f>
        <v>0</v>
      </c>
      <c r="C408" s="9">
        <f>'01_Input_Raw_Products'!B408</f>
        <v>0</v>
      </c>
      <c r="D408" s="9">
        <f>IF(C408="","",TEXT(I408,"0.00")&amp;" Ct "&amp;IF('01_Input_Raw_Products'!F408&lt;&gt;"",'01_Input_Raw_Products'!F408,'01_Input_Raw_Products'!D408)&amp;" "&amp;'01_Input_Raw_Products'!I408)</f>
        <v>0</v>
      </c>
      <c r="E408" s="9">
        <f>IF(C408="","",D408&amp;" | GemPundit")</f>
        <v>0</v>
      </c>
      <c r="F408" s="9" cm="1">
        <f t="array" ref="F408">IF('01_Input_Raw_Products'!X408&lt;&gt;"",'01_Input_Raw_Products'!X408,IFERROR(_xlfn.XLOOKUP('01_Input_Raw_Products'!F408,'10_Master_Gem_Types'!A:A,'10_Master_Gem_Types'!O:O),LOWER(SUBSTITUTE(IF('01_Input_Raw_Products'!F408&lt;&gt;"",'01_Input_Raw_Products'!F408,'01_Input_Raw_Products'!D408)," ","-"))))</f>
        <v>0</v>
      </c>
      <c r="G408" s="9">
        <f>'01_Input_Raw_Products'!C408</f>
        <v>0</v>
      </c>
      <c r="H408" s="9" cm="1">
        <f t="array" ref="H408">IF('01_Input_Raw_Products'!H408&lt;&gt;"",'01_Input_Raw_Products'!H408,IFERROR(_xlfn.XLOOKUP('01_Input_Raw_Products'!F408,'10_Master_Gem_Types'!A:A,'10_Master_Gem_Types'!D:D),""))</f>
        <v>0</v>
      </c>
      <c r="I408" s="7">
        <f>IF('01_Input_Raw_Products'!N408&lt;&gt;"",'01_Input_Raw_Products'!N408,IF('01_Input_Raw_Products'!O408&lt;&gt;"",'01_Input_Raw_Products'!O408*0.91,""))</f>
        <v>0</v>
      </c>
      <c r="J408" s="9" cm="1">
        <f t="array" ref="J408">IFERROR(_xlfn.XLOOKUP('01_Input_Raw_Products'!F408,'10_Master_Gem_Types'!A:A,'10_Master_Gem_Types'!N:N),"")</f>
        <v>0</v>
      </c>
      <c r="K408" s="9" cm="1">
        <f t="array" ref="K408">IF('01_Input_Raw_Products'!J408&lt;&gt;"",'01_Input_Raw_Products'!J408,IFERROR(_xlfn.XLOOKUP('01_Input_Raw_Products'!F408,'10_Master_Gem_Types'!A:A,'10_Master_Gem_Types'!E:E),""))</f>
        <v>0</v>
      </c>
      <c r="L408" s="9">
        <f>'01_Input_Raw_Products'!P408</f>
        <v>0</v>
      </c>
      <c r="M408" s="9" cm="1">
        <f t="array" ref="M408">IFERROR(_xlfn.XLOOKUP('01_Input_Raw_Products'!K408,'12_Color_Mapping'!A:A,'12_Color_Mapping'!B:B),IFERROR(_xlfn.XLOOKUP('01_Input_Raw_Products'!F408,'10_Master_Gem_Types'!A:A,'10_Master_Gem_Types'!F:F),""))</f>
        <v>0</v>
      </c>
      <c r="N408" s="9">
        <f>IF(C408="","",IF('01_Input_Raw_Products'!F408&lt;&gt;"",'01_Input_Raw_Products'!F408,'01_Input_Raw_Products'!D408))</f>
        <v>0</v>
      </c>
      <c r="O408" s="9">
        <f>IF(C408="","","Catalog Automation")</f>
        <v>0</v>
      </c>
      <c r="P408" s="9">
        <f>'01_Input_Raw_Products'!U408</f>
        <v>0</v>
      </c>
      <c r="Q408" s="7">
        <f>IF('01_Input_Raw_Products'!O408&lt;&gt;"",'01_Input_Raw_Products'!O408,IF('01_Input_Raw_Products'!N408&lt;&gt;"",'01_Input_Raw_Products'!N408*1.1,""))</f>
        <v>0</v>
      </c>
      <c r="R408" s="9">
        <f>'01_Input_Raw_Products'!S408</f>
        <v>0</v>
      </c>
      <c r="S408" s="9" cm="1">
        <f t="array" ref="S408">IFERROR(_xlfn.XLOOKUP('01_Input_Raw_Products'!F408,'10_Master_Gem_Types'!A:A,'10_Master_Gem_Types'!H:H),"")</f>
        <v>0</v>
      </c>
      <c r="T408" s="8">
        <f>'01_Input_Raw_Products'!Q408</f>
        <v>0</v>
      </c>
      <c r="U408" s="8">
        <f>'01_Input_Raw_Products'!R408</f>
        <v>0</v>
      </c>
      <c r="V408" s="7">
        <f>I408</f>
        <v>0</v>
      </c>
      <c r="W408" s="9" cm="1">
        <f t="array" ref="W408">IF('01_Input_Raw_Products'!G408&lt;&gt;"",'01_Input_Raw_Products'!G408,IFERROR(_xlfn.XLOOKUP('01_Input_Raw_Products'!F408,'10_Master_Gem_Types'!A:A,'10_Master_Gem_Types'!L:L),""))</f>
        <v>0</v>
      </c>
      <c r="X408" s="9" cm="1">
        <f t="array" ref="X408">IFERROR(_xlfn.XLOOKUP('01_Input_Raw_Products'!F408,'10_Master_Gem_Types'!A:A,'10_Master_Gem_Types'!J:J),"")</f>
        <v>0</v>
      </c>
      <c r="Y408" s="9" cm="1">
        <f t="array" ref="Y408">IFERROR(_xlfn.XLOOKUP('01_Input_Raw_Products'!F408,'10_Master_Gem_Types'!A:A,'10_Master_Gem_Types'!I:I),"")</f>
        <v>0</v>
      </c>
      <c r="Z408" s="9" cm="1">
        <f t="array" ref="Z408">IFERROR(_xlfn.XLOOKUP('01_Input_Raw_Products'!L408,'13_Certification_Stickers'!A:A,'13_Certification_Stickers'!C:C),"")</f>
        <v>0</v>
      </c>
      <c r="AA408" s="9" cm="1">
        <f t="array" ref="AA408">IFERROR(_xlfn.XLOOKUP('01_Input_Raw_Products'!S408,'14_Shipping_Rules'!A:A,'14_Shipping_Rules'!B:B),"")</f>
        <v>0</v>
      </c>
      <c r="AB408" s="9" cm="1">
        <f t="array" ref="AB408">IFERROR(_xlfn.XLOOKUP('01_Input_Raw_Products'!D408,'16_Astro_Flags'!A:A,'16_Astro_Flags'!B:B),"")</f>
        <v>0</v>
      </c>
      <c r="AC408" s="9">
        <f>IF(C408="","","Catalog, Search")</f>
        <v>0</v>
      </c>
      <c r="AD408" s="9">
        <f>IF(C408="","",IF(OR(F408="",J408="",M408="",S408="",Y408=""),"Manual Review","Ready"))</f>
        <v>0</v>
      </c>
      <c r="AE408" s="9">
        <f>IF(C408="","",TEXTJOIN("; ",TRUE,IF(F408="","Missing url_key",""),IF(J408="","Missing classification",""),IF(M408="","Missing j_colour",""),IF(S408="","Missing hsn_code",""),IF(Y408="","Missing tax_class_id","")))</f>
        <v>0</v>
      </c>
    </row>
    <row r="409" spans="1:31">
      <c r="A409" s="9">
        <f>IF('01_Input_Raw_Products'!B409&lt;&gt;"",20,"")</f>
        <v>0</v>
      </c>
      <c r="B409" s="9" cm="1">
        <f t="array" ref="B409">IF('01_Input_Raw_Products'!M409&lt;&gt;"",'01_Input_Raw_Products'!M409,IFERROR(_xlfn.XLOOKUP('01_Input_Raw_Products'!F409,'10_Master_Gem_Types'!A:A,'10_Master_Gem_Types'!K:K),""))</f>
        <v>0</v>
      </c>
      <c r="C409" s="9">
        <f>'01_Input_Raw_Products'!B409</f>
        <v>0</v>
      </c>
      <c r="D409" s="9">
        <f>IF(C409="","",TEXT(I409,"0.00")&amp;" Ct "&amp;IF('01_Input_Raw_Products'!F409&lt;&gt;"",'01_Input_Raw_Products'!F409,'01_Input_Raw_Products'!D409)&amp;" "&amp;'01_Input_Raw_Products'!I409)</f>
        <v>0</v>
      </c>
      <c r="E409" s="9">
        <f>IF(C409="","",D409&amp;" | GemPundit")</f>
        <v>0</v>
      </c>
      <c r="F409" s="9" cm="1">
        <f t="array" ref="F409">IF('01_Input_Raw_Products'!X409&lt;&gt;"",'01_Input_Raw_Products'!X409,IFERROR(_xlfn.XLOOKUP('01_Input_Raw_Products'!F409,'10_Master_Gem_Types'!A:A,'10_Master_Gem_Types'!O:O),LOWER(SUBSTITUTE(IF('01_Input_Raw_Products'!F409&lt;&gt;"",'01_Input_Raw_Products'!F409,'01_Input_Raw_Products'!D409)," ","-"))))</f>
        <v>0</v>
      </c>
      <c r="G409" s="9">
        <f>'01_Input_Raw_Products'!C409</f>
        <v>0</v>
      </c>
      <c r="H409" s="9" cm="1">
        <f t="array" ref="H409">IF('01_Input_Raw_Products'!H409&lt;&gt;"",'01_Input_Raw_Products'!H409,IFERROR(_xlfn.XLOOKUP('01_Input_Raw_Products'!F409,'10_Master_Gem_Types'!A:A,'10_Master_Gem_Types'!D:D),""))</f>
        <v>0</v>
      </c>
      <c r="I409" s="7">
        <f>IF('01_Input_Raw_Products'!N409&lt;&gt;"",'01_Input_Raw_Products'!N409,IF('01_Input_Raw_Products'!O409&lt;&gt;"",'01_Input_Raw_Products'!O409*0.91,""))</f>
        <v>0</v>
      </c>
      <c r="J409" s="9" cm="1">
        <f t="array" ref="J409">IFERROR(_xlfn.XLOOKUP('01_Input_Raw_Products'!F409,'10_Master_Gem_Types'!A:A,'10_Master_Gem_Types'!N:N),"")</f>
        <v>0</v>
      </c>
      <c r="K409" s="9" cm="1">
        <f t="array" ref="K409">IF('01_Input_Raw_Products'!J409&lt;&gt;"",'01_Input_Raw_Products'!J409,IFERROR(_xlfn.XLOOKUP('01_Input_Raw_Products'!F409,'10_Master_Gem_Types'!A:A,'10_Master_Gem_Types'!E:E),""))</f>
        <v>0</v>
      </c>
      <c r="L409" s="9">
        <f>'01_Input_Raw_Products'!P409</f>
        <v>0</v>
      </c>
      <c r="M409" s="9" cm="1">
        <f t="array" ref="M409">IFERROR(_xlfn.XLOOKUP('01_Input_Raw_Products'!K409,'12_Color_Mapping'!A:A,'12_Color_Mapping'!B:B),IFERROR(_xlfn.XLOOKUP('01_Input_Raw_Products'!F409,'10_Master_Gem_Types'!A:A,'10_Master_Gem_Types'!F:F),""))</f>
        <v>0</v>
      </c>
      <c r="N409" s="9">
        <f>IF(C409="","",IF('01_Input_Raw_Products'!F409&lt;&gt;"",'01_Input_Raw_Products'!F409,'01_Input_Raw_Products'!D409))</f>
        <v>0</v>
      </c>
      <c r="O409" s="9">
        <f>IF(C409="","","Catalog Automation")</f>
        <v>0</v>
      </c>
      <c r="P409" s="9">
        <f>'01_Input_Raw_Products'!U409</f>
        <v>0</v>
      </c>
      <c r="Q409" s="7">
        <f>IF('01_Input_Raw_Products'!O409&lt;&gt;"",'01_Input_Raw_Products'!O409,IF('01_Input_Raw_Products'!N409&lt;&gt;"",'01_Input_Raw_Products'!N409*1.1,""))</f>
        <v>0</v>
      </c>
      <c r="R409" s="9">
        <f>'01_Input_Raw_Products'!S409</f>
        <v>0</v>
      </c>
      <c r="S409" s="9" cm="1">
        <f t="array" ref="S409">IFERROR(_xlfn.XLOOKUP('01_Input_Raw_Products'!F409,'10_Master_Gem_Types'!A:A,'10_Master_Gem_Types'!H:H),"")</f>
        <v>0</v>
      </c>
      <c r="T409" s="8">
        <f>'01_Input_Raw_Products'!Q409</f>
        <v>0</v>
      </c>
      <c r="U409" s="8">
        <f>'01_Input_Raw_Products'!R409</f>
        <v>0</v>
      </c>
      <c r="V409" s="7">
        <f>I409</f>
        <v>0</v>
      </c>
      <c r="W409" s="9" cm="1">
        <f t="array" ref="W409">IF('01_Input_Raw_Products'!G409&lt;&gt;"",'01_Input_Raw_Products'!G409,IFERROR(_xlfn.XLOOKUP('01_Input_Raw_Products'!F409,'10_Master_Gem_Types'!A:A,'10_Master_Gem_Types'!L:L),""))</f>
        <v>0</v>
      </c>
      <c r="X409" s="9" cm="1">
        <f t="array" ref="X409">IFERROR(_xlfn.XLOOKUP('01_Input_Raw_Products'!F409,'10_Master_Gem_Types'!A:A,'10_Master_Gem_Types'!J:J),"")</f>
        <v>0</v>
      </c>
      <c r="Y409" s="9" cm="1">
        <f t="array" ref="Y409">IFERROR(_xlfn.XLOOKUP('01_Input_Raw_Products'!F409,'10_Master_Gem_Types'!A:A,'10_Master_Gem_Types'!I:I),"")</f>
        <v>0</v>
      </c>
      <c r="Z409" s="9" cm="1">
        <f t="array" ref="Z409">IFERROR(_xlfn.XLOOKUP('01_Input_Raw_Products'!L409,'13_Certification_Stickers'!A:A,'13_Certification_Stickers'!C:C),"")</f>
        <v>0</v>
      </c>
      <c r="AA409" s="9" cm="1">
        <f t="array" ref="AA409">IFERROR(_xlfn.XLOOKUP('01_Input_Raw_Products'!S409,'14_Shipping_Rules'!A:A,'14_Shipping_Rules'!B:B),"")</f>
        <v>0</v>
      </c>
      <c r="AB409" s="9" cm="1">
        <f t="array" ref="AB409">IFERROR(_xlfn.XLOOKUP('01_Input_Raw_Products'!D409,'16_Astro_Flags'!A:A,'16_Astro_Flags'!B:B),"")</f>
        <v>0</v>
      </c>
      <c r="AC409" s="9">
        <f>IF(C409="","","Catalog, Search")</f>
        <v>0</v>
      </c>
      <c r="AD409" s="9">
        <f>IF(C409="","",IF(OR(F409="",J409="",M409="",S409="",Y409=""),"Manual Review","Ready"))</f>
        <v>0</v>
      </c>
      <c r="AE409" s="9">
        <f>IF(C409="","",TEXTJOIN("; ",TRUE,IF(F409="","Missing url_key",""),IF(J409="","Missing classification",""),IF(M409="","Missing j_colour",""),IF(S409="","Missing hsn_code",""),IF(Y409="","Missing tax_class_id","")))</f>
        <v>0</v>
      </c>
    </row>
    <row r="410" spans="1:31">
      <c r="A410" s="9">
        <f>IF('01_Input_Raw_Products'!B410&lt;&gt;"",20,"")</f>
        <v>0</v>
      </c>
      <c r="B410" s="9" cm="1">
        <f t="array" ref="B410">IF('01_Input_Raw_Products'!M410&lt;&gt;"",'01_Input_Raw_Products'!M410,IFERROR(_xlfn.XLOOKUP('01_Input_Raw_Products'!F410,'10_Master_Gem_Types'!A:A,'10_Master_Gem_Types'!K:K),""))</f>
        <v>0</v>
      </c>
      <c r="C410" s="9">
        <f>'01_Input_Raw_Products'!B410</f>
        <v>0</v>
      </c>
      <c r="D410" s="9">
        <f>IF(C410="","",TEXT(I410,"0.00")&amp;" Ct "&amp;IF('01_Input_Raw_Products'!F410&lt;&gt;"",'01_Input_Raw_Products'!F410,'01_Input_Raw_Products'!D410)&amp;" "&amp;'01_Input_Raw_Products'!I410)</f>
        <v>0</v>
      </c>
      <c r="E410" s="9">
        <f>IF(C410="","",D410&amp;" | GemPundit")</f>
        <v>0</v>
      </c>
      <c r="F410" s="9" cm="1">
        <f t="array" ref="F410">IF('01_Input_Raw_Products'!X410&lt;&gt;"",'01_Input_Raw_Products'!X410,IFERROR(_xlfn.XLOOKUP('01_Input_Raw_Products'!F410,'10_Master_Gem_Types'!A:A,'10_Master_Gem_Types'!O:O),LOWER(SUBSTITUTE(IF('01_Input_Raw_Products'!F410&lt;&gt;"",'01_Input_Raw_Products'!F410,'01_Input_Raw_Products'!D410)," ","-"))))</f>
        <v>0</v>
      </c>
      <c r="G410" s="9">
        <f>'01_Input_Raw_Products'!C410</f>
        <v>0</v>
      </c>
      <c r="H410" s="9" cm="1">
        <f t="array" ref="H410">IF('01_Input_Raw_Products'!H410&lt;&gt;"",'01_Input_Raw_Products'!H410,IFERROR(_xlfn.XLOOKUP('01_Input_Raw_Products'!F410,'10_Master_Gem_Types'!A:A,'10_Master_Gem_Types'!D:D),""))</f>
        <v>0</v>
      </c>
      <c r="I410" s="7">
        <f>IF('01_Input_Raw_Products'!N410&lt;&gt;"",'01_Input_Raw_Products'!N410,IF('01_Input_Raw_Products'!O410&lt;&gt;"",'01_Input_Raw_Products'!O410*0.91,""))</f>
        <v>0</v>
      </c>
      <c r="J410" s="9" cm="1">
        <f t="array" ref="J410">IFERROR(_xlfn.XLOOKUP('01_Input_Raw_Products'!F410,'10_Master_Gem_Types'!A:A,'10_Master_Gem_Types'!N:N),"")</f>
        <v>0</v>
      </c>
      <c r="K410" s="9" cm="1">
        <f t="array" ref="K410">IF('01_Input_Raw_Products'!J410&lt;&gt;"",'01_Input_Raw_Products'!J410,IFERROR(_xlfn.XLOOKUP('01_Input_Raw_Products'!F410,'10_Master_Gem_Types'!A:A,'10_Master_Gem_Types'!E:E),""))</f>
        <v>0</v>
      </c>
      <c r="L410" s="9">
        <f>'01_Input_Raw_Products'!P410</f>
        <v>0</v>
      </c>
      <c r="M410" s="9" cm="1">
        <f t="array" ref="M410">IFERROR(_xlfn.XLOOKUP('01_Input_Raw_Products'!K410,'12_Color_Mapping'!A:A,'12_Color_Mapping'!B:B),IFERROR(_xlfn.XLOOKUP('01_Input_Raw_Products'!F410,'10_Master_Gem_Types'!A:A,'10_Master_Gem_Types'!F:F),""))</f>
        <v>0</v>
      </c>
      <c r="N410" s="9">
        <f>IF(C410="","",IF('01_Input_Raw_Products'!F410&lt;&gt;"",'01_Input_Raw_Products'!F410,'01_Input_Raw_Products'!D410))</f>
        <v>0</v>
      </c>
      <c r="O410" s="9">
        <f>IF(C410="","","Catalog Automation")</f>
        <v>0</v>
      </c>
      <c r="P410" s="9">
        <f>'01_Input_Raw_Products'!U410</f>
        <v>0</v>
      </c>
      <c r="Q410" s="7">
        <f>IF('01_Input_Raw_Products'!O410&lt;&gt;"",'01_Input_Raw_Products'!O410,IF('01_Input_Raw_Products'!N410&lt;&gt;"",'01_Input_Raw_Products'!N410*1.1,""))</f>
        <v>0</v>
      </c>
      <c r="R410" s="9">
        <f>'01_Input_Raw_Products'!S410</f>
        <v>0</v>
      </c>
      <c r="S410" s="9" cm="1">
        <f t="array" ref="S410">IFERROR(_xlfn.XLOOKUP('01_Input_Raw_Products'!F410,'10_Master_Gem_Types'!A:A,'10_Master_Gem_Types'!H:H),"")</f>
        <v>0</v>
      </c>
      <c r="T410" s="8">
        <f>'01_Input_Raw_Products'!Q410</f>
        <v>0</v>
      </c>
      <c r="U410" s="8">
        <f>'01_Input_Raw_Products'!R410</f>
        <v>0</v>
      </c>
      <c r="V410" s="7">
        <f>I410</f>
        <v>0</v>
      </c>
      <c r="W410" s="9" cm="1">
        <f t="array" ref="W410">IF('01_Input_Raw_Products'!G410&lt;&gt;"",'01_Input_Raw_Products'!G410,IFERROR(_xlfn.XLOOKUP('01_Input_Raw_Products'!F410,'10_Master_Gem_Types'!A:A,'10_Master_Gem_Types'!L:L),""))</f>
        <v>0</v>
      </c>
      <c r="X410" s="9" cm="1">
        <f t="array" ref="X410">IFERROR(_xlfn.XLOOKUP('01_Input_Raw_Products'!F410,'10_Master_Gem_Types'!A:A,'10_Master_Gem_Types'!J:J),"")</f>
        <v>0</v>
      </c>
      <c r="Y410" s="9" cm="1">
        <f t="array" ref="Y410">IFERROR(_xlfn.XLOOKUP('01_Input_Raw_Products'!F410,'10_Master_Gem_Types'!A:A,'10_Master_Gem_Types'!I:I),"")</f>
        <v>0</v>
      </c>
      <c r="Z410" s="9" cm="1">
        <f t="array" ref="Z410">IFERROR(_xlfn.XLOOKUP('01_Input_Raw_Products'!L410,'13_Certification_Stickers'!A:A,'13_Certification_Stickers'!C:C),"")</f>
        <v>0</v>
      </c>
      <c r="AA410" s="9" cm="1">
        <f t="array" ref="AA410">IFERROR(_xlfn.XLOOKUP('01_Input_Raw_Products'!S410,'14_Shipping_Rules'!A:A,'14_Shipping_Rules'!B:B),"")</f>
        <v>0</v>
      </c>
      <c r="AB410" s="9" cm="1">
        <f t="array" ref="AB410">IFERROR(_xlfn.XLOOKUP('01_Input_Raw_Products'!D410,'16_Astro_Flags'!A:A,'16_Astro_Flags'!B:B),"")</f>
        <v>0</v>
      </c>
      <c r="AC410" s="9">
        <f>IF(C410="","","Catalog, Search")</f>
        <v>0</v>
      </c>
      <c r="AD410" s="9">
        <f>IF(C410="","",IF(OR(F410="",J410="",M410="",S410="",Y410=""),"Manual Review","Ready"))</f>
        <v>0</v>
      </c>
      <c r="AE410" s="9">
        <f>IF(C410="","",TEXTJOIN("; ",TRUE,IF(F410="","Missing url_key",""),IF(J410="","Missing classification",""),IF(M410="","Missing j_colour",""),IF(S410="","Missing hsn_code",""),IF(Y410="","Missing tax_class_id","")))</f>
        <v>0</v>
      </c>
    </row>
    <row r="411" spans="1:31">
      <c r="A411" s="9">
        <f>IF('01_Input_Raw_Products'!B411&lt;&gt;"",20,"")</f>
        <v>0</v>
      </c>
      <c r="B411" s="9" cm="1">
        <f t="array" ref="B411">IF('01_Input_Raw_Products'!M411&lt;&gt;"",'01_Input_Raw_Products'!M411,IFERROR(_xlfn.XLOOKUP('01_Input_Raw_Products'!F411,'10_Master_Gem_Types'!A:A,'10_Master_Gem_Types'!K:K),""))</f>
        <v>0</v>
      </c>
      <c r="C411" s="9">
        <f>'01_Input_Raw_Products'!B411</f>
        <v>0</v>
      </c>
      <c r="D411" s="9">
        <f>IF(C411="","",TEXT(I411,"0.00")&amp;" Ct "&amp;IF('01_Input_Raw_Products'!F411&lt;&gt;"",'01_Input_Raw_Products'!F411,'01_Input_Raw_Products'!D411)&amp;" "&amp;'01_Input_Raw_Products'!I411)</f>
        <v>0</v>
      </c>
      <c r="E411" s="9">
        <f>IF(C411="","",D411&amp;" | GemPundit")</f>
        <v>0</v>
      </c>
      <c r="F411" s="9" cm="1">
        <f t="array" ref="F411">IF('01_Input_Raw_Products'!X411&lt;&gt;"",'01_Input_Raw_Products'!X411,IFERROR(_xlfn.XLOOKUP('01_Input_Raw_Products'!F411,'10_Master_Gem_Types'!A:A,'10_Master_Gem_Types'!O:O),LOWER(SUBSTITUTE(IF('01_Input_Raw_Products'!F411&lt;&gt;"",'01_Input_Raw_Products'!F411,'01_Input_Raw_Products'!D411)," ","-"))))</f>
        <v>0</v>
      </c>
      <c r="G411" s="9">
        <f>'01_Input_Raw_Products'!C411</f>
        <v>0</v>
      </c>
      <c r="H411" s="9" cm="1">
        <f t="array" ref="H411">IF('01_Input_Raw_Products'!H411&lt;&gt;"",'01_Input_Raw_Products'!H411,IFERROR(_xlfn.XLOOKUP('01_Input_Raw_Products'!F411,'10_Master_Gem_Types'!A:A,'10_Master_Gem_Types'!D:D),""))</f>
        <v>0</v>
      </c>
      <c r="I411" s="7">
        <f>IF('01_Input_Raw_Products'!N411&lt;&gt;"",'01_Input_Raw_Products'!N411,IF('01_Input_Raw_Products'!O411&lt;&gt;"",'01_Input_Raw_Products'!O411*0.91,""))</f>
        <v>0</v>
      </c>
      <c r="J411" s="9" cm="1">
        <f t="array" ref="J411">IFERROR(_xlfn.XLOOKUP('01_Input_Raw_Products'!F411,'10_Master_Gem_Types'!A:A,'10_Master_Gem_Types'!N:N),"")</f>
        <v>0</v>
      </c>
      <c r="K411" s="9" cm="1">
        <f t="array" ref="K411">IF('01_Input_Raw_Products'!J411&lt;&gt;"",'01_Input_Raw_Products'!J411,IFERROR(_xlfn.XLOOKUP('01_Input_Raw_Products'!F411,'10_Master_Gem_Types'!A:A,'10_Master_Gem_Types'!E:E),""))</f>
        <v>0</v>
      </c>
      <c r="L411" s="9">
        <f>'01_Input_Raw_Products'!P411</f>
        <v>0</v>
      </c>
      <c r="M411" s="9" cm="1">
        <f t="array" ref="M411">IFERROR(_xlfn.XLOOKUP('01_Input_Raw_Products'!K411,'12_Color_Mapping'!A:A,'12_Color_Mapping'!B:B),IFERROR(_xlfn.XLOOKUP('01_Input_Raw_Products'!F411,'10_Master_Gem_Types'!A:A,'10_Master_Gem_Types'!F:F),""))</f>
        <v>0</v>
      </c>
      <c r="N411" s="9">
        <f>IF(C411="","",IF('01_Input_Raw_Products'!F411&lt;&gt;"",'01_Input_Raw_Products'!F411,'01_Input_Raw_Products'!D411))</f>
        <v>0</v>
      </c>
      <c r="O411" s="9">
        <f>IF(C411="","","Catalog Automation")</f>
        <v>0</v>
      </c>
      <c r="P411" s="9">
        <f>'01_Input_Raw_Products'!U411</f>
        <v>0</v>
      </c>
      <c r="Q411" s="7">
        <f>IF('01_Input_Raw_Products'!O411&lt;&gt;"",'01_Input_Raw_Products'!O411,IF('01_Input_Raw_Products'!N411&lt;&gt;"",'01_Input_Raw_Products'!N411*1.1,""))</f>
        <v>0</v>
      </c>
      <c r="R411" s="9">
        <f>'01_Input_Raw_Products'!S411</f>
        <v>0</v>
      </c>
      <c r="S411" s="9" cm="1">
        <f t="array" ref="S411">IFERROR(_xlfn.XLOOKUP('01_Input_Raw_Products'!F411,'10_Master_Gem_Types'!A:A,'10_Master_Gem_Types'!H:H),"")</f>
        <v>0</v>
      </c>
      <c r="T411" s="8">
        <f>'01_Input_Raw_Products'!Q411</f>
        <v>0</v>
      </c>
      <c r="U411" s="8">
        <f>'01_Input_Raw_Products'!R411</f>
        <v>0</v>
      </c>
      <c r="V411" s="7">
        <f>I411</f>
        <v>0</v>
      </c>
      <c r="W411" s="9" cm="1">
        <f t="array" ref="W411">IF('01_Input_Raw_Products'!G411&lt;&gt;"",'01_Input_Raw_Products'!G411,IFERROR(_xlfn.XLOOKUP('01_Input_Raw_Products'!F411,'10_Master_Gem_Types'!A:A,'10_Master_Gem_Types'!L:L),""))</f>
        <v>0</v>
      </c>
      <c r="X411" s="9" cm="1">
        <f t="array" ref="X411">IFERROR(_xlfn.XLOOKUP('01_Input_Raw_Products'!F411,'10_Master_Gem_Types'!A:A,'10_Master_Gem_Types'!J:J),"")</f>
        <v>0</v>
      </c>
      <c r="Y411" s="9" cm="1">
        <f t="array" ref="Y411">IFERROR(_xlfn.XLOOKUP('01_Input_Raw_Products'!F411,'10_Master_Gem_Types'!A:A,'10_Master_Gem_Types'!I:I),"")</f>
        <v>0</v>
      </c>
      <c r="Z411" s="9" cm="1">
        <f t="array" ref="Z411">IFERROR(_xlfn.XLOOKUP('01_Input_Raw_Products'!L411,'13_Certification_Stickers'!A:A,'13_Certification_Stickers'!C:C),"")</f>
        <v>0</v>
      </c>
      <c r="AA411" s="9" cm="1">
        <f t="array" ref="AA411">IFERROR(_xlfn.XLOOKUP('01_Input_Raw_Products'!S411,'14_Shipping_Rules'!A:A,'14_Shipping_Rules'!B:B),"")</f>
        <v>0</v>
      </c>
      <c r="AB411" s="9" cm="1">
        <f t="array" ref="AB411">IFERROR(_xlfn.XLOOKUP('01_Input_Raw_Products'!D411,'16_Astro_Flags'!A:A,'16_Astro_Flags'!B:B),"")</f>
        <v>0</v>
      </c>
      <c r="AC411" s="9">
        <f>IF(C411="","","Catalog, Search")</f>
        <v>0</v>
      </c>
      <c r="AD411" s="9">
        <f>IF(C411="","",IF(OR(F411="",J411="",M411="",S411="",Y411=""),"Manual Review","Ready"))</f>
        <v>0</v>
      </c>
      <c r="AE411" s="9">
        <f>IF(C411="","",TEXTJOIN("; ",TRUE,IF(F411="","Missing url_key",""),IF(J411="","Missing classification",""),IF(M411="","Missing j_colour",""),IF(S411="","Missing hsn_code",""),IF(Y411="","Missing tax_class_id","")))</f>
        <v>0</v>
      </c>
    </row>
    <row r="412" spans="1:31">
      <c r="A412" s="9">
        <f>IF('01_Input_Raw_Products'!B412&lt;&gt;"",20,"")</f>
        <v>0</v>
      </c>
      <c r="B412" s="9" cm="1">
        <f t="array" ref="B412">IF('01_Input_Raw_Products'!M412&lt;&gt;"",'01_Input_Raw_Products'!M412,IFERROR(_xlfn.XLOOKUP('01_Input_Raw_Products'!F412,'10_Master_Gem_Types'!A:A,'10_Master_Gem_Types'!K:K),""))</f>
        <v>0</v>
      </c>
      <c r="C412" s="9">
        <f>'01_Input_Raw_Products'!B412</f>
        <v>0</v>
      </c>
      <c r="D412" s="9">
        <f>IF(C412="","",TEXT(I412,"0.00")&amp;" Ct "&amp;IF('01_Input_Raw_Products'!F412&lt;&gt;"",'01_Input_Raw_Products'!F412,'01_Input_Raw_Products'!D412)&amp;" "&amp;'01_Input_Raw_Products'!I412)</f>
        <v>0</v>
      </c>
      <c r="E412" s="9">
        <f>IF(C412="","",D412&amp;" | GemPundit")</f>
        <v>0</v>
      </c>
      <c r="F412" s="9" cm="1">
        <f t="array" ref="F412">IF('01_Input_Raw_Products'!X412&lt;&gt;"",'01_Input_Raw_Products'!X412,IFERROR(_xlfn.XLOOKUP('01_Input_Raw_Products'!F412,'10_Master_Gem_Types'!A:A,'10_Master_Gem_Types'!O:O),LOWER(SUBSTITUTE(IF('01_Input_Raw_Products'!F412&lt;&gt;"",'01_Input_Raw_Products'!F412,'01_Input_Raw_Products'!D412)," ","-"))))</f>
        <v>0</v>
      </c>
      <c r="G412" s="9">
        <f>'01_Input_Raw_Products'!C412</f>
        <v>0</v>
      </c>
      <c r="H412" s="9" cm="1">
        <f t="array" ref="H412">IF('01_Input_Raw_Products'!H412&lt;&gt;"",'01_Input_Raw_Products'!H412,IFERROR(_xlfn.XLOOKUP('01_Input_Raw_Products'!F412,'10_Master_Gem_Types'!A:A,'10_Master_Gem_Types'!D:D),""))</f>
        <v>0</v>
      </c>
      <c r="I412" s="7">
        <f>IF('01_Input_Raw_Products'!N412&lt;&gt;"",'01_Input_Raw_Products'!N412,IF('01_Input_Raw_Products'!O412&lt;&gt;"",'01_Input_Raw_Products'!O412*0.91,""))</f>
        <v>0</v>
      </c>
      <c r="J412" s="9" cm="1">
        <f t="array" ref="J412">IFERROR(_xlfn.XLOOKUP('01_Input_Raw_Products'!F412,'10_Master_Gem_Types'!A:A,'10_Master_Gem_Types'!N:N),"")</f>
        <v>0</v>
      </c>
      <c r="K412" s="9" cm="1">
        <f t="array" ref="K412">IF('01_Input_Raw_Products'!J412&lt;&gt;"",'01_Input_Raw_Products'!J412,IFERROR(_xlfn.XLOOKUP('01_Input_Raw_Products'!F412,'10_Master_Gem_Types'!A:A,'10_Master_Gem_Types'!E:E),""))</f>
        <v>0</v>
      </c>
      <c r="L412" s="9">
        <f>'01_Input_Raw_Products'!P412</f>
        <v>0</v>
      </c>
      <c r="M412" s="9" cm="1">
        <f t="array" ref="M412">IFERROR(_xlfn.XLOOKUP('01_Input_Raw_Products'!K412,'12_Color_Mapping'!A:A,'12_Color_Mapping'!B:B),IFERROR(_xlfn.XLOOKUP('01_Input_Raw_Products'!F412,'10_Master_Gem_Types'!A:A,'10_Master_Gem_Types'!F:F),""))</f>
        <v>0</v>
      </c>
      <c r="N412" s="9">
        <f>IF(C412="","",IF('01_Input_Raw_Products'!F412&lt;&gt;"",'01_Input_Raw_Products'!F412,'01_Input_Raw_Products'!D412))</f>
        <v>0</v>
      </c>
      <c r="O412" s="9">
        <f>IF(C412="","","Catalog Automation")</f>
        <v>0</v>
      </c>
      <c r="P412" s="9">
        <f>'01_Input_Raw_Products'!U412</f>
        <v>0</v>
      </c>
      <c r="Q412" s="7">
        <f>IF('01_Input_Raw_Products'!O412&lt;&gt;"",'01_Input_Raw_Products'!O412,IF('01_Input_Raw_Products'!N412&lt;&gt;"",'01_Input_Raw_Products'!N412*1.1,""))</f>
        <v>0</v>
      </c>
      <c r="R412" s="9">
        <f>'01_Input_Raw_Products'!S412</f>
        <v>0</v>
      </c>
      <c r="S412" s="9" cm="1">
        <f t="array" ref="S412">IFERROR(_xlfn.XLOOKUP('01_Input_Raw_Products'!F412,'10_Master_Gem_Types'!A:A,'10_Master_Gem_Types'!H:H),"")</f>
        <v>0</v>
      </c>
      <c r="T412" s="8">
        <f>'01_Input_Raw_Products'!Q412</f>
        <v>0</v>
      </c>
      <c r="U412" s="8">
        <f>'01_Input_Raw_Products'!R412</f>
        <v>0</v>
      </c>
      <c r="V412" s="7">
        <f>I412</f>
        <v>0</v>
      </c>
      <c r="W412" s="9" cm="1">
        <f t="array" ref="W412">IF('01_Input_Raw_Products'!G412&lt;&gt;"",'01_Input_Raw_Products'!G412,IFERROR(_xlfn.XLOOKUP('01_Input_Raw_Products'!F412,'10_Master_Gem_Types'!A:A,'10_Master_Gem_Types'!L:L),""))</f>
        <v>0</v>
      </c>
      <c r="X412" s="9" cm="1">
        <f t="array" ref="X412">IFERROR(_xlfn.XLOOKUP('01_Input_Raw_Products'!F412,'10_Master_Gem_Types'!A:A,'10_Master_Gem_Types'!J:J),"")</f>
        <v>0</v>
      </c>
      <c r="Y412" s="9" cm="1">
        <f t="array" ref="Y412">IFERROR(_xlfn.XLOOKUP('01_Input_Raw_Products'!F412,'10_Master_Gem_Types'!A:A,'10_Master_Gem_Types'!I:I),"")</f>
        <v>0</v>
      </c>
      <c r="Z412" s="9" cm="1">
        <f t="array" ref="Z412">IFERROR(_xlfn.XLOOKUP('01_Input_Raw_Products'!L412,'13_Certification_Stickers'!A:A,'13_Certification_Stickers'!C:C),"")</f>
        <v>0</v>
      </c>
      <c r="AA412" s="9" cm="1">
        <f t="array" ref="AA412">IFERROR(_xlfn.XLOOKUP('01_Input_Raw_Products'!S412,'14_Shipping_Rules'!A:A,'14_Shipping_Rules'!B:B),"")</f>
        <v>0</v>
      </c>
      <c r="AB412" s="9" cm="1">
        <f t="array" ref="AB412">IFERROR(_xlfn.XLOOKUP('01_Input_Raw_Products'!D412,'16_Astro_Flags'!A:A,'16_Astro_Flags'!B:B),"")</f>
        <v>0</v>
      </c>
      <c r="AC412" s="9">
        <f>IF(C412="","","Catalog, Search")</f>
        <v>0</v>
      </c>
      <c r="AD412" s="9">
        <f>IF(C412="","",IF(OR(F412="",J412="",M412="",S412="",Y412=""),"Manual Review","Ready"))</f>
        <v>0</v>
      </c>
      <c r="AE412" s="9">
        <f>IF(C412="","",TEXTJOIN("; ",TRUE,IF(F412="","Missing url_key",""),IF(J412="","Missing classification",""),IF(M412="","Missing j_colour",""),IF(S412="","Missing hsn_code",""),IF(Y412="","Missing tax_class_id","")))</f>
        <v>0</v>
      </c>
    </row>
    <row r="413" spans="1:31">
      <c r="A413" s="9">
        <f>IF('01_Input_Raw_Products'!B413&lt;&gt;"",20,"")</f>
        <v>0</v>
      </c>
      <c r="B413" s="9" cm="1">
        <f t="array" ref="B413">IF('01_Input_Raw_Products'!M413&lt;&gt;"",'01_Input_Raw_Products'!M413,IFERROR(_xlfn.XLOOKUP('01_Input_Raw_Products'!F413,'10_Master_Gem_Types'!A:A,'10_Master_Gem_Types'!K:K),""))</f>
        <v>0</v>
      </c>
      <c r="C413" s="9">
        <f>'01_Input_Raw_Products'!B413</f>
        <v>0</v>
      </c>
      <c r="D413" s="9">
        <f>IF(C413="","",TEXT(I413,"0.00")&amp;" Ct "&amp;IF('01_Input_Raw_Products'!F413&lt;&gt;"",'01_Input_Raw_Products'!F413,'01_Input_Raw_Products'!D413)&amp;" "&amp;'01_Input_Raw_Products'!I413)</f>
        <v>0</v>
      </c>
      <c r="E413" s="9">
        <f>IF(C413="","",D413&amp;" | GemPundit")</f>
        <v>0</v>
      </c>
      <c r="F413" s="9" cm="1">
        <f t="array" ref="F413">IF('01_Input_Raw_Products'!X413&lt;&gt;"",'01_Input_Raw_Products'!X413,IFERROR(_xlfn.XLOOKUP('01_Input_Raw_Products'!F413,'10_Master_Gem_Types'!A:A,'10_Master_Gem_Types'!O:O),LOWER(SUBSTITUTE(IF('01_Input_Raw_Products'!F413&lt;&gt;"",'01_Input_Raw_Products'!F413,'01_Input_Raw_Products'!D413)," ","-"))))</f>
        <v>0</v>
      </c>
      <c r="G413" s="9">
        <f>'01_Input_Raw_Products'!C413</f>
        <v>0</v>
      </c>
      <c r="H413" s="9" cm="1">
        <f t="array" ref="H413">IF('01_Input_Raw_Products'!H413&lt;&gt;"",'01_Input_Raw_Products'!H413,IFERROR(_xlfn.XLOOKUP('01_Input_Raw_Products'!F413,'10_Master_Gem_Types'!A:A,'10_Master_Gem_Types'!D:D),""))</f>
        <v>0</v>
      </c>
      <c r="I413" s="7">
        <f>IF('01_Input_Raw_Products'!N413&lt;&gt;"",'01_Input_Raw_Products'!N413,IF('01_Input_Raw_Products'!O413&lt;&gt;"",'01_Input_Raw_Products'!O413*0.91,""))</f>
        <v>0</v>
      </c>
      <c r="J413" s="9" cm="1">
        <f t="array" ref="J413">IFERROR(_xlfn.XLOOKUP('01_Input_Raw_Products'!F413,'10_Master_Gem_Types'!A:A,'10_Master_Gem_Types'!N:N),"")</f>
        <v>0</v>
      </c>
      <c r="K413" s="9" cm="1">
        <f t="array" ref="K413">IF('01_Input_Raw_Products'!J413&lt;&gt;"",'01_Input_Raw_Products'!J413,IFERROR(_xlfn.XLOOKUP('01_Input_Raw_Products'!F413,'10_Master_Gem_Types'!A:A,'10_Master_Gem_Types'!E:E),""))</f>
        <v>0</v>
      </c>
      <c r="L413" s="9">
        <f>'01_Input_Raw_Products'!P413</f>
        <v>0</v>
      </c>
      <c r="M413" s="9" cm="1">
        <f t="array" ref="M413">IFERROR(_xlfn.XLOOKUP('01_Input_Raw_Products'!K413,'12_Color_Mapping'!A:A,'12_Color_Mapping'!B:B),IFERROR(_xlfn.XLOOKUP('01_Input_Raw_Products'!F413,'10_Master_Gem_Types'!A:A,'10_Master_Gem_Types'!F:F),""))</f>
        <v>0</v>
      </c>
      <c r="N413" s="9">
        <f>IF(C413="","",IF('01_Input_Raw_Products'!F413&lt;&gt;"",'01_Input_Raw_Products'!F413,'01_Input_Raw_Products'!D413))</f>
        <v>0</v>
      </c>
      <c r="O413" s="9">
        <f>IF(C413="","","Catalog Automation")</f>
        <v>0</v>
      </c>
      <c r="P413" s="9">
        <f>'01_Input_Raw_Products'!U413</f>
        <v>0</v>
      </c>
      <c r="Q413" s="7">
        <f>IF('01_Input_Raw_Products'!O413&lt;&gt;"",'01_Input_Raw_Products'!O413,IF('01_Input_Raw_Products'!N413&lt;&gt;"",'01_Input_Raw_Products'!N413*1.1,""))</f>
        <v>0</v>
      </c>
      <c r="R413" s="9">
        <f>'01_Input_Raw_Products'!S413</f>
        <v>0</v>
      </c>
      <c r="S413" s="9" cm="1">
        <f t="array" ref="S413">IFERROR(_xlfn.XLOOKUP('01_Input_Raw_Products'!F413,'10_Master_Gem_Types'!A:A,'10_Master_Gem_Types'!H:H),"")</f>
        <v>0</v>
      </c>
      <c r="T413" s="8">
        <f>'01_Input_Raw_Products'!Q413</f>
        <v>0</v>
      </c>
      <c r="U413" s="8">
        <f>'01_Input_Raw_Products'!R413</f>
        <v>0</v>
      </c>
      <c r="V413" s="7">
        <f>I413</f>
        <v>0</v>
      </c>
      <c r="W413" s="9" cm="1">
        <f t="array" ref="W413">IF('01_Input_Raw_Products'!G413&lt;&gt;"",'01_Input_Raw_Products'!G413,IFERROR(_xlfn.XLOOKUP('01_Input_Raw_Products'!F413,'10_Master_Gem_Types'!A:A,'10_Master_Gem_Types'!L:L),""))</f>
        <v>0</v>
      </c>
      <c r="X413" s="9" cm="1">
        <f t="array" ref="X413">IFERROR(_xlfn.XLOOKUP('01_Input_Raw_Products'!F413,'10_Master_Gem_Types'!A:A,'10_Master_Gem_Types'!J:J),"")</f>
        <v>0</v>
      </c>
      <c r="Y413" s="9" cm="1">
        <f t="array" ref="Y413">IFERROR(_xlfn.XLOOKUP('01_Input_Raw_Products'!F413,'10_Master_Gem_Types'!A:A,'10_Master_Gem_Types'!I:I),"")</f>
        <v>0</v>
      </c>
      <c r="Z413" s="9" cm="1">
        <f t="array" ref="Z413">IFERROR(_xlfn.XLOOKUP('01_Input_Raw_Products'!L413,'13_Certification_Stickers'!A:A,'13_Certification_Stickers'!C:C),"")</f>
        <v>0</v>
      </c>
      <c r="AA413" s="9" cm="1">
        <f t="array" ref="AA413">IFERROR(_xlfn.XLOOKUP('01_Input_Raw_Products'!S413,'14_Shipping_Rules'!A:A,'14_Shipping_Rules'!B:B),"")</f>
        <v>0</v>
      </c>
      <c r="AB413" s="9" cm="1">
        <f t="array" ref="AB413">IFERROR(_xlfn.XLOOKUP('01_Input_Raw_Products'!D413,'16_Astro_Flags'!A:A,'16_Astro_Flags'!B:B),"")</f>
        <v>0</v>
      </c>
      <c r="AC413" s="9">
        <f>IF(C413="","","Catalog, Search")</f>
        <v>0</v>
      </c>
      <c r="AD413" s="9">
        <f>IF(C413="","",IF(OR(F413="",J413="",M413="",S413="",Y413=""),"Manual Review","Ready"))</f>
        <v>0</v>
      </c>
      <c r="AE413" s="9">
        <f>IF(C413="","",TEXTJOIN("; ",TRUE,IF(F413="","Missing url_key",""),IF(J413="","Missing classification",""),IF(M413="","Missing j_colour",""),IF(S413="","Missing hsn_code",""),IF(Y413="","Missing tax_class_id","")))</f>
        <v>0</v>
      </c>
    </row>
    <row r="414" spans="1:31">
      <c r="A414" s="9">
        <f>IF('01_Input_Raw_Products'!B414&lt;&gt;"",20,"")</f>
        <v>0</v>
      </c>
      <c r="B414" s="9" cm="1">
        <f t="array" ref="B414">IF('01_Input_Raw_Products'!M414&lt;&gt;"",'01_Input_Raw_Products'!M414,IFERROR(_xlfn.XLOOKUP('01_Input_Raw_Products'!F414,'10_Master_Gem_Types'!A:A,'10_Master_Gem_Types'!K:K),""))</f>
        <v>0</v>
      </c>
      <c r="C414" s="9">
        <f>'01_Input_Raw_Products'!B414</f>
        <v>0</v>
      </c>
      <c r="D414" s="9">
        <f>IF(C414="","",TEXT(I414,"0.00")&amp;" Ct "&amp;IF('01_Input_Raw_Products'!F414&lt;&gt;"",'01_Input_Raw_Products'!F414,'01_Input_Raw_Products'!D414)&amp;" "&amp;'01_Input_Raw_Products'!I414)</f>
        <v>0</v>
      </c>
      <c r="E414" s="9">
        <f>IF(C414="","",D414&amp;" | GemPundit")</f>
        <v>0</v>
      </c>
      <c r="F414" s="9" cm="1">
        <f t="array" ref="F414">IF('01_Input_Raw_Products'!X414&lt;&gt;"",'01_Input_Raw_Products'!X414,IFERROR(_xlfn.XLOOKUP('01_Input_Raw_Products'!F414,'10_Master_Gem_Types'!A:A,'10_Master_Gem_Types'!O:O),LOWER(SUBSTITUTE(IF('01_Input_Raw_Products'!F414&lt;&gt;"",'01_Input_Raw_Products'!F414,'01_Input_Raw_Products'!D414)," ","-"))))</f>
        <v>0</v>
      </c>
      <c r="G414" s="9">
        <f>'01_Input_Raw_Products'!C414</f>
        <v>0</v>
      </c>
      <c r="H414" s="9" cm="1">
        <f t="array" ref="H414">IF('01_Input_Raw_Products'!H414&lt;&gt;"",'01_Input_Raw_Products'!H414,IFERROR(_xlfn.XLOOKUP('01_Input_Raw_Products'!F414,'10_Master_Gem_Types'!A:A,'10_Master_Gem_Types'!D:D),""))</f>
        <v>0</v>
      </c>
      <c r="I414" s="7">
        <f>IF('01_Input_Raw_Products'!N414&lt;&gt;"",'01_Input_Raw_Products'!N414,IF('01_Input_Raw_Products'!O414&lt;&gt;"",'01_Input_Raw_Products'!O414*0.91,""))</f>
        <v>0</v>
      </c>
      <c r="J414" s="9" cm="1">
        <f t="array" ref="J414">IFERROR(_xlfn.XLOOKUP('01_Input_Raw_Products'!F414,'10_Master_Gem_Types'!A:A,'10_Master_Gem_Types'!N:N),"")</f>
        <v>0</v>
      </c>
      <c r="K414" s="9" cm="1">
        <f t="array" ref="K414">IF('01_Input_Raw_Products'!J414&lt;&gt;"",'01_Input_Raw_Products'!J414,IFERROR(_xlfn.XLOOKUP('01_Input_Raw_Products'!F414,'10_Master_Gem_Types'!A:A,'10_Master_Gem_Types'!E:E),""))</f>
        <v>0</v>
      </c>
      <c r="L414" s="9">
        <f>'01_Input_Raw_Products'!P414</f>
        <v>0</v>
      </c>
      <c r="M414" s="9" cm="1">
        <f t="array" ref="M414">IFERROR(_xlfn.XLOOKUP('01_Input_Raw_Products'!K414,'12_Color_Mapping'!A:A,'12_Color_Mapping'!B:B),IFERROR(_xlfn.XLOOKUP('01_Input_Raw_Products'!F414,'10_Master_Gem_Types'!A:A,'10_Master_Gem_Types'!F:F),""))</f>
        <v>0</v>
      </c>
      <c r="N414" s="9">
        <f>IF(C414="","",IF('01_Input_Raw_Products'!F414&lt;&gt;"",'01_Input_Raw_Products'!F414,'01_Input_Raw_Products'!D414))</f>
        <v>0</v>
      </c>
      <c r="O414" s="9">
        <f>IF(C414="","","Catalog Automation")</f>
        <v>0</v>
      </c>
      <c r="P414" s="9">
        <f>'01_Input_Raw_Products'!U414</f>
        <v>0</v>
      </c>
      <c r="Q414" s="7">
        <f>IF('01_Input_Raw_Products'!O414&lt;&gt;"",'01_Input_Raw_Products'!O414,IF('01_Input_Raw_Products'!N414&lt;&gt;"",'01_Input_Raw_Products'!N414*1.1,""))</f>
        <v>0</v>
      </c>
      <c r="R414" s="9">
        <f>'01_Input_Raw_Products'!S414</f>
        <v>0</v>
      </c>
      <c r="S414" s="9" cm="1">
        <f t="array" ref="S414">IFERROR(_xlfn.XLOOKUP('01_Input_Raw_Products'!F414,'10_Master_Gem_Types'!A:A,'10_Master_Gem_Types'!H:H),"")</f>
        <v>0</v>
      </c>
      <c r="T414" s="8">
        <f>'01_Input_Raw_Products'!Q414</f>
        <v>0</v>
      </c>
      <c r="U414" s="8">
        <f>'01_Input_Raw_Products'!R414</f>
        <v>0</v>
      </c>
      <c r="V414" s="7">
        <f>I414</f>
        <v>0</v>
      </c>
      <c r="W414" s="9" cm="1">
        <f t="array" ref="W414">IF('01_Input_Raw_Products'!G414&lt;&gt;"",'01_Input_Raw_Products'!G414,IFERROR(_xlfn.XLOOKUP('01_Input_Raw_Products'!F414,'10_Master_Gem_Types'!A:A,'10_Master_Gem_Types'!L:L),""))</f>
        <v>0</v>
      </c>
      <c r="X414" s="9" cm="1">
        <f t="array" ref="X414">IFERROR(_xlfn.XLOOKUP('01_Input_Raw_Products'!F414,'10_Master_Gem_Types'!A:A,'10_Master_Gem_Types'!J:J),"")</f>
        <v>0</v>
      </c>
      <c r="Y414" s="9" cm="1">
        <f t="array" ref="Y414">IFERROR(_xlfn.XLOOKUP('01_Input_Raw_Products'!F414,'10_Master_Gem_Types'!A:A,'10_Master_Gem_Types'!I:I),"")</f>
        <v>0</v>
      </c>
      <c r="Z414" s="9" cm="1">
        <f t="array" ref="Z414">IFERROR(_xlfn.XLOOKUP('01_Input_Raw_Products'!L414,'13_Certification_Stickers'!A:A,'13_Certification_Stickers'!C:C),"")</f>
        <v>0</v>
      </c>
      <c r="AA414" s="9" cm="1">
        <f t="array" ref="AA414">IFERROR(_xlfn.XLOOKUP('01_Input_Raw_Products'!S414,'14_Shipping_Rules'!A:A,'14_Shipping_Rules'!B:B),"")</f>
        <v>0</v>
      </c>
      <c r="AB414" s="9" cm="1">
        <f t="array" ref="AB414">IFERROR(_xlfn.XLOOKUP('01_Input_Raw_Products'!D414,'16_Astro_Flags'!A:A,'16_Astro_Flags'!B:B),"")</f>
        <v>0</v>
      </c>
      <c r="AC414" s="9">
        <f>IF(C414="","","Catalog, Search")</f>
        <v>0</v>
      </c>
      <c r="AD414" s="9">
        <f>IF(C414="","",IF(OR(F414="",J414="",M414="",S414="",Y414=""),"Manual Review","Ready"))</f>
        <v>0</v>
      </c>
      <c r="AE414" s="9">
        <f>IF(C414="","",TEXTJOIN("; ",TRUE,IF(F414="","Missing url_key",""),IF(J414="","Missing classification",""),IF(M414="","Missing j_colour",""),IF(S414="","Missing hsn_code",""),IF(Y414="","Missing tax_class_id","")))</f>
        <v>0</v>
      </c>
    </row>
    <row r="415" spans="1:31">
      <c r="A415" s="9">
        <f>IF('01_Input_Raw_Products'!B415&lt;&gt;"",20,"")</f>
        <v>0</v>
      </c>
      <c r="B415" s="9" cm="1">
        <f t="array" ref="B415">IF('01_Input_Raw_Products'!M415&lt;&gt;"",'01_Input_Raw_Products'!M415,IFERROR(_xlfn.XLOOKUP('01_Input_Raw_Products'!F415,'10_Master_Gem_Types'!A:A,'10_Master_Gem_Types'!K:K),""))</f>
        <v>0</v>
      </c>
      <c r="C415" s="9">
        <f>'01_Input_Raw_Products'!B415</f>
        <v>0</v>
      </c>
      <c r="D415" s="9">
        <f>IF(C415="","",TEXT(I415,"0.00")&amp;" Ct "&amp;IF('01_Input_Raw_Products'!F415&lt;&gt;"",'01_Input_Raw_Products'!F415,'01_Input_Raw_Products'!D415)&amp;" "&amp;'01_Input_Raw_Products'!I415)</f>
        <v>0</v>
      </c>
      <c r="E415" s="9">
        <f>IF(C415="","",D415&amp;" | GemPundit")</f>
        <v>0</v>
      </c>
      <c r="F415" s="9" cm="1">
        <f t="array" ref="F415">IF('01_Input_Raw_Products'!X415&lt;&gt;"",'01_Input_Raw_Products'!X415,IFERROR(_xlfn.XLOOKUP('01_Input_Raw_Products'!F415,'10_Master_Gem_Types'!A:A,'10_Master_Gem_Types'!O:O),LOWER(SUBSTITUTE(IF('01_Input_Raw_Products'!F415&lt;&gt;"",'01_Input_Raw_Products'!F415,'01_Input_Raw_Products'!D415)," ","-"))))</f>
        <v>0</v>
      </c>
      <c r="G415" s="9">
        <f>'01_Input_Raw_Products'!C415</f>
        <v>0</v>
      </c>
      <c r="H415" s="9" cm="1">
        <f t="array" ref="H415">IF('01_Input_Raw_Products'!H415&lt;&gt;"",'01_Input_Raw_Products'!H415,IFERROR(_xlfn.XLOOKUP('01_Input_Raw_Products'!F415,'10_Master_Gem_Types'!A:A,'10_Master_Gem_Types'!D:D),""))</f>
        <v>0</v>
      </c>
      <c r="I415" s="7">
        <f>IF('01_Input_Raw_Products'!N415&lt;&gt;"",'01_Input_Raw_Products'!N415,IF('01_Input_Raw_Products'!O415&lt;&gt;"",'01_Input_Raw_Products'!O415*0.91,""))</f>
        <v>0</v>
      </c>
      <c r="J415" s="9" cm="1">
        <f t="array" ref="J415">IFERROR(_xlfn.XLOOKUP('01_Input_Raw_Products'!F415,'10_Master_Gem_Types'!A:A,'10_Master_Gem_Types'!N:N),"")</f>
        <v>0</v>
      </c>
      <c r="K415" s="9" cm="1">
        <f t="array" ref="K415">IF('01_Input_Raw_Products'!J415&lt;&gt;"",'01_Input_Raw_Products'!J415,IFERROR(_xlfn.XLOOKUP('01_Input_Raw_Products'!F415,'10_Master_Gem_Types'!A:A,'10_Master_Gem_Types'!E:E),""))</f>
        <v>0</v>
      </c>
      <c r="L415" s="9">
        <f>'01_Input_Raw_Products'!P415</f>
        <v>0</v>
      </c>
      <c r="M415" s="9" cm="1">
        <f t="array" ref="M415">IFERROR(_xlfn.XLOOKUP('01_Input_Raw_Products'!K415,'12_Color_Mapping'!A:A,'12_Color_Mapping'!B:B),IFERROR(_xlfn.XLOOKUP('01_Input_Raw_Products'!F415,'10_Master_Gem_Types'!A:A,'10_Master_Gem_Types'!F:F),""))</f>
        <v>0</v>
      </c>
      <c r="N415" s="9">
        <f>IF(C415="","",IF('01_Input_Raw_Products'!F415&lt;&gt;"",'01_Input_Raw_Products'!F415,'01_Input_Raw_Products'!D415))</f>
        <v>0</v>
      </c>
      <c r="O415" s="9">
        <f>IF(C415="","","Catalog Automation")</f>
        <v>0</v>
      </c>
      <c r="P415" s="9">
        <f>'01_Input_Raw_Products'!U415</f>
        <v>0</v>
      </c>
      <c r="Q415" s="7">
        <f>IF('01_Input_Raw_Products'!O415&lt;&gt;"",'01_Input_Raw_Products'!O415,IF('01_Input_Raw_Products'!N415&lt;&gt;"",'01_Input_Raw_Products'!N415*1.1,""))</f>
        <v>0</v>
      </c>
      <c r="R415" s="9">
        <f>'01_Input_Raw_Products'!S415</f>
        <v>0</v>
      </c>
      <c r="S415" s="9" cm="1">
        <f t="array" ref="S415">IFERROR(_xlfn.XLOOKUP('01_Input_Raw_Products'!F415,'10_Master_Gem_Types'!A:A,'10_Master_Gem_Types'!H:H),"")</f>
        <v>0</v>
      </c>
      <c r="T415" s="8">
        <f>'01_Input_Raw_Products'!Q415</f>
        <v>0</v>
      </c>
      <c r="U415" s="8">
        <f>'01_Input_Raw_Products'!R415</f>
        <v>0</v>
      </c>
      <c r="V415" s="7">
        <f>I415</f>
        <v>0</v>
      </c>
      <c r="W415" s="9" cm="1">
        <f t="array" ref="W415">IF('01_Input_Raw_Products'!G415&lt;&gt;"",'01_Input_Raw_Products'!G415,IFERROR(_xlfn.XLOOKUP('01_Input_Raw_Products'!F415,'10_Master_Gem_Types'!A:A,'10_Master_Gem_Types'!L:L),""))</f>
        <v>0</v>
      </c>
      <c r="X415" s="9" cm="1">
        <f t="array" ref="X415">IFERROR(_xlfn.XLOOKUP('01_Input_Raw_Products'!F415,'10_Master_Gem_Types'!A:A,'10_Master_Gem_Types'!J:J),"")</f>
        <v>0</v>
      </c>
      <c r="Y415" s="9" cm="1">
        <f t="array" ref="Y415">IFERROR(_xlfn.XLOOKUP('01_Input_Raw_Products'!F415,'10_Master_Gem_Types'!A:A,'10_Master_Gem_Types'!I:I),"")</f>
        <v>0</v>
      </c>
      <c r="Z415" s="9" cm="1">
        <f t="array" ref="Z415">IFERROR(_xlfn.XLOOKUP('01_Input_Raw_Products'!L415,'13_Certification_Stickers'!A:A,'13_Certification_Stickers'!C:C),"")</f>
        <v>0</v>
      </c>
      <c r="AA415" s="9" cm="1">
        <f t="array" ref="AA415">IFERROR(_xlfn.XLOOKUP('01_Input_Raw_Products'!S415,'14_Shipping_Rules'!A:A,'14_Shipping_Rules'!B:B),"")</f>
        <v>0</v>
      </c>
      <c r="AB415" s="9" cm="1">
        <f t="array" ref="AB415">IFERROR(_xlfn.XLOOKUP('01_Input_Raw_Products'!D415,'16_Astro_Flags'!A:A,'16_Astro_Flags'!B:B),"")</f>
        <v>0</v>
      </c>
      <c r="AC415" s="9">
        <f>IF(C415="","","Catalog, Search")</f>
        <v>0</v>
      </c>
      <c r="AD415" s="9">
        <f>IF(C415="","",IF(OR(F415="",J415="",M415="",S415="",Y415=""),"Manual Review","Ready"))</f>
        <v>0</v>
      </c>
      <c r="AE415" s="9">
        <f>IF(C415="","",TEXTJOIN("; ",TRUE,IF(F415="","Missing url_key",""),IF(J415="","Missing classification",""),IF(M415="","Missing j_colour",""),IF(S415="","Missing hsn_code",""),IF(Y415="","Missing tax_class_id","")))</f>
        <v>0</v>
      </c>
    </row>
    <row r="416" spans="1:31">
      <c r="A416" s="9">
        <f>IF('01_Input_Raw_Products'!B416&lt;&gt;"",20,"")</f>
        <v>0</v>
      </c>
      <c r="B416" s="9" cm="1">
        <f t="array" ref="B416">IF('01_Input_Raw_Products'!M416&lt;&gt;"",'01_Input_Raw_Products'!M416,IFERROR(_xlfn.XLOOKUP('01_Input_Raw_Products'!F416,'10_Master_Gem_Types'!A:A,'10_Master_Gem_Types'!K:K),""))</f>
        <v>0</v>
      </c>
      <c r="C416" s="9">
        <f>'01_Input_Raw_Products'!B416</f>
        <v>0</v>
      </c>
      <c r="D416" s="9">
        <f>IF(C416="","",TEXT(I416,"0.00")&amp;" Ct "&amp;IF('01_Input_Raw_Products'!F416&lt;&gt;"",'01_Input_Raw_Products'!F416,'01_Input_Raw_Products'!D416)&amp;" "&amp;'01_Input_Raw_Products'!I416)</f>
        <v>0</v>
      </c>
      <c r="E416" s="9">
        <f>IF(C416="","",D416&amp;" | GemPundit")</f>
        <v>0</v>
      </c>
      <c r="F416" s="9" cm="1">
        <f t="array" ref="F416">IF('01_Input_Raw_Products'!X416&lt;&gt;"",'01_Input_Raw_Products'!X416,IFERROR(_xlfn.XLOOKUP('01_Input_Raw_Products'!F416,'10_Master_Gem_Types'!A:A,'10_Master_Gem_Types'!O:O),LOWER(SUBSTITUTE(IF('01_Input_Raw_Products'!F416&lt;&gt;"",'01_Input_Raw_Products'!F416,'01_Input_Raw_Products'!D416)," ","-"))))</f>
        <v>0</v>
      </c>
      <c r="G416" s="9">
        <f>'01_Input_Raw_Products'!C416</f>
        <v>0</v>
      </c>
      <c r="H416" s="9" cm="1">
        <f t="array" ref="H416">IF('01_Input_Raw_Products'!H416&lt;&gt;"",'01_Input_Raw_Products'!H416,IFERROR(_xlfn.XLOOKUP('01_Input_Raw_Products'!F416,'10_Master_Gem_Types'!A:A,'10_Master_Gem_Types'!D:D),""))</f>
        <v>0</v>
      </c>
      <c r="I416" s="7">
        <f>IF('01_Input_Raw_Products'!N416&lt;&gt;"",'01_Input_Raw_Products'!N416,IF('01_Input_Raw_Products'!O416&lt;&gt;"",'01_Input_Raw_Products'!O416*0.91,""))</f>
        <v>0</v>
      </c>
      <c r="J416" s="9" cm="1">
        <f t="array" ref="J416">IFERROR(_xlfn.XLOOKUP('01_Input_Raw_Products'!F416,'10_Master_Gem_Types'!A:A,'10_Master_Gem_Types'!N:N),"")</f>
        <v>0</v>
      </c>
      <c r="K416" s="9" cm="1">
        <f t="array" ref="K416">IF('01_Input_Raw_Products'!J416&lt;&gt;"",'01_Input_Raw_Products'!J416,IFERROR(_xlfn.XLOOKUP('01_Input_Raw_Products'!F416,'10_Master_Gem_Types'!A:A,'10_Master_Gem_Types'!E:E),""))</f>
        <v>0</v>
      </c>
      <c r="L416" s="9">
        <f>'01_Input_Raw_Products'!P416</f>
        <v>0</v>
      </c>
      <c r="M416" s="9" cm="1">
        <f t="array" ref="M416">IFERROR(_xlfn.XLOOKUP('01_Input_Raw_Products'!K416,'12_Color_Mapping'!A:A,'12_Color_Mapping'!B:B),IFERROR(_xlfn.XLOOKUP('01_Input_Raw_Products'!F416,'10_Master_Gem_Types'!A:A,'10_Master_Gem_Types'!F:F),""))</f>
        <v>0</v>
      </c>
      <c r="N416" s="9">
        <f>IF(C416="","",IF('01_Input_Raw_Products'!F416&lt;&gt;"",'01_Input_Raw_Products'!F416,'01_Input_Raw_Products'!D416))</f>
        <v>0</v>
      </c>
      <c r="O416" s="9">
        <f>IF(C416="","","Catalog Automation")</f>
        <v>0</v>
      </c>
      <c r="P416" s="9">
        <f>'01_Input_Raw_Products'!U416</f>
        <v>0</v>
      </c>
      <c r="Q416" s="7">
        <f>IF('01_Input_Raw_Products'!O416&lt;&gt;"",'01_Input_Raw_Products'!O416,IF('01_Input_Raw_Products'!N416&lt;&gt;"",'01_Input_Raw_Products'!N416*1.1,""))</f>
        <v>0</v>
      </c>
      <c r="R416" s="9">
        <f>'01_Input_Raw_Products'!S416</f>
        <v>0</v>
      </c>
      <c r="S416" s="9" cm="1">
        <f t="array" ref="S416">IFERROR(_xlfn.XLOOKUP('01_Input_Raw_Products'!F416,'10_Master_Gem_Types'!A:A,'10_Master_Gem_Types'!H:H),"")</f>
        <v>0</v>
      </c>
      <c r="T416" s="8">
        <f>'01_Input_Raw_Products'!Q416</f>
        <v>0</v>
      </c>
      <c r="U416" s="8">
        <f>'01_Input_Raw_Products'!R416</f>
        <v>0</v>
      </c>
      <c r="V416" s="7">
        <f>I416</f>
        <v>0</v>
      </c>
      <c r="W416" s="9" cm="1">
        <f t="array" ref="W416">IF('01_Input_Raw_Products'!G416&lt;&gt;"",'01_Input_Raw_Products'!G416,IFERROR(_xlfn.XLOOKUP('01_Input_Raw_Products'!F416,'10_Master_Gem_Types'!A:A,'10_Master_Gem_Types'!L:L),""))</f>
        <v>0</v>
      </c>
      <c r="X416" s="9" cm="1">
        <f t="array" ref="X416">IFERROR(_xlfn.XLOOKUP('01_Input_Raw_Products'!F416,'10_Master_Gem_Types'!A:A,'10_Master_Gem_Types'!J:J),"")</f>
        <v>0</v>
      </c>
      <c r="Y416" s="9" cm="1">
        <f t="array" ref="Y416">IFERROR(_xlfn.XLOOKUP('01_Input_Raw_Products'!F416,'10_Master_Gem_Types'!A:A,'10_Master_Gem_Types'!I:I),"")</f>
        <v>0</v>
      </c>
      <c r="Z416" s="9" cm="1">
        <f t="array" ref="Z416">IFERROR(_xlfn.XLOOKUP('01_Input_Raw_Products'!L416,'13_Certification_Stickers'!A:A,'13_Certification_Stickers'!C:C),"")</f>
        <v>0</v>
      </c>
      <c r="AA416" s="9" cm="1">
        <f t="array" ref="AA416">IFERROR(_xlfn.XLOOKUP('01_Input_Raw_Products'!S416,'14_Shipping_Rules'!A:A,'14_Shipping_Rules'!B:B),"")</f>
        <v>0</v>
      </c>
      <c r="AB416" s="9" cm="1">
        <f t="array" ref="AB416">IFERROR(_xlfn.XLOOKUP('01_Input_Raw_Products'!D416,'16_Astro_Flags'!A:A,'16_Astro_Flags'!B:B),"")</f>
        <v>0</v>
      </c>
      <c r="AC416" s="9">
        <f>IF(C416="","","Catalog, Search")</f>
        <v>0</v>
      </c>
      <c r="AD416" s="9">
        <f>IF(C416="","",IF(OR(F416="",J416="",M416="",S416="",Y416=""),"Manual Review","Ready"))</f>
        <v>0</v>
      </c>
      <c r="AE416" s="9">
        <f>IF(C416="","",TEXTJOIN("; ",TRUE,IF(F416="","Missing url_key",""),IF(J416="","Missing classification",""),IF(M416="","Missing j_colour",""),IF(S416="","Missing hsn_code",""),IF(Y416="","Missing tax_class_id","")))</f>
        <v>0</v>
      </c>
    </row>
    <row r="417" spans="1:31">
      <c r="A417" s="9">
        <f>IF('01_Input_Raw_Products'!B417&lt;&gt;"",20,"")</f>
        <v>0</v>
      </c>
      <c r="B417" s="9" cm="1">
        <f t="array" ref="B417">IF('01_Input_Raw_Products'!M417&lt;&gt;"",'01_Input_Raw_Products'!M417,IFERROR(_xlfn.XLOOKUP('01_Input_Raw_Products'!F417,'10_Master_Gem_Types'!A:A,'10_Master_Gem_Types'!K:K),""))</f>
        <v>0</v>
      </c>
      <c r="C417" s="9">
        <f>'01_Input_Raw_Products'!B417</f>
        <v>0</v>
      </c>
      <c r="D417" s="9">
        <f>IF(C417="","",TEXT(I417,"0.00")&amp;" Ct "&amp;IF('01_Input_Raw_Products'!F417&lt;&gt;"",'01_Input_Raw_Products'!F417,'01_Input_Raw_Products'!D417)&amp;" "&amp;'01_Input_Raw_Products'!I417)</f>
        <v>0</v>
      </c>
      <c r="E417" s="9">
        <f>IF(C417="","",D417&amp;" | GemPundit")</f>
        <v>0</v>
      </c>
      <c r="F417" s="9" cm="1">
        <f t="array" ref="F417">IF('01_Input_Raw_Products'!X417&lt;&gt;"",'01_Input_Raw_Products'!X417,IFERROR(_xlfn.XLOOKUP('01_Input_Raw_Products'!F417,'10_Master_Gem_Types'!A:A,'10_Master_Gem_Types'!O:O),LOWER(SUBSTITUTE(IF('01_Input_Raw_Products'!F417&lt;&gt;"",'01_Input_Raw_Products'!F417,'01_Input_Raw_Products'!D417)," ","-"))))</f>
        <v>0</v>
      </c>
      <c r="G417" s="9">
        <f>'01_Input_Raw_Products'!C417</f>
        <v>0</v>
      </c>
      <c r="H417" s="9" cm="1">
        <f t="array" ref="H417">IF('01_Input_Raw_Products'!H417&lt;&gt;"",'01_Input_Raw_Products'!H417,IFERROR(_xlfn.XLOOKUP('01_Input_Raw_Products'!F417,'10_Master_Gem_Types'!A:A,'10_Master_Gem_Types'!D:D),""))</f>
        <v>0</v>
      </c>
      <c r="I417" s="7">
        <f>IF('01_Input_Raw_Products'!N417&lt;&gt;"",'01_Input_Raw_Products'!N417,IF('01_Input_Raw_Products'!O417&lt;&gt;"",'01_Input_Raw_Products'!O417*0.91,""))</f>
        <v>0</v>
      </c>
      <c r="J417" s="9" cm="1">
        <f t="array" ref="J417">IFERROR(_xlfn.XLOOKUP('01_Input_Raw_Products'!F417,'10_Master_Gem_Types'!A:A,'10_Master_Gem_Types'!N:N),"")</f>
        <v>0</v>
      </c>
      <c r="K417" s="9" cm="1">
        <f t="array" ref="K417">IF('01_Input_Raw_Products'!J417&lt;&gt;"",'01_Input_Raw_Products'!J417,IFERROR(_xlfn.XLOOKUP('01_Input_Raw_Products'!F417,'10_Master_Gem_Types'!A:A,'10_Master_Gem_Types'!E:E),""))</f>
        <v>0</v>
      </c>
      <c r="L417" s="9">
        <f>'01_Input_Raw_Products'!P417</f>
        <v>0</v>
      </c>
      <c r="M417" s="9" cm="1">
        <f t="array" ref="M417">IFERROR(_xlfn.XLOOKUP('01_Input_Raw_Products'!K417,'12_Color_Mapping'!A:A,'12_Color_Mapping'!B:B),IFERROR(_xlfn.XLOOKUP('01_Input_Raw_Products'!F417,'10_Master_Gem_Types'!A:A,'10_Master_Gem_Types'!F:F),""))</f>
        <v>0</v>
      </c>
      <c r="N417" s="9">
        <f>IF(C417="","",IF('01_Input_Raw_Products'!F417&lt;&gt;"",'01_Input_Raw_Products'!F417,'01_Input_Raw_Products'!D417))</f>
        <v>0</v>
      </c>
      <c r="O417" s="9">
        <f>IF(C417="","","Catalog Automation")</f>
        <v>0</v>
      </c>
      <c r="P417" s="9">
        <f>'01_Input_Raw_Products'!U417</f>
        <v>0</v>
      </c>
      <c r="Q417" s="7">
        <f>IF('01_Input_Raw_Products'!O417&lt;&gt;"",'01_Input_Raw_Products'!O417,IF('01_Input_Raw_Products'!N417&lt;&gt;"",'01_Input_Raw_Products'!N417*1.1,""))</f>
        <v>0</v>
      </c>
      <c r="R417" s="9">
        <f>'01_Input_Raw_Products'!S417</f>
        <v>0</v>
      </c>
      <c r="S417" s="9" cm="1">
        <f t="array" ref="S417">IFERROR(_xlfn.XLOOKUP('01_Input_Raw_Products'!F417,'10_Master_Gem_Types'!A:A,'10_Master_Gem_Types'!H:H),"")</f>
        <v>0</v>
      </c>
      <c r="T417" s="8">
        <f>'01_Input_Raw_Products'!Q417</f>
        <v>0</v>
      </c>
      <c r="U417" s="8">
        <f>'01_Input_Raw_Products'!R417</f>
        <v>0</v>
      </c>
      <c r="V417" s="7">
        <f>I417</f>
        <v>0</v>
      </c>
      <c r="W417" s="9" cm="1">
        <f t="array" ref="W417">IF('01_Input_Raw_Products'!G417&lt;&gt;"",'01_Input_Raw_Products'!G417,IFERROR(_xlfn.XLOOKUP('01_Input_Raw_Products'!F417,'10_Master_Gem_Types'!A:A,'10_Master_Gem_Types'!L:L),""))</f>
        <v>0</v>
      </c>
      <c r="X417" s="9" cm="1">
        <f t="array" ref="X417">IFERROR(_xlfn.XLOOKUP('01_Input_Raw_Products'!F417,'10_Master_Gem_Types'!A:A,'10_Master_Gem_Types'!J:J),"")</f>
        <v>0</v>
      </c>
      <c r="Y417" s="9" cm="1">
        <f t="array" ref="Y417">IFERROR(_xlfn.XLOOKUP('01_Input_Raw_Products'!F417,'10_Master_Gem_Types'!A:A,'10_Master_Gem_Types'!I:I),"")</f>
        <v>0</v>
      </c>
      <c r="Z417" s="9" cm="1">
        <f t="array" ref="Z417">IFERROR(_xlfn.XLOOKUP('01_Input_Raw_Products'!L417,'13_Certification_Stickers'!A:A,'13_Certification_Stickers'!C:C),"")</f>
        <v>0</v>
      </c>
      <c r="AA417" s="9" cm="1">
        <f t="array" ref="AA417">IFERROR(_xlfn.XLOOKUP('01_Input_Raw_Products'!S417,'14_Shipping_Rules'!A:A,'14_Shipping_Rules'!B:B),"")</f>
        <v>0</v>
      </c>
      <c r="AB417" s="9" cm="1">
        <f t="array" ref="AB417">IFERROR(_xlfn.XLOOKUP('01_Input_Raw_Products'!D417,'16_Astro_Flags'!A:A,'16_Astro_Flags'!B:B),"")</f>
        <v>0</v>
      </c>
      <c r="AC417" s="9">
        <f>IF(C417="","","Catalog, Search")</f>
        <v>0</v>
      </c>
      <c r="AD417" s="9">
        <f>IF(C417="","",IF(OR(F417="",J417="",M417="",S417="",Y417=""),"Manual Review","Ready"))</f>
        <v>0</v>
      </c>
      <c r="AE417" s="9">
        <f>IF(C417="","",TEXTJOIN("; ",TRUE,IF(F417="","Missing url_key",""),IF(J417="","Missing classification",""),IF(M417="","Missing j_colour",""),IF(S417="","Missing hsn_code",""),IF(Y417="","Missing tax_class_id","")))</f>
        <v>0</v>
      </c>
    </row>
    <row r="418" spans="1:31">
      <c r="A418" s="9">
        <f>IF('01_Input_Raw_Products'!B418&lt;&gt;"",20,"")</f>
        <v>0</v>
      </c>
      <c r="B418" s="9" cm="1">
        <f t="array" ref="B418">IF('01_Input_Raw_Products'!M418&lt;&gt;"",'01_Input_Raw_Products'!M418,IFERROR(_xlfn.XLOOKUP('01_Input_Raw_Products'!F418,'10_Master_Gem_Types'!A:A,'10_Master_Gem_Types'!K:K),""))</f>
        <v>0</v>
      </c>
      <c r="C418" s="9">
        <f>'01_Input_Raw_Products'!B418</f>
        <v>0</v>
      </c>
      <c r="D418" s="9">
        <f>IF(C418="","",TEXT(I418,"0.00")&amp;" Ct "&amp;IF('01_Input_Raw_Products'!F418&lt;&gt;"",'01_Input_Raw_Products'!F418,'01_Input_Raw_Products'!D418)&amp;" "&amp;'01_Input_Raw_Products'!I418)</f>
        <v>0</v>
      </c>
      <c r="E418" s="9">
        <f>IF(C418="","",D418&amp;" | GemPundit")</f>
        <v>0</v>
      </c>
      <c r="F418" s="9" cm="1">
        <f t="array" ref="F418">IF('01_Input_Raw_Products'!X418&lt;&gt;"",'01_Input_Raw_Products'!X418,IFERROR(_xlfn.XLOOKUP('01_Input_Raw_Products'!F418,'10_Master_Gem_Types'!A:A,'10_Master_Gem_Types'!O:O),LOWER(SUBSTITUTE(IF('01_Input_Raw_Products'!F418&lt;&gt;"",'01_Input_Raw_Products'!F418,'01_Input_Raw_Products'!D418)," ","-"))))</f>
        <v>0</v>
      </c>
      <c r="G418" s="9">
        <f>'01_Input_Raw_Products'!C418</f>
        <v>0</v>
      </c>
      <c r="H418" s="9" cm="1">
        <f t="array" ref="H418">IF('01_Input_Raw_Products'!H418&lt;&gt;"",'01_Input_Raw_Products'!H418,IFERROR(_xlfn.XLOOKUP('01_Input_Raw_Products'!F418,'10_Master_Gem_Types'!A:A,'10_Master_Gem_Types'!D:D),""))</f>
        <v>0</v>
      </c>
      <c r="I418" s="7">
        <f>IF('01_Input_Raw_Products'!N418&lt;&gt;"",'01_Input_Raw_Products'!N418,IF('01_Input_Raw_Products'!O418&lt;&gt;"",'01_Input_Raw_Products'!O418*0.91,""))</f>
        <v>0</v>
      </c>
      <c r="J418" s="9" cm="1">
        <f t="array" ref="J418">IFERROR(_xlfn.XLOOKUP('01_Input_Raw_Products'!F418,'10_Master_Gem_Types'!A:A,'10_Master_Gem_Types'!N:N),"")</f>
        <v>0</v>
      </c>
      <c r="K418" s="9" cm="1">
        <f t="array" ref="K418">IF('01_Input_Raw_Products'!J418&lt;&gt;"",'01_Input_Raw_Products'!J418,IFERROR(_xlfn.XLOOKUP('01_Input_Raw_Products'!F418,'10_Master_Gem_Types'!A:A,'10_Master_Gem_Types'!E:E),""))</f>
        <v>0</v>
      </c>
      <c r="L418" s="9">
        <f>'01_Input_Raw_Products'!P418</f>
        <v>0</v>
      </c>
      <c r="M418" s="9" cm="1">
        <f t="array" ref="M418">IFERROR(_xlfn.XLOOKUP('01_Input_Raw_Products'!K418,'12_Color_Mapping'!A:A,'12_Color_Mapping'!B:B),IFERROR(_xlfn.XLOOKUP('01_Input_Raw_Products'!F418,'10_Master_Gem_Types'!A:A,'10_Master_Gem_Types'!F:F),""))</f>
        <v>0</v>
      </c>
      <c r="N418" s="9">
        <f>IF(C418="","",IF('01_Input_Raw_Products'!F418&lt;&gt;"",'01_Input_Raw_Products'!F418,'01_Input_Raw_Products'!D418))</f>
        <v>0</v>
      </c>
      <c r="O418" s="9">
        <f>IF(C418="","","Catalog Automation")</f>
        <v>0</v>
      </c>
      <c r="P418" s="9">
        <f>'01_Input_Raw_Products'!U418</f>
        <v>0</v>
      </c>
      <c r="Q418" s="7">
        <f>IF('01_Input_Raw_Products'!O418&lt;&gt;"",'01_Input_Raw_Products'!O418,IF('01_Input_Raw_Products'!N418&lt;&gt;"",'01_Input_Raw_Products'!N418*1.1,""))</f>
        <v>0</v>
      </c>
      <c r="R418" s="9">
        <f>'01_Input_Raw_Products'!S418</f>
        <v>0</v>
      </c>
      <c r="S418" s="9" cm="1">
        <f t="array" ref="S418">IFERROR(_xlfn.XLOOKUP('01_Input_Raw_Products'!F418,'10_Master_Gem_Types'!A:A,'10_Master_Gem_Types'!H:H),"")</f>
        <v>0</v>
      </c>
      <c r="T418" s="8">
        <f>'01_Input_Raw_Products'!Q418</f>
        <v>0</v>
      </c>
      <c r="U418" s="8">
        <f>'01_Input_Raw_Products'!R418</f>
        <v>0</v>
      </c>
      <c r="V418" s="7">
        <f>I418</f>
        <v>0</v>
      </c>
      <c r="W418" s="9" cm="1">
        <f t="array" ref="W418">IF('01_Input_Raw_Products'!G418&lt;&gt;"",'01_Input_Raw_Products'!G418,IFERROR(_xlfn.XLOOKUP('01_Input_Raw_Products'!F418,'10_Master_Gem_Types'!A:A,'10_Master_Gem_Types'!L:L),""))</f>
        <v>0</v>
      </c>
      <c r="X418" s="9" cm="1">
        <f t="array" ref="X418">IFERROR(_xlfn.XLOOKUP('01_Input_Raw_Products'!F418,'10_Master_Gem_Types'!A:A,'10_Master_Gem_Types'!J:J),"")</f>
        <v>0</v>
      </c>
      <c r="Y418" s="9" cm="1">
        <f t="array" ref="Y418">IFERROR(_xlfn.XLOOKUP('01_Input_Raw_Products'!F418,'10_Master_Gem_Types'!A:A,'10_Master_Gem_Types'!I:I),"")</f>
        <v>0</v>
      </c>
      <c r="Z418" s="9" cm="1">
        <f t="array" ref="Z418">IFERROR(_xlfn.XLOOKUP('01_Input_Raw_Products'!L418,'13_Certification_Stickers'!A:A,'13_Certification_Stickers'!C:C),"")</f>
        <v>0</v>
      </c>
      <c r="AA418" s="9" cm="1">
        <f t="array" ref="AA418">IFERROR(_xlfn.XLOOKUP('01_Input_Raw_Products'!S418,'14_Shipping_Rules'!A:A,'14_Shipping_Rules'!B:B),"")</f>
        <v>0</v>
      </c>
      <c r="AB418" s="9" cm="1">
        <f t="array" ref="AB418">IFERROR(_xlfn.XLOOKUP('01_Input_Raw_Products'!D418,'16_Astro_Flags'!A:A,'16_Astro_Flags'!B:B),"")</f>
        <v>0</v>
      </c>
      <c r="AC418" s="9">
        <f>IF(C418="","","Catalog, Search")</f>
        <v>0</v>
      </c>
      <c r="AD418" s="9">
        <f>IF(C418="","",IF(OR(F418="",J418="",M418="",S418="",Y418=""),"Manual Review","Ready"))</f>
        <v>0</v>
      </c>
      <c r="AE418" s="9">
        <f>IF(C418="","",TEXTJOIN("; ",TRUE,IF(F418="","Missing url_key",""),IF(J418="","Missing classification",""),IF(M418="","Missing j_colour",""),IF(S418="","Missing hsn_code",""),IF(Y418="","Missing tax_class_id","")))</f>
        <v>0</v>
      </c>
    </row>
    <row r="419" spans="1:31">
      <c r="A419" s="9">
        <f>IF('01_Input_Raw_Products'!B419&lt;&gt;"",20,"")</f>
        <v>0</v>
      </c>
      <c r="B419" s="9" cm="1">
        <f t="array" ref="B419">IF('01_Input_Raw_Products'!M419&lt;&gt;"",'01_Input_Raw_Products'!M419,IFERROR(_xlfn.XLOOKUP('01_Input_Raw_Products'!F419,'10_Master_Gem_Types'!A:A,'10_Master_Gem_Types'!K:K),""))</f>
        <v>0</v>
      </c>
      <c r="C419" s="9">
        <f>'01_Input_Raw_Products'!B419</f>
        <v>0</v>
      </c>
      <c r="D419" s="9">
        <f>IF(C419="","",TEXT(I419,"0.00")&amp;" Ct "&amp;IF('01_Input_Raw_Products'!F419&lt;&gt;"",'01_Input_Raw_Products'!F419,'01_Input_Raw_Products'!D419)&amp;" "&amp;'01_Input_Raw_Products'!I419)</f>
        <v>0</v>
      </c>
      <c r="E419" s="9">
        <f>IF(C419="","",D419&amp;" | GemPundit")</f>
        <v>0</v>
      </c>
      <c r="F419" s="9" cm="1">
        <f t="array" ref="F419">IF('01_Input_Raw_Products'!X419&lt;&gt;"",'01_Input_Raw_Products'!X419,IFERROR(_xlfn.XLOOKUP('01_Input_Raw_Products'!F419,'10_Master_Gem_Types'!A:A,'10_Master_Gem_Types'!O:O),LOWER(SUBSTITUTE(IF('01_Input_Raw_Products'!F419&lt;&gt;"",'01_Input_Raw_Products'!F419,'01_Input_Raw_Products'!D419)," ","-"))))</f>
        <v>0</v>
      </c>
      <c r="G419" s="9">
        <f>'01_Input_Raw_Products'!C419</f>
        <v>0</v>
      </c>
      <c r="H419" s="9" cm="1">
        <f t="array" ref="H419">IF('01_Input_Raw_Products'!H419&lt;&gt;"",'01_Input_Raw_Products'!H419,IFERROR(_xlfn.XLOOKUP('01_Input_Raw_Products'!F419,'10_Master_Gem_Types'!A:A,'10_Master_Gem_Types'!D:D),""))</f>
        <v>0</v>
      </c>
      <c r="I419" s="7">
        <f>IF('01_Input_Raw_Products'!N419&lt;&gt;"",'01_Input_Raw_Products'!N419,IF('01_Input_Raw_Products'!O419&lt;&gt;"",'01_Input_Raw_Products'!O419*0.91,""))</f>
        <v>0</v>
      </c>
      <c r="J419" s="9" cm="1">
        <f t="array" ref="J419">IFERROR(_xlfn.XLOOKUP('01_Input_Raw_Products'!F419,'10_Master_Gem_Types'!A:A,'10_Master_Gem_Types'!N:N),"")</f>
        <v>0</v>
      </c>
      <c r="K419" s="9" cm="1">
        <f t="array" ref="K419">IF('01_Input_Raw_Products'!J419&lt;&gt;"",'01_Input_Raw_Products'!J419,IFERROR(_xlfn.XLOOKUP('01_Input_Raw_Products'!F419,'10_Master_Gem_Types'!A:A,'10_Master_Gem_Types'!E:E),""))</f>
        <v>0</v>
      </c>
      <c r="L419" s="9">
        <f>'01_Input_Raw_Products'!P419</f>
        <v>0</v>
      </c>
      <c r="M419" s="9" cm="1">
        <f t="array" ref="M419">IFERROR(_xlfn.XLOOKUP('01_Input_Raw_Products'!K419,'12_Color_Mapping'!A:A,'12_Color_Mapping'!B:B),IFERROR(_xlfn.XLOOKUP('01_Input_Raw_Products'!F419,'10_Master_Gem_Types'!A:A,'10_Master_Gem_Types'!F:F),""))</f>
        <v>0</v>
      </c>
      <c r="N419" s="9">
        <f>IF(C419="","",IF('01_Input_Raw_Products'!F419&lt;&gt;"",'01_Input_Raw_Products'!F419,'01_Input_Raw_Products'!D419))</f>
        <v>0</v>
      </c>
      <c r="O419" s="9">
        <f>IF(C419="","","Catalog Automation")</f>
        <v>0</v>
      </c>
      <c r="P419" s="9">
        <f>'01_Input_Raw_Products'!U419</f>
        <v>0</v>
      </c>
      <c r="Q419" s="7">
        <f>IF('01_Input_Raw_Products'!O419&lt;&gt;"",'01_Input_Raw_Products'!O419,IF('01_Input_Raw_Products'!N419&lt;&gt;"",'01_Input_Raw_Products'!N419*1.1,""))</f>
        <v>0</v>
      </c>
      <c r="R419" s="9">
        <f>'01_Input_Raw_Products'!S419</f>
        <v>0</v>
      </c>
      <c r="S419" s="9" cm="1">
        <f t="array" ref="S419">IFERROR(_xlfn.XLOOKUP('01_Input_Raw_Products'!F419,'10_Master_Gem_Types'!A:A,'10_Master_Gem_Types'!H:H),"")</f>
        <v>0</v>
      </c>
      <c r="T419" s="8">
        <f>'01_Input_Raw_Products'!Q419</f>
        <v>0</v>
      </c>
      <c r="U419" s="8">
        <f>'01_Input_Raw_Products'!R419</f>
        <v>0</v>
      </c>
      <c r="V419" s="7">
        <f>I419</f>
        <v>0</v>
      </c>
      <c r="W419" s="9" cm="1">
        <f t="array" ref="W419">IF('01_Input_Raw_Products'!G419&lt;&gt;"",'01_Input_Raw_Products'!G419,IFERROR(_xlfn.XLOOKUP('01_Input_Raw_Products'!F419,'10_Master_Gem_Types'!A:A,'10_Master_Gem_Types'!L:L),""))</f>
        <v>0</v>
      </c>
      <c r="X419" s="9" cm="1">
        <f t="array" ref="X419">IFERROR(_xlfn.XLOOKUP('01_Input_Raw_Products'!F419,'10_Master_Gem_Types'!A:A,'10_Master_Gem_Types'!J:J),"")</f>
        <v>0</v>
      </c>
      <c r="Y419" s="9" cm="1">
        <f t="array" ref="Y419">IFERROR(_xlfn.XLOOKUP('01_Input_Raw_Products'!F419,'10_Master_Gem_Types'!A:A,'10_Master_Gem_Types'!I:I),"")</f>
        <v>0</v>
      </c>
      <c r="Z419" s="9" cm="1">
        <f t="array" ref="Z419">IFERROR(_xlfn.XLOOKUP('01_Input_Raw_Products'!L419,'13_Certification_Stickers'!A:A,'13_Certification_Stickers'!C:C),"")</f>
        <v>0</v>
      </c>
      <c r="AA419" s="9" cm="1">
        <f t="array" ref="AA419">IFERROR(_xlfn.XLOOKUP('01_Input_Raw_Products'!S419,'14_Shipping_Rules'!A:A,'14_Shipping_Rules'!B:B),"")</f>
        <v>0</v>
      </c>
      <c r="AB419" s="9" cm="1">
        <f t="array" ref="AB419">IFERROR(_xlfn.XLOOKUP('01_Input_Raw_Products'!D419,'16_Astro_Flags'!A:A,'16_Astro_Flags'!B:B),"")</f>
        <v>0</v>
      </c>
      <c r="AC419" s="9">
        <f>IF(C419="","","Catalog, Search")</f>
        <v>0</v>
      </c>
      <c r="AD419" s="9">
        <f>IF(C419="","",IF(OR(F419="",J419="",M419="",S419="",Y419=""),"Manual Review","Ready"))</f>
        <v>0</v>
      </c>
      <c r="AE419" s="9">
        <f>IF(C419="","",TEXTJOIN("; ",TRUE,IF(F419="","Missing url_key",""),IF(J419="","Missing classification",""),IF(M419="","Missing j_colour",""),IF(S419="","Missing hsn_code",""),IF(Y419="","Missing tax_class_id","")))</f>
        <v>0</v>
      </c>
    </row>
    <row r="420" spans="1:31">
      <c r="A420" s="9">
        <f>IF('01_Input_Raw_Products'!B420&lt;&gt;"",20,"")</f>
        <v>0</v>
      </c>
      <c r="B420" s="9" cm="1">
        <f t="array" ref="B420">IF('01_Input_Raw_Products'!M420&lt;&gt;"",'01_Input_Raw_Products'!M420,IFERROR(_xlfn.XLOOKUP('01_Input_Raw_Products'!F420,'10_Master_Gem_Types'!A:A,'10_Master_Gem_Types'!K:K),""))</f>
        <v>0</v>
      </c>
      <c r="C420" s="9">
        <f>'01_Input_Raw_Products'!B420</f>
        <v>0</v>
      </c>
      <c r="D420" s="9">
        <f>IF(C420="","",TEXT(I420,"0.00")&amp;" Ct "&amp;IF('01_Input_Raw_Products'!F420&lt;&gt;"",'01_Input_Raw_Products'!F420,'01_Input_Raw_Products'!D420)&amp;" "&amp;'01_Input_Raw_Products'!I420)</f>
        <v>0</v>
      </c>
      <c r="E420" s="9">
        <f>IF(C420="","",D420&amp;" | GemPundit")</f>
        <v>0</v>
      </c>
      <c r="F420" s="9" cm="1">
        <f t="array" ref="F420">IF('01_Input_Raw_Products'!X420&lt;&gt;"",'01_Input_Raw_Products'!X420,IFERROR(_xlfn.XLOOKUP('01_Input_Raw_Products'!F420,'10_Master_Gem_Types'!A:A,'10_Master_Gem_Types'!O:O),LOWER(SUBSTITUTE(IF('01_Input_Raw_Products'!F420&lt;&gt;"",'01_Input_Raw_Products'!F420,'01_Input_Raw_Products'!D420)," ","-"))))</f>
        <v>0</v>
      </c>
      <c r="G420" s="9">
        <f>'01_Input_Raw_Products'!C420</f>
        <v>0</v>
      </c>
      <c r="H420" s="9" cm="1">
        <f t="array" ref="H420">IF('01_Input_Raw_Products'!H420&lt;&gt;"",'01_Input_Raw_Products'!H420,IFERROR(_xlfn.XLOOKUP('01_Input_Raw_Products'!F420,'10_Master_Gem_Types'!A:A,'10_Master_Gem_Types'!D:D),""))</f>
        <v>0</v>
      </c>
      <c r="I420" s="7">
        <f>IF('01_Input_Raw_Products'!N420&lt;&gt;"",'01_Input_Raw_Products'!N420,IF('01_Input_Raw_Products'!O420&lt;&gt;"",'01_Input_Raw_Products'!O420*0.91,""))</f>
        <v>0</v>
      </c>
      <c r="J420" s="9" cm="1">
        <f t="array" ref="J420">IFERROR(_xlfn.XLOOKUP('01_Input_Raw_Products'!F420,'10_Master_Gem_Types'!A:A,'10_Master_Gem_Types'!N:N),"")</f>
        <v>0</v>
      </c>
      <c r="K420" s="9" cm="1">
        <f t="array" ref="K420">IF('01_Input_Raw_Products'!J420&lt;&gt;"",'01_Input_Raw_Products'!J420,IFERROR(_xlfn.XLOOKUP('01_Input_Raw_Products'!F420,'10_Master_Gem_Types'!A:A,'10_Master_Gem_Types'!E:E),""))</f>
        <v>0</v>
      </c>
      <c r="L420" s="9">
        <f>'01_Input_Raw_Products'!P420</f>
        <v>0</v>
      </c>
      <c r="M420" s="9" cm="1">
        <f t="array" ref="M420">IFERROR(_xlfn.XLOOKUP('01_Input_Raw_Products'!K420,'12_Color_Mapping'!A:A,'12_Color_Mapping'!B:B),IFERROR(_xlfn.XLOOKUP('01_Input_Raw_Products'!F420,'10_Master_Gem_Types'!A:A,'10_Master_Gem_Types'!F:F),""))</f>
        <v>0</v>
      </c>
      <c r="N420" s="9">
        <f>IF(C420="","",IF('01_Input_Raw_Products'!F420&lt;&gt;"",'01_Input_Raw_Products'!F420,'01_Input_Raw_Products'!D420))</f>
        <v>0</v>
      </c>
      <c r="O420" s="9">
        <f>IF(C420="","","Catalog Automation")</f>
        <v>0</v>
      </c>
      <c r="P420" s="9">
        <f>'01_Input_Raw_Products'!U420</f>
        <v>0</v>
      </c>
      <c r="Q420" s="7">
        <f>IF('01_Input_Raw_Products'!O420&lt;&gt;"",'01_Input_Raw_Products'!O420,IF('01_Input_Raw_Products'!N420&lt;&gt;"",'01_Input_Raw_Products'!N420*1.1,""))</f>
        <v>0</v>
      </c>
      <c r="R420" s="9">
        <f>'01_Input_Raw_Products'!S420</f>
        <v>0</v>
      </c>
      <c r="S420" s="9" cm="1">
        <f t="array" ref="S420">IFERROR(_xlfn.XLOOKUP('01_Input_Raw_Products'!F420,'10_Master_Gem_Types'!A:A,'10_Master_Gem_Types'!H:H),"")</f>
        <v>0</v>
      </c>
      <c r="T420" s="8">
        <f>'01_Input_Raw_Products'!Q420</f>
        <v>0</v>
      </c>
      <c r="U420" s="8">
        <f>'01_Input_Raw_Products'!R420</f>
        <v>0</v>
      </c>
      <c r="V420" s="7">
        <f>I420</f>
        <v>0</v>
      </c>
      <c r="W420" s="9" cm="1">
        <f t="array" ref="W420">IF('01_Input_Raw_Products'!G420&lt;&gt;"",'01_Input_Raw_Products'!G420,IFERROR(_xlfn.XLOOKUP('01_Input_Raw_Products'!F420,'10_Master_Gem_Types'!A:A,'10_Master_Gem_Types'!L:L),""))</f>
        <v>0</v>
      </c>
      <c r="X420" s="9" cm="1">
        <f t="array" ref="X420">IFERROR(_xlfn.XLOOKUP('01_Input_Raw_Products'!F420,'10_Master_Gem_Types'!A:A,'10_Master_Gem_Types'!J:J),"")</f>
        <v>0</v>
      </c>
      <c r="Y420" s="9" cm="1">
        <f t="array" ref="Y420">IFERROR(_xlfn.XLOOKUP('01_Input_Raw_Products'!F420,'10_Master_Gem_Types'!A:A,'10_Master_Gem_Types'!I:I),"")</f>
        <v>0</v>
      </c>
      <c r="Z420" s="9" cm="1">
        <f t="array" ref="Z420">IFERROR(_xlfn.XLOOKUP('01_Input_Raw_Products'!L420,'13_Certification_Stickers'!A:A,'13_Certification_Stickers'!C:C),"")</f>
        <v>0</v>
      </c>
      <c r="AA420" s="9" cm="1">
        <f t="array" ref="AA420">IFERROR(_xlfn.XLOOKUP('01_Input_Raw_Products'!S420,'14_Shipping_Rules'!A:A,'14_Shipping_Rules'!B:B),"")</f>
        <v>0</v>
      </c>
      <c r="AB420" s="9" cm="1">
        <f t="array" ref="AB420">IFERROR(_xlfn.XLOOKUP('01_Input_Raw_Products'!D420,'16_Astro_Flags'!A:A,'16_Astro_Flags'!B:B),"")</f>
        <v>0</v>
      </c>
      <c r="AC420" s="9">
        <f>IF(C420="","","Catalog, Search")</f>
        <v>0</v>
      </c>
      <c r="AD420" s="9">
        <f>IF(C420="","",IF(OR(F420="",J420="",M420="",S420="",Y420=""),"Manual Review","Ready"))</f>
        <v>0</v>
      </c>
      <c r="AE420" s="9">
        <f>IF(C420="","",TEXTJOIN("; ",TRUE,IF(F420="","Missing url_key",""),IF(J420="","Missing classification",""),IF(M420="","Missing j_colour",""),IF(S420="","Missing hsn_code",""),IF(Y420="","Missing tax_class_id","")))</f>
        <v>0</v>
      </c>
    </row>
    <row r="421" spans="1:31">
      <c r="A421" s="9">
        <f>IF('01_Input_Raw_Products'!B421&lt;&gt;"",20,"")</f>
        <v>0</v>
      </c>
      <c r="B421" s="9" cm="1">
        <f t="array" ref="B421">IF('01_Input_Raw_Products'!M421&lt;&gt;"",'01_Input_Raw_Products'!M421,IFERROR(_xlfn.XLOOKUP('01_Input_Raw_Products'!F421,'10_Master_Gem_Types'!A:A,'10_Master_Gem_Types'!K:K),""))</f>
        <v>0</v>
      </c>
      <c r="C421" s="9">
        <f>'01_Input_Raw_Products'!B421</f>
        <v>0</v>
      </c>
      <c r="D421" s="9">
        <f>IF(C421="","",TEXT(I421,"0.00")&amp;" Ct "&amp;IF('01_Input_Raw_Products'!F421&lt;&gt;"",'01_Input_Raw_Products'!F421,'01_Input_Raw_Products'!D421)&amp;" "&amp;'01_Input_Raw_Products'!I421)</f>
        <v>0</v>
      </c>
      <c r="E421" s="9">
        <f>IF(C421="","",D421&amp;" | GemPundit")</f>
        <v>0</v>
      </c>
      <c r="F421" s="9" cm="1">
        <f t="array" ref="F421">IF('01_Input_Raw_Products'!X421&lt;&gt;"",'01_Input_Raw_Products'!X421,IFERROR(_xlfn.XLOOKUP('01_Input_Raw_Products'!F421,'10_Master_Gem_Types'!A:A,'10_Master_Gem_Types'!O:O),LOWER(SUBSTITUTE(IF('01_Input_Raw_Products'!F421&lt;&gt;"",'01_Input_Raw_Products'!F421,'01_Input_Raw_Products'!D421)," ","-"))))</f>
        <v>0</v>
      </c>
      <c r="G421" s="9">
        <f>'01_Input_Raw_Products'!C421</f>
        <v>0</v>
      </c>
      <c r="H421" s="9" cm="1">
        <f t="array" ref="H421">IF('01_Input_Raw_Products'!H421&lt;&gt;"",'01_Input_Raw_Products'!H421,IFERROR(_xlfn.XLOOKUP('01_Input_Raw_Products'!F421,'10_Master_Gem_Types'!A:A,'10_Master_Gem_Types'!D:D),""))</f>
        <v>0</v>
      </c>
      <c r="I421" s="7">
        <f>IF('01_Input_Raw_Products'!N421&lt;&gt;"",'01_Input_Raw_Products'!N421,IF('01_Input_Raw_Products'!O421&lt;&gt;"",'01_Input_Raw_Products'!O421*0.91,""))</f>
        <v>0</v>
      </c>
      <c r="J421" s="9" cm="1">
        <f t="array" ref="J421">IFERROR(_xlfn.XLOOKUP('01_Input_Raw_Products'!F421,'10_Master_Gem_Types'!A:A,'10_Master_Gem_Types'!N:N),"")</f>
        <v>0</v>
      </c>
      <c r="K421" s="9" cm="1">
        <f t="array" ref="K421">IF('01_Input_Raw_Products'!J421&lt;&gt;"",'01_Input_Raw_Products'!J421,IFERROR(_xlfn.XLOOKUP('01_Input_Raw_Products'!F421,'10_Master_Gem_Types'!A:A,'10_Master_Gem_Types'!E:E),""))</f>
        <v>0</v>
      </c>
      <c r="L421" s="9">
        <f>'01_Input_Raw_Products'!P421</f>
        <v>0</v>
      </c>
      <c r="M421" s="9" cm="1">
        <f t="array" ref="M421">IFERROR(_xlfn.XLOOKUP('01_Input_Raw_Products'!K421,'12_Color_Mapping'!A:A,'12_Color_Mapping'!B:B),IFERROR(_xlfn.XLOOKUP('01_Input_Raw_Products'!F421,'10_Master_Gem_Types'!A:A,'10_Master_Gem_Types'!F:F),""))</f>
        <v>0</v>
      </c>
      <c r="N421" s="9">
        <f>IF(C421="","",IF('01_Input_Raw_Products'!F421&lt;&gt;"",'01_Input_Raw_Products'!F421,'01_Input_Raw_Products'!D421))</f>
        <v>0</v>
      </c>
      <c r="O421" s="9">
        <f>IF(C421="","","Catalog Automation")</f>
        <v>0</v>
      </c>
      <c r="P421" s="9">
        <f>'01_Input_Raw_Products'!U421</f>
        <v>0</v>
      </c>
      <c r="Q421" s="7">
        <f>IF('01_Input_Raw_Products'!O421&lt;&gt;"",'01_Input_Raw_Products'!O421,IF('01_Input_Raw_Products'!N421&lt;&gt;"",'01_Input_Raw_Products'!N421*1.1,""))</f>
        <v>0</v>
      </c>
      <c r="R421" s="9">
        <f>'01_Input_Raw_Products'!S421</f>
        <v>0</v>
      </c>
      <c r="S421" s="9" cm="1">
        <f t="array" ref="S421">IFERROR(_xlfn.XLOOKUP('01_Input_Raw_Products'!F421,'10_Master_Gem_Types'!A:A,'10_Master_Gem_Types'!H:H),"")</f>
        <v>0</v>
      </c>
      <c r="T421" s="8">
        <f>'01_Input_Raw_Products'!Q421</f>
        <v>0</v>
      </c>
      <c r="U421" s="8">
        <f>'01_Input_Raw_Products'!R421</f>
        <v>0</v>
      </c>
      <c r="V421" s="7">
        <f>I421</f>
        <v>0</v>
      </c>
      <c r="W421" s="9" cm="1">
        <f t="array" ref="W421">IF('01_Input_Raw_Products'!G421&lt;&gt;"",'01_Input_Raw_Products'!G421,IFERROR(_xlfn.XLOOKUP('01_Input_Raw_Products'!F421,'10_Master_Gem_Types'!A:A,'10_Master_Gem_Types'!L:L),""))</f>
        <v>0</v>
      </c>
      <c r="X421" s="9" cm="1">
        <f t="array" ref="X421">IFERROR(_xlfn.XLOOKUP('01_Input_Raw_Products'!F421,'10_Master_Gem_Types'!A:A,'10_Master_Gem_Types'!J:J),"")</f>
        <v>0</v>
      </c>
      <c r="Y421" s="9" cm="1">
        <f t="array" ref="Y421">IFERROR(_xlfn.XLOOKUP('01_Input_Raw_Products'!F421,'10_Master_Gem_Types'!A:A,'10_Master_Gem_Types'!I:I),"")</f>
        <v>0</v>
      </c>
      <c r="Z421" s="9" cm="1">
        <f t="array" ref="Z421">IFERROR(_xlfn.XLOOKUP('01_Input_Raw_Products'!L421,'13_Certification_Stickers'!A:A,'13_Certification_Stickers'!C:C),"")</f>
        <v>0</v>
      </c>
      <c r="AA421" s="9" cm="1">
        <f t="array" ref="AA421">IFERROR(_xlfn.XLOOKUP('01_Input_Raw_Products'!S421,'14_Shipping_Rules'!A:A,'14_Shipping_Rules'!B:B),"")</f>
        <v>0</v>
      </c>
      <c r="AB421" s="9" cm="1">
        <f t="array" ref="AB421">IFERROR(_xlfn.XLOOKUP('01_Input_Raw_Products'!D421,'16_Astro_Flags'!A:A,'16_Astro_Flags'!B:B),"")</f>
        <v>0</v>
      </c>
      <c r="AC421" s="9">
        <f>IF(C421="","","Catalog, Search")</f>
        <v>0</v>
      </c>
      <c r="AD421" s="9">
        <f>IF(C421="","",IF(OR(F421="",J421="",M421="",S421="",Y421=""),"Manual Review","Ready"))</f>
        <v>0</v>
      </c>
      <c r="AE421" s="9">
        <f>IF(C421="","",TEXTJOIN("; ",TRUE,IF(F421="","Missing url_key",""),IF(J421="","Missing classification",""),IF(M421="","Missing j_colour",""),IF(S421="","Missing hsn_code",""),IF(Y421="","Missing tax_class_id","")))</f>
        <v>0</v>
      </c>
    </row>
    <row r="422" spans="1:31">
      <c r="A422" s="9">
        <f>IF('01_Input_Raw_Products'!B422&lt;&gt;"",20,"")</f>
        <v>0</v>
      </c>
      <c r="B422" s="9" cm="1">
        <f t="array" ref="B422">IF('01_Input_Raw_Products'!M422&lt;&gt;"",'01_Input_Raw_Products'!M422,IFERROR(_xlfn.XLOOKUP('01_Input_Raw_Products'!F422,'10_Master_Gem_Types'!A:A,'10_Master_Gem_Types'!K:K),""))</f>
        <v>0</v>
      </c>
      <c r="C422" s="9">
        <f>'01_Input_Raw_Products'!B422</f>
        <v>0</v>
      </c>
      <c r="D422" s="9">
        <f>IF(C422="","",TEXT(I422,"0.00")&amp;" Ct "&amp;IF('01_Input_Raw_Products'!F422&lt;&gt;"",'01_Input_Raw_Products'!F422,'01_Input_Raw_Products'!D422)&amp;" "&amp;'01_Input_Raw_Products'!I422)</f>
        <v>0</v>
      </c>
      <c r="E422" s="9">
        <f>IF(C422="","",D422&amp;" | GemPundit")</f>
        <v>0</v>
      </c>
      <c r="F422" s="9" cm="1">
        <f t="array" ref="F422">IF('01_Input_Raw_Products'!X422&lt;&gt;"",'01_Input_Raw_Products'!X422,IFERROR(_xlfn.XLOOKUP('01_Input_Raw_Products'!F422,'10_Master_Gem_Types'!A:A,'10_Master_Gem_Types'!O:O),LOWER(SUBSTITUTE(IF('01_Input_Raw_Products'!F422&lt;&gt;"",'01_Input_Raw_Products'!F422,'01_Input_Raw_Products'!D422)," ","-"))))</f>
        <v>0</v>
      </c>
      <c r="G422" s="9">
        <f>'01_Input_Raw_Products'!C422</f>
        <v>0</v>
      </c>
      <c r="H422" s="9" cm="1">
        <f t="array" ref="H422">IF('01_Input_Raw_Products'!H422&lt;&gt;"",'01_Input_Raw_Products'!H422,IFERROR(_xlfn.XLOOKUP('01_Input_Raw_Products'!F422,'10_Master_Gem_Types'!A:A,'10_Master_Gem_Types'!D:D),""))</f>
        <v>0</v>
      </c>
      <c r="I422" s="7">
        <f>IF('01_Input_Raw_Products'!N422&lt;&gt;"",'01_Input_Raw_Products'!N422,IF('01_Input_Raw_Products'!O422&lt;&gt;"",'01_Input_Raw_Products'!O422*0.91,""))</f>
        <v>0</v>
      </c>
      <c r="J422" s="9" cm="1">
        <f t="array" ref="J422">IFERROR(_xlfn.XLOOKUP('01_Input_Raw_Products'!F422,'10_Master_Gem_Types'!A:A,'10_Master_Gem_Types'!N:N),"")</f>
        <v>0</v>
      </c>
      <c r="K422" s="9" cm="1">
        <f t="array" ref="K422">IF('01_Input_Raw_Products'!J422&lt;&gt;"",'01_Input_Raw_Products'!J422,IFERROR(_xlfn.XLOOKUP('01_Input_Raw_Products'!F422,'10_Master_Gem_Types'!A:A,'10_Master_Gem_Types'!E:E),""))</f>
        <v>0</v>
      </c>
      <c r="L422" s="9">
        <f>'01_Input_Raw_Products'!P422</f>
        <v>0</v>
      </c>
      <c r="M422" s="9" cm="1">
        <f t="array" ref="M422">IFERROR(_xlfn.XLOOKUP('01_Input_Raw_Products'!K422,'12_Color_Mapping'!A:A,'12_Color_Mapping'!B:B),IFERROR(_xlfn.XLOOKUP('01_Input_Raw_Products'!F422,'10_Master_Gem_Types'!A:A,'10_Master_Gem_Types'!F:F),""))</f>
        <v>0</v>
      </c>
      <c r="N422" s="9">
        <f>IF(C422="","",IF('01_Input_Raw_Products'!F422&lt;&gt;"",'01_Input_Raw_Products'!F422,'01_Input_Raw_Products'!D422))</f>
        <v>0</v>
      </c>
      <c r="O422" s="9">
        <f>IF(C422="","","Catalog Automation")</f>
        <v>0</v>
      </c>
      <c r="P422" s="9">
        <f>'01_Input_Raw_Products'!U422</f>
        <v>0</v>
      </c>
      <c r="Q422" s="7">
        <f>IF('01_Input_Raw_Products'!O422&lt;&gt;"",'01_Input_Raw_Products'!O422,IF('01_Input_Raw_Products'!N422&lt;&gt;"",'01_Input_Raw_Products'!N422*1.1,""))</f>
        <v>0</v>
      </c>
      <c r="R422" s="9">
        <f>'01_Input_Raw_Products'!S422</f>
        <v>0</v>
      </c>
      <c r="S422" s="9" cm="1">
        <f t="array" ref="S422">IFERROR(_xlfn.XLOOKUP('01_Input_Raw_Products'!F422,'10_Master_Gem_Types'!A:A,'10_Master_Gem_Types'!H:H),"")</f>
        <v>0</v>
      </c>
      <c r="T422" s="8">
        <f>'01_Input_Raw_Products'!Q422</f>
        <v>0</v>
      </c>
      <c r="U422" s="8">
        <f>'01_Input_Raw_Products'!R422</f>
        <v>0</v>
      </c>
      <c r="V422" s="7">
        <f>I422</f>
        <v>0</v>
      </c>
      <c r="W422" s="9" cm="1">
        <f t="array" ref="W422">IF('01_Input_Raw_Products'!G422&lt;&gt;"",'01_Input_Raw_Products'!G422,IFERROR(_xlfn.XLOOKUP('01_Input_Raw_Products'!F422,'10_Master_Gem_Types'!A:A,'10_Master_Gem_Types'!L:L),""))</f>
        <v>0</v>
      </c>
      <c r="X422" s="9" cm="1">
        <f t="array" ref="X422">IFERROR(_xlfn.XLOOKUP('01_Input_Raw_Products'!F422,'10_Master_Gem_Types'!A:A,'10_Master_Gem_Types'!J:J),"")</f>
        <v>0</v>
      </c>
      <c r="Y422" s="9" cm="1">
        <f t="array" ref="Y422">IFERROR(_xlfn.XLOOKUP('01_Input_Raw_Products'!F422,'10_Master_Gem_Types'!A:A,'10_Master_Gem_Types'!I:I),"")</f>
        <v>0</v>
      </c>
      <c r="Z422" s="9" cm="1">
        <f t="array" ref="Z422">IFERROR(_xlfn.XLOOKUP('01_Input_Raw_Products'!L422,'13_Certification_Stickers'!A:A,'13_Certification_Stickers'!C:C),"")</f>
        <v>0</v>
      </c>
      <c r="AA422" s="9" cm="1">
        <f t="array" ref="AA422">IFERROR(_xlfn.XLOOKUP('01_Input_Raw_Products'!S422,'14_Shipping_Rules'!A:A,'14_Shipping_Rules'!B:B),"")</f>
        <v>0</v>
      </c>
      <c r="AB422" s="9" cm="1">
        <f t="array" ref="AB422">IFERROR(_xlfn.XLOOKUP('01_Input_Raw_Products'!D422,'16_Astro_Flags'!A:A,'16_Astro_Flags'!B:B),"")</f>
        <v>0</v>
      </c>
      <c r="AC422" s="9">
        <f>IF(C422="","","Catalog, Search")</f>
        <v>0</v>
      </c>
      <c r="AD422" s="9">
        <f>IF(C422="","",IF(OR(F422="",J422="",M422="",S422="",Y422=""),"Manual Review","Ready"))</f>
        <v>0</v>
      </c>
      <c r="AE422" s="9">
        <f>IF(C422="","",TEXTJOIN("; ",TRUE,IF(F422="","Missing url_key",""),IF(J422="","Missing classification",""),IF(M422="","Missing j_colour",""),IF(S422="","Missing hsn_code",""),IF(Y422="","Missing tax_class_id","")))</f>
        <v>0</v>
      </c>
    </row>
    <row r="423" spans="1:31">
      <c r="A423" s="9">
        <f>IF('01_Input_Raw_Products'!B423&lt;&gt;"",20,"")</f>
        <v>0</v>
      </c>
      <c r="B423" s="9" cm="1">
        <f t="array" ref="B423">IF('01_Input_Raw_Products'!M423&lt;&gt;"",'01_Input_Raw_Products'!M423,IFERROR(_xlfn.XLOOKUP('01_Input_Raw_Products'!F423,'10_Master_Gem_Types'!A:A,'10_Master_Gem_Types'!K:K),""))</f>
        <v>0</v>
      </c>
      <c r="C423" s="9">
        <f>'01_Input_Raw_Products'!B423</f>
        <v>0</v>
      </c>
      <c r="D423" s="9">
        <f>IF(C423="","",TEXT(I423,"0.00")&amp;" Ct "&amp;IF('01_Input_Raw_Products'!F423&lt;&gt;"",'01_Input_Raw_Products'!F423,'01_Input_Raw_Products'!D423)&amp;" "&amp;'01_Input_Raw_Products'!I423)</f>
        <v>0</v>
      </c>
      <c r="E423" s="9">
        <f>IF(C423="","",D423&amp;" | GemPundit")</f>
        <v>0</v>
      </c>
      <c r="F423" s="9" cm="1">
        <f t="array" ref="F423">IF('01_Input_Raw_Products'!X423&lt;&gt;"",'01_Input_Raw_Products'!X423,IFERROR(_xlfn.XLOOKUP('01_Input_Raw_Products'!F423,'10_Master_Gem_Types'!A:A,'10_Master_Gem_Types'!O:O),LOWER(SUBSTITUTE(IF('01_Input_Raw_Products'!F423&lt;&gt;"",'01_Input_Raw_Products'!F423,'01_Input_Raw_Products'!D423)," ","-"))))</f>
        <v>0</v>
      </c>
      <c r="G423" s="9">
        <f>'01_Input_Raw_Products'!C423</f>
        <v>0</v>
      </c>
      <c r="H423" s="9" cm="1">
        <f t="array" ref="H423">IF('01_Input_Raw_Products'!H423&lt;&gt;"",'01_Input_Raw_Products'!H423,IFERROR(_xlfn.XLOOKUP('01_Input_Raw_Products'!F423,'10_Master_Gem_Types'!A:A,'10_Master_Gem_Types'!D:D),""))</f>
        <v>0</v>
      </c>
      <c r="I423" s="7">
        <f>IF('01_Input_Raw_Products'!N423&lt;&gt;"",'01_Input_Raw_Products'!N423,IF('01_Input_Raw_Products'!O423&lt;&gt;"",'01_Input_Raw_Products'!O423*0.91,""))</f>
        <v>0</v>
      </c>
      <c r="J423" s="9" cm="1">
        <f t="array" ref="J423">IFERROR(_xlfn.XLOOKUP('01_Input_Raw_Products'!F423,'10_Master_Gem_Types'!A:A,'10_Master_Gem_Types'!N:N),"")</f>
        <v>0</v>
      </c>
      <c r="K423" s="9" cm="1">
        <f t="array" ref="K423">IF('01_Input_Raw_Products'!J423&lt;&gt;"",'01_Input_Raw_Products'!J423,IFERROR(_xlfn.XLOOKUP('01_Input_Raw_Products'!F423,'10_Master_Gem_Types'!A:A,'10_Master_Gem_Types'!E:E),""))</f>
        <v>0</v>
      </c>
      <c r="L423" s="9">
        <f>'01_Input_Raw_Products'!P423</f>
        <v>0</v>
      </c>
      <c r="M423" s="9" cm="1">
        <f t="array" ref="M423">IFERROR(_xlfn.XLOOKUP('01_Input_Raw_Products'!K423,'12_Color_Mapping'!A:A,'12_Color_Mapping'!B:B),IFERROR(_xlfn.XLOOKUP('01_Input_Raw_Products'!F423,'10_Master_Gem_Types'!A:A,'10_Master_Gem_Types'!F:F),""))</f>
        <v>0</v>
      </c>
      <c r="N423" s="9">
        <f>IF(C423="","",IF('01_Input_Raw_Products'!F423&lt;&gt;"",'01_Input_Raw_Products'!F423,'01_Input_Raw_Products'!D423))</f>
        <v>0</v>
      </c>
      <c r="O423" s="9">
        <f>IF(C423="","","Catalog Automation")</f>
        <v>0</v>
      </c>
      <c r="P423" s="9">
        <f>'01_Input_Raw_Products'!U423</f>
        <v>0</v>
      </c>
      <c r="Q423" s="7">
        <f>IF('01_Input_Raw_Products'!O423&lt;&gt;"",'01_Input_Raw_Products'!O423,IF('01_Input_Raw_Products'!N423&lt;&gt;"",'01_Input_Raw_Products'!N423*1.1,""))</f>
        <v>0</v>
      </c>
      <c r="R423" s="9">
        <f>'01_Input_Raw_Products'!S423</f>
        <v>0</v>
      </c>
      <c r="S423" s="9" cm="1">
        <f t="array" ref="S423">IFERROR(_xlfn.XLOOKUP('01_Input_Raw_Products'!F423,'10_Master_Gem_Types'!A:A,'10_Master_Gem_Types'!H:H),"")</f>
        <v>0</v>
      </c>
      <c r="T423" s="8">
        <f>'01_Input_Raw_Products'!Q423</f>
        <v>0</v>
      </c>
      <c r="U423" s="8">
        <f>'01_Input_Raw_Products'!R423</f>
        <v>0</v>
      </c>
      <c r="V423" s="7">
        <f>I423</f>
        <v>0</v>
      </c>
      <c r="W423" s="9" cm="1">
        <f t="array" ref="W423">IF('01_Input_Raw_Products'!G423&lt;&gt;"",'01_Input_Raw_Products'!G423,IFERROR(_xlfn.XLOOKUP('01_Input_Raw_Products'!F423,'10_Master_Gem_Types'!A:A,'10_Master_Gem_Types'!L:L),""))</f>
        <v>0</v>
      </c>
      <c r="X423" s="9" cm="1">
        <f t="array" ref="X423">IFERROR(_xlfn.XLOOKUP('01_Input_Raw_Products'!F423,'10_Master_Gem_Types'!A:A,'10_Master_Gem_Types'!J:J),"")</f>
        <v>0</v>
      </c>
      <c r="Y423" s="9" cm="1">
        <f t="array" ref="Y423">IFERROR(_xlfn.XLOOKUP('01_Input_Raw_Products'!F423,'10_Master_Gem_Types'!A:A,'10_Master_Gem_Types'!I:I),"")</f>
        <v>0</v>
      </c>
      <c r="Z423" s="9" cm="1">
        <f t="array" ref="Z423">IFERROR(_xlfn.XLOOKUP('01_Input_Raw_Products'!L423,'13_Certification_Stickers'!A:A,'13_Certification_Stickers'!C:C),"")</f>
        <v>0</v>
      </c>
      <c r="AA423" s="9" cm="1">
        <f t="array" ref="AA423">IFERROR(_xlfn.XLOOKUP('01_Input_Raw_Products'!S423,'14_Shipping_Rules'!A:A,'14_Shipping_Rules'!B:B),"")</f>
        <v>0</v>
      </c>
      <c r="AB423" s="9" cm="1">
        <f t="array" ref="AB423">IFERROR(_xlfn.XLOOKUP('01_Input_Raw_Products'!D423,'16_Astro_Flags'!A:A,'16_Astro_Flags'!B:B),"")</f>
        <v>0</v>
      </c>
      <c r="AC423" s="9">
        <f>IF(C423="","","Catalog, Search")</f>
        <v>0</v>
      </c>
      <c r="AD423" s="9">
        <f>IF(C423="","",IF(OR(F423="",J423="",M423="",S423="",Y423=""),"Manual Review","Ready"))</f>
        <v>0</v>
      </c>
      <c r="AE423" s="9">
        <f>IF(C423="","",TEXTJOIN("; ",TRUE,IF(F423="","Missing url_key",""),IF(J423="","Missing classification",""),IF(M423="","Missing j_colour",""),IF(S423="","Missing hsn_code",""),IF(Y423="","Missing tax_class_id","")))</f>
        <v>0</v>
      </c>
    </row>
    <row r="424" spans="1:31">
      <c r="A424" s="9">
        <f>IF('01_Input_Raw_Products'!B424&lt;&gt;"",20,"")</f>
        <v>0</v>
      </c>
      <c r="B424" s="9" cm="1">
        <f t="array" ref="B424">IF('01_Input_Raw_Products'!M424&lt;&gt;"",'01_Input_Raw_Products'!M424,IFERROR(_xlfn.XLOOKUP('01_Input_Raw_Products'!F424,'10_Master_Gem_Types'!A:A,'10_Master_Gem_Types'!K:K),""))</f>
        <v>0</v>
      </c>
      <c r="C424" s="9">
        <f>'01_Input_Raw_Products'!B424</f>
        <v>0</v>
      </c>
      <c r="D424" s="9">
        <f>IF(C424="","",TEXT(I424,"0.00")&amp;" Ct "&amp;IF('01_Input_Raw_Products'!F424&lt;&gt;"",'01_Input_Raw_Products'!F424,'01_Input_Raw_Products'!D424)&amp;" "&amp;'01_Input_Raw_Products'!I424)</f>
        <v>0</v>
      </c>
      <c r="E424" s="9">
        <f>IF(C424="","",D424&amp;" | GemPundit")</f>
        <v>0</v>
      </c>
      <c r="F424" s="9" cm="1">
        <f t="array" ref="F424">IF('01_Input_Raw_Products'!X424&lt;&gt;"",'01_Input_Raw_Products'!X424,IFERROR(_xlfn.XLOOKUP('01_Input_Raw_Products'!F424,'10_Master_Gem_Types'!A:A,'10_Master_Gem_Types'!O:O),LOWER(SUBSTITUTE(IF('01_Input_Raw_Products'!F424&lt;&gt;"",'01_Input_Raw_Products'!F424,'01_Input_Raw_Products'!D424)," ","-"))))</f>
        <v>0</v>
      </c>
      <c r="G424" s="9">
        <f>'01_Input_Raw_Products'!C424</f>
        <v>0</v>
      </c>
      <c r="H424" s="9" cm="1">
        <f t="array" ref="H424">IF('01_Input_Raw_Products'!H424&lt;&gt;"",'01_Input_Raw_Products'!H424,IFERROR(_xlfn.XLOOKUP('01_Input_Raw_Products'!F424,'10_Master_Gem_Types'!A:A,'10_Master_Gem_Types'!D:D),""))</f>
        <v>0</v>
      </c>
      <c r="I424" s="7">
        <f>IF('01_Input_Raw_Products'!N424&lt;&gt;"",'01_Input_Raw_Products'!N424,IF('01_Input_Raw_Products'!O424&lt;&gt;"",'01_Input_Raw_Products'!O424*0.91,""))</f>
        <v>0</v>
      </c>
      <c r="J424" s="9" cm="1">
        <f t="array" ref="J424">IFERROR(_xlfn.XLOOKUP('01_Input_Raw_Products'!F424,'10_Master_Gem_Types'!A:A,'10_Master_Gem_Types'!N:N),"")</f>
        <v>0</v>
      </c>
      <c r="K424" s="9" cm="1">
        <f t="array" ref="K424">IF('01_Input_Raw_Products'!J424&lt;&gt;"",'01_Input_Raw_Products'!J424,IFERROR(_xlfn.XLOOKUP('01_Input_Raw_Products'!F424,'10_Master_Gem_Types'!A:A,'10_Master_Gem_Types'!E:E),""))</f>
        <v>0</v>
      </c>
      <c r="L424" s="9">
        <f>'01_Input_Raw_Products'!P424</f>
        <v>0</v>
      </c>
      <c r="M424" s="9" cm="1">
        <f t="array" ref="M424">IFERROR(_xlfn.XLOOKUP('01_Input_Raw_Products'!K424,'12_Color_Mapping'!A:A,'12_Color_Mapping'!B:B),IFERROR(_xlfn.XLOOKUP('01_Input_Raw_Products'!F424,'10_Master_Gem_Types'!A:A,'10_Master_Gem_Types'!F:F),""))</f>
        <v>0</v>
      </c>
      <c r="N424" s="9">
        <f>IF(C424="","",IF('01_Input_Raw_Products'!F424&lt;&gt;"",'01_Input_Raw_Products'!F424,'01_Input_Raw_Products'!D424))</f>
        <v>0</v>
      </c>
      <c r="O424" s="9">
        <f>IF(C424="","","Catalog Automation")</f>
        <v>0</v>
      </c>
      <c r="P424" s="9">
        <f>'01_Input_Raw_Products'!U424</f>
        <v>0</v>
      </c>
      <c r="Q424" s="7">
        <f>IF('01_Input_Raw_Products'!O424&lt;&gt;"",'01_Input_Raw_Products'!O424,IF('01_Input_Raw_Products'!N424&lt;&gt;"",'01_Input_Raw_Products'!N424*1.1,""))</f>
        <v>0</v>
      </c>
      <c r="R424" s="9">
        <f>'01_Input_Raw_Products'!S424</f>
        <v>0</v>
      </c>
      <c r="S424" s="9" cm="1">
        <f t="array" ref="S424">IFERROR(_xlfn.XLOOKUP('01_Input_Raw_Products'!F424,'10_Master_Gem_Types'!A:A,'10_Master_Gem_Types'!H:H),"")</f>
        <v>0</v>
      </c>
      <c r="T424" s="8">
        <f>'01_Input_Raw_Products'!Q424</f>
        <v>0</v>
      </c>
      <c r="U424" s="8">
        <f>'01_Input_Raw_Products'!R424</f>
        <v>0</v>
      </c>
      <c r="V424" s="7">
        <f>I424</f>
        <v>0</v>
      </c>
      <c r="W424" s="9" cm="1">
        <f t="array" ref="W424">IF('01_Input_Raw_Products'!G424&lt;&gt;"",'01_Input_Raw_Products'!G424,IFERROR(_xlfn.XLOOKUP('01_Input_Raw_Products'!F424,'10_Master_Gem_Types'!A:A,'10_Master_Gem_Types'!L:L),""))</f>
        <v>0</v>
      </c>
      <c r="X424" s="9" cm="1">
        <f t="array" ref="X424">IFERROR(_xlfn.XLOOKUP('01_Input_Raw_Products'!F424,'10_Master_Gem_Types'!A:A,'10_Master_Gem_Types'!J:J),"")</f>
        <v>0</v>
      </c>
      <c r="Y424" s="9" cm="1">
        <f t="array" ref="Y424">IFERROR(_xlfn.XLOOKUP('01_Input_Raw_Products'!F424,'10_Master_Gem_Types'!A:A,'10_Master_Gem_Types'!I:I),"")</f>
        <v>0</v>
      </c>
      <c r="Z424" s="9" cm="1">
        <f t="array" ref="Z424">IFERROR(_xlfn.XLOOKUP('01_Input_Raw_Products'!L424,'13_Certification_Stickers'!A:A,'13_Certification_Stickers'!C:C),"")</f>
        <v>0</v>
      </c>
      <c r="AA424" s="9" cm="1">
        <f t="array" ref="AA424">IFERROR(_xlfn.XLOOKUP('01_Input_Raw_Products'!S424,'14_Shipping_Rules'!A:A,'14_Shipping_Rules'!B:B),"")</f>
        <v>0</v>
      </c>
      <c r="AB424" s="9" cm="1">
        <f t="array" ref="AB424">IFERROR(_xlfn.XLOOKUP('01_Input_Raw_Products'!D424,'16_Astro_Flags'!A:A,'16_Astro_Flags'!B:B),"")</f>
        <v>0</v>
      </c>
      <c r="AC424" s="9">
        <f>IF(C424="","","Catalog, Search")</f>
        <v>0</v>
      </c>
      <c r="AD424" s="9">
        <f>IF(C424="","",IF(OR(F424="",J424="",M424="",S424="",Y424=""),"Manual Review","Ready"))</f>
        <v>0</v>
      </c>
      <c r="AE424" s="9">
        <f>IF(C424="","",TEXTJOIN("; ",TRUE,IF(F424="","Missing url_key",""),IF(J424="","Missing classification",""),IF(M424="","Missing j_colour",""),IF(S424="","Missing hsn_code",""),IF(Y424="","Missing tax_class_id","")))</f>
        <v>0</v>
      </c>
    </row>
    <row r="425" spans="1:31">
      <c r="A425" s="9">
        <f>IF('01_Input_Raw_Products'!B425&lt;&gt;"",20,"")</f>
        <v>0</v>
      </c>
      <c r="B425" s="9" cm="1">
        <f t="array" ref="B425">IF('01_Input_Raw_Products'!M425&lt;&gt;"",'01_Input_Raw_Products'!M425,IFERROR(_xlfn.XLOOKUP('01_Input_Raw_Products'!F425,'10_Master_Gem_Types'!A:A,'10_Master_Gem_Types'!K:K),""))</f>
        <v>0</v>
      </c>
      <c r="C425" s="9">
        <f>'01_Input_Raw_Products'!B425</f>
        <v>0</v>
      </c>
      <c r="D425" s="9">
        <f>IF(C425="","",TEXT(I425,"0.00")&amp;" Ct "&amp;IF('01_Input_Raw_Products'!F425&lt;&gt;"",'01_Input_Raw_Products'!F425,'01_Input_Raw_Products'!D425)&amp;" "&amp;'01_Input_Raw_Products'!I425)</f>
        <v>0</v>
      </c>
      <c r="E425" s="9">
        <f>IF(C425="","",D425&amp;" | GemPundit")</f>
        <v>0</v>
      </c>
      <c r="F425" s="9" cm="1">
        <f t="array" ref="F425">IF('01_Input_Raw_Products'!X425&lt;&gt;"",'01_Input_Raw_Products'!X425,IFERROR(_xlfn.XLOOKUP('01_Input_Raw_Products'!F425,'10_Master_Gem_Types'!A:A,'10_Master_Gem_Types'!O:O),LOWER(SUBSTITUTE(IF('01_Input_Raw_Products'!F425&lt;&gt;"",'01_Input_Raw_Products'!F425,'01_Input_Raw_Products'!D425)," ","-"))))</f>
        <v>0</v>
      </c>
      <c r="G425" s="9">
        <f>'01_Input_Raw_Products'!C425</f>
        <v>0</v>
      </c>
      <c r="H425" s="9" cm="1">
        <f t="array" ref="H425">IF('01_Input_Raw_Products'!H425&lt;&gt;"",'01_Input_Raw_Products'!H425,IFERROR(_xlfn.XLOOKUP('01_Input_Raw_Products'!F425,'10_Master_Gem_Types'!A:A,'10_Master_Gem_Types'!D:D),""))</f>
        <v>0</v>
      </c>
      <c r="I425" s="7">
        <f>IF('01_Input_Raw_Products'!N425&lt;&gt;"",'01_Input_Raw_Products'!N425,IF('01_Input_Raw_Products'!O425&lt;&gt;"",'01_Input_Raw_Products'!O425*0.91,""))</f>
        <v>0</v>
      </c>
      <c r="J425" s="9" cm="1">
        <f t="array" ref="J425">IFERROR(_xlfn.XLOOKUP('01_Input_Raw_Products'!F425,'10_Master_Gem_Types'!A:A,'10_Master_Gem_Types'!N:N),"")</f>
        <v>0</v>
      </c>
      <c r="K425" s="9" cm="1">
        <f t="array" ref="K425">IF('01_Input_Raw_Products'!J425&lt;&gt;"",'01_Input_Raw_Products'!J425,IFERROR(_xlfn.XLOOKUP('01_Input_Raw_Products'!F425,'10_Master_Gem_Types'!A:A,'10_Master_Gem_Types'!E:E),""))</f>
        <v>0</v>
      </c>
      <c r="L425" s="9">
        <f>'01_Input_Raw_Products'!P425</f>
        <v>0</v>
      </c>
      <c r="M425" s="9" cm="1">
        <f t="array" ref="M425">IFERROR(_xlfn.XLOOKUP('01_Input_Raw_Products'!K425,'12_Color_Mapping'!A:A,'12_Color_Mapping'!B:B),IFERROR(_xlfn.XLOOKUP('01_Input_Raw_Products'!F425,'10_Master_Gem_Types'!A:A,'10_Master_Gem_Types'!F:F),""))</f>
        <v>0</v>
      </c>
      <c r="N425" s="9">
        <f>IF(C425="","",IF('01_Input_Raw_Products'!F425&lt;&gt;"",'01_Input_Raw_Products'!F425,'01_Input_Raw_Products'!D425))</f>
        <v>0</v>
      </c>
      <c r="O425" s="9">
        <f>IF(C425="","","Catalog Automation")</f>
        <v>0</v>
      </c>
      <c r="P425" s="9">
        <f>'01_Input_Raw_Products'!U425</f>
        <v>0</v>
      </c>
      <c r="Q425" s="7">
        <f>IF('01_Input_Raw_Products'!O425&lt;&gt;"",'01_Input_Raw_Products'!O425,IF('01_Input_Raw_Products'!N425&lt;&gt;"",'01_Input_Raw_Products'!N425*1.1,""))</f>
        <v>0</v>
      </c>
      <c r="R425" s="9">
        <f>'01_Input_Raw_Products'!S425</f>
        <v>0</v>
      </c>
      <c r="S425" s="9" cm="1">
        <f t="array" ref="S425">IFERROR(_xlfn.XLOOKUP('01_Input_Raw_Products'!F425,'10_Master_Gem_Types'!A:A,'10_Master_Gem_Types'!H:H),"")</f>
        <v>0</v>
      </c>
      <c r="T425" s="8">
        <f>'01_Input_Raw_Products'!Q425</f>
        <v>0</v>
      </c>
      <c r="U425" s="8">
        <f>'01_Input_Raw_Products'!R425</f>
        <v>0</v>
      </c>
      <c r="V425" s="7">
        <f>I425</f>
        <v>0</v>
      </c>
      <c r="W425" s="9" cm="1">
        <f t="array" ref="W425">IF('01_Input_Raw_Products'!G425&lt;&gt;"",'01_Input_Raw_Products'!G425,IFERROR(_xlfn.XLOOKUP('01_Input_Raw_Products'!F425,'10_Master_Gem_Types'!A:A,'10_Master_Gem_Types'!L:L),""))</f>
        <v>0</v>
      </c>
      <c r="X425" s="9" cm="1">
        <f t="array" ref="X425">IFERROR(_xlfn.XLOOKUP('01_Input_Raw_Products'!F425,'10_Master_Gem_Types'!A:A,'10_Master_Gem_Types'!J:J),"")</f>
        <v>0</v>
      </c>
      <c r="Y425" s="9" cm="1">
        <f t="array" ref="Y425">IFERROR(_xlfn.XLOOKUP('01_Input_Raw_Products'!F425,'10_Master_Gem_Types'!A:A,'10_Master_Gem_Types'!I:I),"")</f>
        <v>0</v>
      </c>
      <c r="Z425" s="9" cm="1">
        <f t="array" ref="Z425">IFERROR(_xlfn.XLOOKUP('01_Input_Raw_Products'!L425,'13_Certification_Stickers'!A:A,'13_Certification_Stickers'!C:C),"")</f>
        <v>0</v>
      </c>
      <c r="AA425" s="9" cm="1">
        <f t="array" ref="AA425">IFERROR(_xlfn.XLOOKUP('01_Input_Raw_Products'!S425,'14_Shipping_Rules'!A:A,'14_Shipping_Rules'!B:B),"")</f>
        <v>0</v>
      </c>
      <c r="AB425" s="9" cm="1">
        <f t="array" ref="AB425">IFERROR(_xlfn.XLOOKUP('01_Input_Raw_Products'!D425,'16_Astro_Flags'!A:A,'16_Astro_Flags'!B:B),"")</f>
        <v>0</v>
      </c>
      <c r="AC425" s="9">
        <f>IF(C425="","","Catalog, Search")</f>
        <v>0</v>
      </c>
      <c r="AD425" s="9">
        <f>IF(C425="","",IF(OR(F425="",J425="",M425="",S425="",Y425=""),"Manual Review","Ready"))</f>
        <v>0</v>
      </c>
      <c r="AE425" s="9">
        <f>IF(C425="","",TEXTJOIN("; ",TRUE,IF(F425="","Missing url_key",""),IF(J425="","Missing classification",""),IF(M425="","Missing j_colour",""),IF(S425="","Missing hsn_code",""),IF(Y425="","Missing tax_class_id","")))</f>
        <v>0</v>
      </c>
    </row>
    <row r="426" spans="1:31">
      <c r="A426" s="9">
        <f>IF('01_Input_Raw_Products'!B426&lt;&gt;"",20,"")</f>
        <v>0</v>
      </c>
      <c r="B426" s="9" cm="1">
        <f t="array" ref="B426">IF('01_Input_Raw_Products'!M426&lt;&gt;"",'01_Input_Raw_Products'!M426,IFERROR(_xlfn.XLOOKUP('01_Input_Raw_Products'!F426,'10_Master_Gem_Types'!A:A,'10_Master_Gem_Types'!K:K),""))</f>
        <v>0</v>
      </c>
      <c r="C426" s="9">
        <f>'01_Input_Raw_Products'!B426</f>
        <v>0</v>
      </c>
      <c r="D426" s="9">
        <f>IF(C426="","",TEXT(I426,"0.00")&amp;" Ct "&amp;IF('01_Input_Raw_Products'!F426&lt;&gt;"",'01_Input_Raw_Products'!F426,'01_Input_Raw_Products'!D426)&amp;" "&amp;'01_Input_Raw_Products'!I426)</f>
        <v>0</v>
      </c>
      <c r="E426" s="9">
        <f>IF(C426="","",D426&amp;" | GemPundit")</f>
        <v>0</v>
      </c>
      <c r="F426" s="9" cm="1">
        <f t="array" ref="F426">IF('01_Input_Raw_Products'!X426&lt;&gt;"",'01_Input_Raw_Products'!X426,IFERROR(_xlfn.XLOOKUP('01_Input_Raw_Products'!F426,'10_Master_Gem_Types'!A:A,'10_Master_Gem_Types'!O:O),LOWER(SUBSTITUTE(IF('01_Input_Raw_Products'!F426&lt;&gt;"",'01_Input_Raw_Products'!F426,'01_Input_Raw_Products'!D426)," ","-"))))</f>
        <v>0</v>
      </c>
      <c r="G426" s="9">
        <f>'01_Input_Raw_Products'!C426</f>
        <v>0</v>
      </c>
      <c r="H426" s="9" cm="1">
        <f t="array" ref="H426">IF('01_Input_Raw_Products'!H426&lt;&gt;"",'01_Input_Raw_Products'!H426,IFERROR(_xlfn.XLOOKUP('01_Input_Raw_Products'!F426,'10_Master_Gem_Types'!A:A,'10_Master_Gem_Types'!D:D),""))</f>
        <v>0</v>
      </c>
      <c r="I426" s="7">
        <f>IF('01_Input_Raw_Products'!N426&lt;&gt;"",'01_Input_Raw_Products'!N426,IF('01_Input_Raw_Products'!O426&lt;&gt;"",'01_Input_Raw_Products'!O426*0.91,""))</f>
        <v>0</v>
      </c>
      <c r="J426" s="9" cm="1">
        <f t="array" ref="J426">IFERROR(_xlfn.XLOOKUP('01_Input_Raw_Products'!F426,'10_Master_Gem_Types'!A:A,'10_Master_Gem_Types'!N:N),"")</f>
        <v>0</v>
      </c>
      <c r="K426" s="9" cm="1">
        <f t="array" ref="K426">IF('01_Input_Raw_Products'!J426&lt;&gt;"",'01_Input_Raw_Products'!J426,IFERROR(_xlfn.XLOOKUP('01_Input_Raw_Products'!F426,'10_Master_Gem_Types'!A:A,'10_Master_Gem_Types'!E:E),""))</f>
        <v>0</v>
      </c>
      <c r="L426" s="9">
        <f>'01_Input_Raw_Products'!P426</f>
        <v>0</v>
      </c>
      <c r="M426" s="9" cm="1">
        <f t="array" ref="M426">IFERROR(_xlfn.XLOOKUP('01_Input_Raw_Products'!K426,'12_Color_Mapping'!A:A,'12_Color_Mapping'!B:B),IFERROR(_xlfn.XLOOKUP('01_Input_Raw_Products'!F426,'10_Master_Gem_Types'!A:A,'10_Master_Gem_Types'!F:F),""))</f>
        <v>0</v>
      </c>
      <c r="N426" s="9">
        <f>IF(C426="","",IF('01_Input_Raw_Products'!F426&lt;&gt;"",'01_Input_Raw_Products'!F426,'01_Input_Raw_Products'!D426))</f>
        <v>0</v>
      </c>
      <c r="O426" s="9">
        <f>IF(C426="","","Catalog Automation")</f>
        <v>0</v>
      </c>
      <c r="P426" s="9">
        <f>'01_Input_Raw_Products'!U426</f>
        <v>0</v>
      </c>
      <c r="Q426" s="7">
        <f>IF('01_Input_Raw_Products'!O426&lt;&gt;"",'01_Input_Raw_Products'!O426,IF('01_Input_Raw_Products'!N426&lt;&gt;"",'01_Input_Raw_Products'!N426*1.1,""))</f>
        <v>0</v>
      </c>
      <c r="R426" s="9">
        <f>'01_Input_Raw_Products'!S426</f>
        <v>0</v>
      </c>
      <c r="S426" s="9" cm="1">
        <f t="array" ref="S426">IFERROR(_xlfn.XLOOKUP('01_Input_Raw_Products'!F426,'10_Master_Gem_Types'!A:A,'10_Master_Gem_Types'!H:H),"")</f>
        <v>0</v>
      </c>
      <c r="T426" s="8">
        <f>'01_Input_Raw_Products'!Q426</f>
        <v>0</v>
      </c>
      <c r="U426" s="8">
        <f>'01_Input_Raw_Products'!R426</f>
        <v>0</v>
      </c>
      <c r="V426" s="7">
        <f>I426</f>
        <v>0</v>
      </c>
      <c r="W426" s="9" cm="1">
        <f t="array" ref="W426">IF('01_Input_Raw_Products'!G426&lt;&gt;"",'01_Input_Raw_Products'!G426,IFERROR(_xlfn.XLOOKUP('01_Input_Raw_Products'!F426,'10_Master_Gem_Types'!A:A,'10_Master_Gem_Types'!L:L),""))</f>
        <v>0</v>
      </c>
      <c r="X426" s="9" cm="1">
        <f t="array" ref="X426">IFERROR(_xlfn.XLOOKUP('01_Input_Raw_Products'!F426,'10_Master_Gem_Types'!A:A,'10_Master_Gem_Types'!J:J),"")</f>
        <v>0</v>
      </c>
      <c r="Y426" s="9" cm="1">
        <f t="array" ref="Y426">IFERROR(_xlfn.XLOOKUP('01_Input_Raw_Products'!F426,'10_Master_Gem_Types'!A:A,'10_Master_Gem_Types'!I:I),"")</f>
        <v>0</v>
      </c>
      <c r="Z426" s="9" cm="1">
        <f t="array" ref="Z426">IFERROR(_xlfn.XLOOKUP('01_Input_Raw_Products'!L426,'13_Certification_Stickers'!A:A,'13_Certification_Stickers'!C:C),"")</f>
        <v>0</v>
      </c>
      <c r="AA426" s="9" cm="1">
        <f t="array" ref="AA426">IFERROR(_xlfn.XLOOKUP('01_Input_Raw_Products'!S426,'14_Shipping_Rules'!A:A,'14_Shipping_Rules'!B:B),"")</f>
        <v>0</v>
      </c>
      <c r="AB426" s="9" cm="1">
        <f t="array" ref="AB426">IFERROR(_xlfn.XLOOKUP('01_Input_Raw_Products'!D426,'16_Astro_Flags'!A:A,'16_Astro_Flags'!B:B),"")</f>
        <v>0</v>
      </c>
      <c r="AC426" s="9">
        <f>IF(C426="","","Catalog, Search")</f>
        <v>0</v>
      </c>
      <c r="AD426" s="9">
        <f>IF(C426="","",IF(OR(F426="",J426="",M426="",S426="",Y426=""),"Manual Review","Ready"))</f>
        <v>0</v>
      </c>
      <c r="AE426" s="9">
        <f>IF(C426="","",TEXTJOIN("; ",TRUE,IF(F426="","Missing url_key",""),IF(J426="","Missing classification",""),IF(M426="","Missing j_colour",""),IF(S426="","Missing hsn_code",""),IF(Y426="","Missing tax_class_id","")))</f>
        <v>0</v>
      </c>
    </row>
    <row r="427" spans="1:31">
      <c r="A427" s="9">
        <f>IF('01_Input_Raw_Products'!B427&lt;&gt;"",20,"")</f>
        <v>0</v>
      </c>
      <c r="B427" s="9" cm="1">
        <f t="array" ref="B427">IF('01_Input_Raw_Products'!M427&lt;&gt;"",'01_Input_Raw_Products'!M427,IFERROR(_xlfn.XLOOKUP('01_Input_Raw_Products'!F427,'10_Master_Gem_Types'!A:A,'10_Master_Gem_Types'!K:K),""))</f>
        <v>0</v>
      </c>
      <c r="C427" s="9">
        <f>'01_Input_Raw_Products'!B427</f>
        <v>0</v>
      </c>
      <c r="D427" s="9">
        <f>IF(C427="","",TEXT(I427,"0.00")&amp;" Ct "&amp;IF('01_Input_Raw_Products'!F427&lt;&gt;"",'01_Input_Raw_Products'!F427,'01_Input_Raw_Products'!D427)&amp;" "&amp;'01_Input_Raw_Products'!I427)</f>
        <v>0</v>
      </c>
      <c r="E427" s="9">
        <f>IF(C427="","",D427&amp;" | GemPundit")</f>
        <v>0</v>
      </c>
      <c r="F427" s="9" cm="1">
        <f t="array" ref="F427">IF('01_Input_Raw_Products'!X427&lt;&gt;"",'01_Input_Raw_Products'!X427,IFERROR(_xlfn.XLOOKUP('01_Input_Raw_Products'!F427,'10_Master_Gem_Types'!A:A,'10_Master_Gem_Types'!O:O),LOWER(SUBSTITUTE(IF('01_Input_Raw_Products'!F427&lt;&gt;"",'01_Input_Raw_Products'!F427,'01_Input_Raw_Products'!D427)," ","-"))))</f>
        <v>0</v>
      </c>
      <c r="G427" s="9">
        <f>'01_Input_Raw_Products'!C427</f>
        <v>0</v>
      </c>
      <c r="H427" s="9" cm="1">
        <f t="array" ref="H427">IF('01_Input_Raw_Products'!H427&lt;&gt;"",'01_Input_Raw_Products'!H427,IFERROR(_xlfn.XLOOKUP('01_Input_Raw_Products'!F427,'10_Master_Gem_Types'!A:A,'10_Master_Gem_Types'!D:D),""))</f>
        <v>0</v>
      </c>
      <c r="I427" s="7">
        <f>IF('01_Input_Raw_Products'!N427&lt;&gt;"",'01_Input_Raw_Products'!N427,IF('01_Input_Raw_Products'!O427&lt;&gt;"",'01_Input_Raw_Products'!O427*0.91,""))</f>
        <v>0</v>
      </c>
      <c r="J427" s="9" cm="1">
        <f t="array" ref="J427">IFERROR(_xlfn.XLOOKUP('01_Input_Raw_Products'!F427,'10_Master_Gem_Types'!A:A,'10_Master_Gem_Types'!N:N),"")</f>
        <v>0</v>
      </c>
      <c r="K427" s="9" cm="1">
        <f t="array" ref="K427">IF('01_Input_Raw_Products'!J427&lt;&gt;"",'01_Input_Raw_Products'!J427,IFERROR(_xlfn.XLOOKUP('01_Input_Raw_Products'!F427,'10_Master_Gem_Types'!A:A,'10_Master_Gem_Types'!E:E),""))</f>
        <v>0</v>
      </c>
      <c r="L427" s="9">
        <f>'01_Input_Raw_Products'!P427</f>
        <v>0</v>
      </c>
      <c r="M427" s="9" cm="1">
        <f t="array" ref="M427">IFERROR(_xlfn.XLOOKUP('01_Input_Raw_Products'!K427,'12_Color_Mapping'!A:A,'12_Color_Mapping'!B:B),IFERROR(_xlfn.XLOOKUP('01_Input_Raw_Products'!F427,'10_Master_Gem_Types'!A:A,'10_Master_Gem_Types'!F:F),""))</f>
        <v>0</v>
      </c>
      <c r="N427" s="9">
        <f>IF(C427="","",IF('01_Input_Raw_Products'!F427&lt;&gt;"",'01_Input_Raw_Products'!F427,'01_Input_Raw_Products'!D427))</f>
        <v>0</v>
      </c>
      <c r="O427" s="9">
        <f>IF(C427="","","Catalog Automation")</f>
        <v>0</v>
      </c>
      <c r="P427" s="9">
        <f>'01_Input_Raw_Products'!U427</f>
        <v>0</v>
      </c>
      <c r="Q427" s="7">
        <f>IF('01_Input_Raw_Products'!O427&lt;&gt;"",'01_Input_Raw_Products'!O427,IF('01_Input_Raw_Products'!N427&lt;&gt;"",'01_Input_Raw_Products'!N427*1.1,""))</f>
        <v>0</v>
      </c>
      <c r="R427" s="9">
        <f>'01_Input_Raw_Products'!S427</f>
        <v>0</v>
      </c>
      <c r="S427" s="9" cm="1">
        <f t="array" ref="S427">IFERROR(_xlfn.XLOOKUP('01_Input_Raw_Products'!F427,'10_Master_Gem_Types'!A:A,'10_Master_Gem_Types'!H:H),"")</f>
        <v>0</v>
      </c>
      <c r="T427" s="8">
        <f>'01_Input_Raw_Products'!Q427</f>
        <v>0</v>
      </c>
      <c r="U427" s="8">
        <f>'01_Input_Raw_Products'!R427</f>
        <v>0</v>
      </c>
      <c r="V427" s="7">
        <f>I427</f>
        <v>0</v>
      </c>
      <c r="W427" s="9" cm="1">
        <f t="array" ref="W427">IF('01_Input_Raw_Products'!G427&lt;&gt;"",'01_Input_Raw_Products'!G427,IFERROR(_xlfn.XLOOKUP('01_Input_Raw_Products'!F427,'10_Master_Gem_Types'!A:A,'10_Master_Gem_Types'!L:L),""))</f>
        <v>0</v>
      </c>
      <c r="X427" s="9" cm="1">
        <f t="array" ref="X427">IFERROR(_xlfn.XLOOKUP('01_Input_Raw_Products'!F427,'10_Master_Gem_Types'!A:A,'10_Master_Gem_Types'!J:J),"")</f>
        <v>0</v>
      </c>
      <c r="Y427" s="9" cm="1">
        <f t="array" ref="Y427">IFERROR(_xlfn.XLOOKUP('01_Input_Raw_Products'!F427,'10_Master_Gem_Types'!A:A,'10_Master_Gem_Types'!I:I),"")</f>
        <v>0</v>
      </c>
      <c r="Z427" s="9" cm="1">
        <f t="array" ref="Z427">IFERROR(_xlfn.XLOOKUP('01_Input_Raw_Products'!L427,'13_Certification_Stickers'!A:A,'13_Certification_Stickers'!C:C),"")</f>
        <v>0</v>
      </c>
      <c r="AA427" s="9" cm="1">
        <f t="array" ref="AA427">IFERROR(_xlfn.XLOOKUP('01_Input_Raw_Products'!S427,'14_Shipping_Rules'!A:A,'14_Shipping_Rules'!B:B),"")</f>
        <v>0</v>
      </c>
      <c r="AB427" s="9" cm="1">
        <f t="array" ref="AB427">IFERROR(_xlfn.XLOOKUP('01_Input_Raw_Products'!D427,'16_Astro_Flags'!A:A,'16_Astro_Flags'!B:B),"")</f>
        <v>0</v>
      </c>
      <c r="AC427" s="9">
        <f>IF(C427="","","Catalog, Search")</f>
        <v>0</v>
      </c>
      <c r="AD427" s="9">
        <f>IF(C427="","",IF(OR(F427="",J427="",M427="",S427="",Y427=""),"Manual Review","Ready"))</f>
        <v>0</v>
      </c>
      <c r="AE427" s="9">
        <f>IF(C427="","",TEXTJOIN("; ",TRUE,IF(F427="","Missing url_key",""),IF(J427="","Missing classification",""),IF(M427="","Missing j_colour",""),IF(S427="","Missing hsn_code",""),IF(Y427="","Missing tax_class_id","")))</f>
        <v>0</v>
      </c>
    </row>
    <row r="428" spans="1:31">
      <c r="A428" s="9">
        <f>IF('01_Input_Raw_Products'!B428&lt;&gt;"",20,"")</f>
        <v>0</v>
      </c>
      <c r="B428" s="9" cm="1">
        <f t="array" ref="B428">IF('01_Input_Raw_Products'!M428&lt;&gt;"",'01_Input_Raw_Products'!M428,IFERROR(_xlfn.XLOOKUP('01_Input_Raw_Products'!F428,'10_Master_Gem_Types'!A:A,'10_Master_Gem_Types'!K:K),""))</f>
        <v>0</v>
      </c>
      <c r="C428" s="9">
        <f>'01_Input_Raw_Products'!B428</f>
        <v>0</v>
      </c>
      <c r="D428" s="9">
        <f>IF(C428="","",TEXT(I428,"0.00")&amp;" Ct "&amp;IF('01_Input_Raw_Products'!F428&lt;&gt;"",'01_Input_Raw_Products'!F428,'01_Input_Raw_Products'!D428)&amp;" "&amp;'01_Input_Raw_Products'!I428)</f>
        <v>0</v>
      </c>
      <c r="E428" s="9">
        <f>IF(C428="","",D428&amp;" | GemPundit")</f>
        <v>0</v>
      </c>
      <c r="F428" s="9" cm="1">
        <f t="array" ref="F428">IF('01_Input_Raw_Products'!X428&lt;&gt;"",'01_Input_Raw_Products'!X428,IFERROR(_xlfn.XLOOKUP('01_Input_Raw_Products'!F428,'10_Master_Gem_Types'!A:A,'10_Master_Gem_Types'!O:O),LOWER(SUBSTITUTE(IF('01_Input_Raw_Products'!F428&lt;&gt;"",'01_Input_Raw_Products'!F428,'01_Input_Raw_Products'!D428)," ","-"))))</f>
        <v>0</v>
      </c>
      <c r="G428" s="9">
        <f>'01_Input_Raw_Products'!C428</f>
        <v>0</v>
      </c>
      <c r="H428" s="9" cm="1">
        <f t="array" ref="H428">IF('01_Input_Raw_Products'!H428&lt;&gt;"",'01_Input_Raw_Products'!H428,IFERROR(_xlfn.XLOOKUP('01_Input_Raw_Products'!F428,'10_Master_Gem_Types'!A:A,'10_Master_Gem_Types'!D:D),""))</f>
        <v>0</v>
      </c>
      <c r="I428" s="7">
        <f>IF('01_Input_Raw_Products'!N428&lt;&gt;"",'01_Input_Raw_Products'!N428,IF('01_Input_Raw_Products'!O428&lt;&gt;"",'01_Input_Raw_Products'!O428*0.91,""))</f>
        <v>0</v>
      </c>
      <c r="J428" s="9" cm="1">
        <f t="array" ref="J428">IFERROR(_xlfn.XLOOKUP('01_Input_Raw_Products'!F428,'10_Master_Gem_Types'!A:A,'10_Master_Gem_Types'!N:N),"")</f>
        <v>0</v>
      </c>
      <c r="K428" s="9" cm="1">
        <f t="array" ref="K428">IF('01_Input_Raw_Products'!J428&lt;&gt;"",'01_Input_Raw_Products'!J428,IFERROR(_xlfn.XLOOKUP('01_Input_Raw_Products'!F428,'10_Master_Gem_Types'!A:A,'10_Master_Gem_Types'!E:E),""))</f>
        <v>0</v>
      </c>
      <c r="L428" s="9">
        <f>'01_Input_Raw_Products'!P428</f>
        <v>0</v>
      </c>
      <c r="M428" s="9" cm="1">
        <f t="array" ref="M428">IFERROR(_xlfn.XLOOKUP('01_Input_Raw_Products'!K428,'12_Color_Mapping'!A:A,'12_Color_Mapping'!B:B),IFERROR(_xlfn.XLOOKUP('01_Input_Raw_Products'!F428,'10_Master_Gem_Types'!A:A,'10_Master_Gem_Types'!F:F),""))</f>
        <v>0</v>
      </c>
      <c r="N428" s="9">
        <f>IF(C428="","",IF('01_Input_Raw_Products'!F428&lt;&gt;"",'01_Input_Raw_Products'!F428,'01_Input_Raw_Products'!D428))</f>
        <v>0</v>
      </c>
      <c r="O428" s="9">
        <f>IF(C428="","","Catalog Automation")</f>
        <v>0</v>
      </c>
      <c r="P428" s="9">
        <f>'01_Input_Raw_Products'!U428</f>
        <v>0</v>
      </c>
      <c r="Q428" s="7">
        <f>IF('01_Input_Raw_Products'!O428&lt;&gt;"",'01_Input_Raw_Products'!O428,IF('01_Input_Raw_Products'!N428&lt;&gt;"",'01_Input_Raw_Products'!N428*1.1,""))</f>
        <v>0</v>
      </c>
      <c r="R428" s="9">
        <f>'01_Input_Raw_Products'!S428</f>
        <v>0</v>
      </c>
      <c r="S428" s="9" cm="1">
        <f t="array" ref="S428">IFERROR(_xlfn.XLOOKUP('01_Input_Raw_Products'!F428,'10_Master_Gem_Types'!A:A,'10_Master_Gem_Types'!H:H),"")</f>
        <v>0</v>
      </c>
      <c r="T428" s="8">
        <f>'01_Input_Raw_Products'!Q428</f>
        <v>0</v>
      </c>
      <c r="U428" s="8">
        <f>'01_Input_Raw_Products'!R428</f>
        <v>0</v>
      </c>
      <c r="V428" s="7">
        <f>I428</f>
        <v>0</v>
      </c>
      <c r="W428" s="9" cm="1">
        <f t="array" ref="W428">IF('01_Input_Raw_Products'!G428&lt;&gt;"",'01_Input_Raw_Products'!G428,IFERROR(_xlfn.XLOOKUP('01_Input_Raw_Products'!F428,'10_Master_Gem_Types'!A:A,'10_Master_Gem_Types'!L:L),""))</f>
        <v>0</v>
      </c>
      <c r="X428" s="9" cm="1">
        <f t="array" ref="X428">IFERROR(_xlfn.XLOOKUP('01_Input_Raw_Products'!F428,'10_Master_Gem_Types'!A:A,'10_Master_Gem_Types'!J:J),"")</f>
        <v>0</v>
      </c>
      <c r="Y428" s="9" cm="1">
        <f t="array" ref="Y428">IFERROR(_xlfn.XLOOKUP('01_Input_Raw_Products'!F428,'10_Master_Gem_Types'!A:A,'10_Master_Gem_Types'!I:I),"")</f>
        <v>0</v>
      </c>
      <c r="Z428" s="9" cm="1">
        <f t="array" ref="Z428">IFERROR(_xlfn.XLOOKUP('01_Input_Raw_Products'!L428,'13_Certification_Stickers'!A:A,'13_Certification_Stickers'!C:C),"")</f>
        <v>0</v>
      </c>
      <c r="AA428" s="9" cm="1">
        <f t="array" ref="AA428">IFERROR(_xlfn.XLOOKUP('01_Input_Raw_Products'!S428,'14_Shipping_Rules'!A:A,'14_Shipping_Rules'!B:B),"")</f>
        <v>0</v>
      </c>
      <c r="AB428" s="9" cm="1">
        <f t="array" ref="AB428">IFERROR(_xlfn.XLOOKUP('01_Input_Raw_Products'!D428,'16_Astro_Flags'!A:A,'16_Astro_Flags'!B:B),"")</f>
        <v>0</v>
      </c>
      <c r="AC428" s="9">
        <f>IF(C428="","","Catalog, Search")</f>
        <v>0</v>
      </c>
      <c r="AD428" s="9">
        <f>IF(C428="","",IF(OR(F428="",J428="",M428="",S428="",Y428=""),"Manual Review","Ready"))</f>
        <v>0</v>
      </c>
      <c r="AE428" s="9">
        <f>IF(C428="","",TEXTJOIN("; ",TRUE,IF(F428="","Missing url_key",""),IF(J428="","Missing classification",""),IF(M428="","Missing j_colour",""),IF(S428="","Missing hsn_code",""),IF(Y428="","Missing tax_class_id","")))</f>
        <v>0</v>
      </c>
    </row>
    <row r="429" spans="1:31">
      <c r="A429" s="9">
        <f>IF('01_Input_Raw_Products'!B429&lt;&gt;"",20,"")</f>
        <v>0</v>
      </c>
      <c r="B429" s="9" cm="1">
        <f t="array" ref="B429">IF('01_Input_Raw_Products'!M429&lt;&gt;"",'01_Input_Raw_Products'!M429,IFERROR(_xlfn.XLOOKUP('01_Input_Raw_Products'!F429,'10_Master_Gem_Types'!A:A,'10_Master_Gem_Types'!K:K),""))</f>
        <v>0</v>
      </c>
      <c r="C429" s="9">
        <f>'01_Input_Raw_Products'!B429</f>
        <v>0</v>
      </c>
      <c r="D429" s="9">
        <f>IF(C429="","",TEXT(I429,"0.00")&amp;" Ct "&amp;IF('01_Input_Raw_Products'!F429&lt;&gt;"",'01_Input_Raw_Products'!F429,'01_Input_Raw_Products'!D429)&amp;" "&amp;'01_Input_Raw_Products'!I429)</f>
        <v>0</v>
      </c>
      <c r="E429" s="9">
        <f>IF(C429="","",D429&amp;" | GemPundit")</f>
        <v>0</v>
      </c>
      <c r="F429" s="9" cm="1">
        <f t="array" ref="F429">IF('01_Input_Raw_Products'!X429&lt;&gt;"",'01_Input_Raw_Products'!X429,IFERROR(_xlfn.XLOOKUP('01_Input_Raw_Products'!F429,'10_Master_Gem_Types'!A:A,'10_Master_Gem_Types'!O:O),LOWER(SUBSTITUTE(IF('01_Input_Raw_Products'!F429&lt;&gt;"",'01_Input_Raw_Products'!F429,'01_Input_Raw_Products'!D429)," ","-"))))</f>
        <v>0</v>
      </c>
      <c r="G429" s="9">
        <f>'01_Input_Raw_Products'!C429</f>
        <v>0</v>
      </c>
      <c r="H429" s="9" cm="1">
        <f t="array" ref="H429">IF('01_Input_Raw_Products'!H429&lt;&gt;"",'01_Input_Raw_Products'!H429,IFERROR(_xlfn.XLOOKUP('01_Input_Raw_Products'!F429,'10_Master_Gem_Types'!A:A,'10_Master_Gem_Types'!D:D),""))</f>
        <v>0</v>
      </c>
      <c r="I429" s="7">
        <f>IF('01_Input_Raw_Products'!N429&lt;&gt;"",'01_Input_Raw_Products'!N429,IF('01_Input_Raw_Products'!O429&lt;&gt;"",'01_Input_Raw_Products'!O429*0.91,""))</f>
        <v>0</v>
      </c>
      <c r="J429" s="9" cm="1">
        <f t="array" ref="J429">IFERROR(_xlfn.XLOOKUP('01_Input_Raw_Products'!F429,'10_Master_Gem_Types'!A:A,'10_Master_Gem_Types'!N:N),"")</f>
        <v>0</v>
      </c>
      <c r="K429" s="9" cm="1">
        <f t="array" ref="K429">IF('01_Input_Raw_Products'!J429&lt;&gt;"",'01_Input_Raw_Products'!J429,IFERROR(_xlfn.XLOOKUP('01_Input_Raw_Products'!F429,'10_Master_Gem_Types'!A:A,'10_Master_Gem_Types'!E:E),""))</f>
        <v>0</v>
      </c>
      <c r="L429" s="9">
        <f>'01_Input_Raw_Products'!P429</f>
        <v>0</v>
      </c>
      <c r="M429" s="9" cm="1">
        <f t="array" ref="M429">IFERROR(_xlfn.XLOOKUP('01_Input_Raw_Products'!K429,'12_Color_Mapping'!A:A,'12_Color_Mapping'!B:B),IFERROR(_xlfn.XLOOKUP('01_Input_Raw_Products'!F429,'10_Master_Gem_Types'!A:A,'10_Master_Gem_Types'!F:F),""))</f>
        <v>0</v>
      </c>
      <c r="N429" s="9">
        <f>IF(C429="","",IF('01_Input_Raw_Products'!F429&lt;&gt;"",'01_Input_Raw_Products'!F429,'01_Input_Raw_Products'!D429))</f>
        <v>0</v>
      </c>
      <c r="O429" s="9">
        <f>IF(C429="","","Catalog Automation")</f>
        <v>0</v>
      </c>
      <c r="P429" s="9">
        <f>'01_Input_Raw_Products'!U429</f>
        <v>0</v>
      </c>
      <c r="Q429" s="7">
        <f>IF('01_Input_Raw_Products'!O429&lt;&gt;"",'01_Input_Raw_Products'!O429,IF('01_Input_Raw_Products'!N429&lt;&gt;"",'01_Input_Raw_Products'!N429*1.1,""))</f>
        <v>0</v>
      </c>
      <c r="R429" s="9">
        <f>'01_Input_Raw_Products'!S429</f>
        <v>0</v>
      </c>
      <c r="S429" s="9" cm="1">
        <f t="array" ref="S429">IFERROR(_xlfn.XLOOKUP('01_Input_Raw_Products'!F429,'10_Master_Gem_Types'!A:A,'10_Master_Gem_Types'!H:H),"")</f>
        <v>0</v>
      </c>
      <c r="T429" s="8">
        <f>'01_Input_Raw_Products'!Q429</f>
        <v>0</v>
      </c>
      <c r="U429" s="8">
        <f>'01_Input_Raw_Products'!R429</f>
        <v>0</v>
      </c>
      <c r="V429" s="7">
        <f>I429</f>
        <v>0</v>
      </c>
      <c r="W429" s="9" cm="1">
        <f t="array" ref="W429">IF('01_Input_Raw_Products'!G429&lt;&gt;"",'01_Input_Raw_Products'!G429,IFERROR(_xlfn.XLOOKUP('01_Input_Raw_Products'!F429,'10_Master_Gem_Types'!A:A,'10_Master_Gem_Types'!L:L),""))</f>
        <v>0</v>
      </c>
      <c r="X429" s="9" cm="1">
        <f t="array" ref="X429">IFERROR(_xlfn.XLOOKUP('01_Input_Raw_Products'!F429,'10_Master_Gem_Types'!A:A,'10_Master_Gem_Types'!J:J),"")</f>
        <v>0</v>
      </c>
      <c r="Y429" s="9" cm="1">
        <f t="array" ref="Y429">IFERROR(_xlfn.XLOOKUP('01_Input_Raw_Products'!F429,'10_Master_Gem_Types'!A:A,'10_Master_Gem_Types'!I:I),"")</f>
        <v>0</v>
      </c>
      <c r="Z429" s="9" cm="1">
        <f t="array" ref="Z429">IFERROR(_xlfn.XLOOKUP('01_Input_Raw_Products'!L429,'13_Certification_Stickers'!A:A,'13_Certification_Stickers'!C:C),"")</f>
        <v>0</v>
      </c>
      <c r="AA429" s="9" cm="1">
        <f t="array" ref="AA429">IFERROR(_xlfn.XLOOKUP('01_Input_Raw_Products'!S429,'14_Shipping_Rules'!A:A,'14_Shipping_Rules'!B:B),"")</f>
        <v>0</v>
      </c>
      <c r="AB429" s="9" cm="1">
        <f t="array" ref="AB429">IFERROR(_xlfn.XLOOKUP('01_Input_Raw_Products'!D429,'16_Astro_Flags'!A:A,'16_Astro_Flags'!B:B),"")</f>
        <v>0</v>
      </c>
      <c r="AC429" s="9">
        <f>IF(C429="","","Catalog, Search")</f>
        <v>0</v>
      </c>
      <c r="AD429" s="9">
        <f>IF(C429="","",IF(OR(F429="",J429="",M429="",S429="",Y429=""),"Manual Review","Ready"))</f>
        <v>0</v>
      </c>
      <c r="AE429" s="9">
        <f>IF(C429="","",TEXTJOIN("; ",TRUE,IF(F429="","Missing url_key",""),IF(J429="","Missing classification",""),IF(M429="","Missing j_colour",""),IF(S429="","Missing hsn_code",""),IF(Y429="","Missing tax_class_id","")))</f>
        <v>0</v>
      </c>
    </row>
    <row r="430" spans="1:31">
      <c r="A430" s="9">
        <f>IF('01_Input_Raw_Products'!B430&lt;&gt;"",20,"")</f>
        <v>0</v>
      </c>
      <c r="B430" s="9" cm="1">
        <f t="array" ref="B430">IF('01_Input_Raw_Products'!M430&lt;&gt;"",'01_Input_Raw_Products'!M430,IFERROR(_xlfn.XLOOKUP('01_Input_Raw_Products'!F430,'10_Master_Gem_Types'!A:A,'10_Master_Gem_Types'!K:K),""))</f>
        <v>0</v>
      </c>
      <c r="C430" s="9">
        <f>'01_Input_Raw_Products'!B430</f>
        <v>0</v>
      </c>
      <c r="D430" s="9">
        <f>IF(C430="","",TEXT(I430,"0.00")&amp;" Ct "&amp;IF('01_Input_Raw_Products'!F430&lt;&gt;"",'01_Input_Raw_Products'!F430,'01_Input_Raw_Products'!D430)&amp;" "&amp;'01_Input_Raw_Products'!I430)</f>
        <v>0</v>
      </c>
      <c r="E430" s="9">
        <f>IF(C430="","",D430&amp;" | GemPundit")</f>
        <v>0</v>
      </c>
      <c r="F430" s="9" cm="1">
        <f t="array" ref="F430">IF('01_Input_Raw_Products'!X430&lt;&gt;"",'01_Input_Raw_Products'!X430,IFERROR(_xlfn.XLOOKUP('01_Input_Raw_Products'!F430,'10_Master_Gem_Types'!A:A,'10_Master_Gem_Types'!O:O),LOWER(SUBSTITUTE(IF('01_Input_Raw_Products'!F430&lt;&gt;"",'01_Input_Raw_Products'!F430,'01_Input_Raw_Products'!D430)," ","-"))))</f>
        <v>0</v>
      </c>
      <c r="G430" s="9">
        <f>'01_Input_Raw_Products'!C430</f>
        <v>0</v>
      </c>
      <c r="H430" s="9" cm="1">
        <f t="array" ref="H430">IF('01_Input_Raw_Products'!H430&lt;&gt;"",'01_Input_Raw_Products'!H430,IFERROR(_xlfn.XLOOKUP('01_Input_Raw_Products'!F430,'10_Master_Gem_Types'!A:A,'10_Master_Gem_Types'!D:D),""))</f>
        <v>0</v>
      </c>
      <c r="I430" s="7">
        <f>IF('01_Input_Raw_Products'!N430&lt;&gt;"",'01_Input_Raw_Products'!N430,IF('01_Input_Raw_Products'!O430&lt;&gt;"",'01_Input_Raw_Products'!O430*0.91,""))</f>
        <v>0</v>
      </c>
      <c r="J430" s="9" cm="1">
        <f t="array" ref="J430">IFERROR(_xlfn.XLOOKUP('01_Input_Raw_Products'!F430,'10_Master_Gem_Types'!A:A,'10_Master_Gem_Types'!N:N),"")</f>
        <v>0</v>
      </c>
      <c r="K430" s="9" cm="1">
        <f t="array" ref="K430">IF('01_Input_Raw_Products'!J430&lt;&gt;"",'01_Input_Raw_Products'!J430,IFERROR(_xlfn.XLOOKUP('01_Input_Raw_Products'!F430,'10_Master_Gem_Types'!A:A,'10_Master_Gem_Types'!E:E),""))</f>
        <v>0</v>
      </c>
      <c r="L430" s="9">
        <f>'01_Input_Raw_Products'!P430</f>
        <v>0</v>
      </c>
      <c r="M430" s="9" cm="1">
        <f t="array" ref="M430">IFERROR(_xlfn.XLOOKUP('01_Input_Raw_Products'!K430,'12_Color_Mapping'!A:A,'12_Color_Mapping'!B:B),IFERROR(_xlfn.XLOOKUP('01_Input_Raw_Products'!F430,'10_Master_Gem_Types'!A:A,'10_Master_Gem_Types'!F:F),""))</f>
        <v>0</v>
      </c>
      <c r="N430" s="9">
        <f>IF(C430="","",IF('01_Input_Raw_Products'!F430&lt;&gt;"",'01_Input_Raw_Products'!F430,'01_Input_Raw_Products'!D430))</f>
        <v>0</v>
      </c>
      <c r="O430" s="9">
        <f>IF(C430="","","Catalog Automation")</f>
        <v>0</v>
      </c>
      <c r="P430" s="9">
        <f>'01_Input_Raw_Products'!U430</f>
        <v>0</v>
      </c>
      <c r="Q430" s="7">
        <f>IF('01_Input_Raw_Products'!O430&lt;&gt;"",'01_Input_Raw_Products'!O430,IF('01_Input_Raw_Products'!N430&lt;&gt;"",'01_Input_Raw_Products'!N430*1.1,""))</f>
        <v>0</v>
      </c>
      <c r="R430" s="9">
        <f>'01_Input_Raw_Products'!S430</f>
        <v>0</v>
      </c>
      <c r="S430" s="9" cm="1">
        <f t="array" ref="S430">IFERROR(_xlfn.XLOOKUP('01_Input_Raw_Products'!F430,'10_Master_Gem_Types'!A:A,'10_Master_Gem_Types'!H:H),"")</f>
        <v>0</v>
      </c>
      <c r="T430" s="8">
        <f>'01_Input_Raw_Products'!Q430</f>
        <v>0</v>
      </c>
      <c r="U430" s="8">
        <f>'01_Input_Raw_Products'!R430</f>
        <v>0</v>
      </c>
      <c r="V430" s="7">
        <f>I430</f>
        <v>0</v>
      </c>
      <c r="W430" s="9" cm="1">
        <f t="array" ref="W430">IF('01_Input_Raw_Products'!G430&lt;&gt;"",'01_Input_Raw_Products'!G430,IFERROR(_xlfn.XLOOKUP('01_Input_Raw_Products'!F430,'10_Master_Gem_Types'!A:A,'10_Master_Gem_Types'!L:L),""))</f>
        <v>0</v>
      </c>
      <c r="X430" s="9" cm="1">
        <f t="array" ref="X430">IFERROR(_xlfn.XLOOKUP('01_Input_Raw_Products'!F430,'10_Master_Gem_Types'!A:A,'10_Master_Gem_Types'!J:J),"")</f>
        <v>0</v>
      </c>
      <c r="Y430" s="9" cm="1">
        <f t="array" ref="Y430">IFERROR(_xlfn.XLOOKUP('01_Input_Raw_Products'!F430,'10_Master_Gem_Types'!A:A,'10_Master_Gem_Types'!I:I),"")</f>
        <v>0</v>
      </c>
      <c r="Z430" s="9" cm="1">
        <f t="array" ref="Z430">IFERROR(_xlfn.XLOOKUP('01_Input_Raw_Products'!L430,'13_Certification_Stickers'!A:A,'13_Certification_Stickers'!C:C),"")</f>
        <v>0</v>
      </c>
      <c r="AA430" s="9" cm="1">
        <f t="array" ref="AA430">IFERROR(_xlfn.XLOOKUP('01_Input_Raw_Products'!S430,'14_Shipping_Rules'!A:A,'14_Shipping_Rules'!B:B),"")</f>
        <v>0</v>
      </c>
      <c r="AB430" s="9" cm="1">
        <f t="array" ref="AB430">IFERROR(_xlfn.XLOOKUP('01_Input_Raw_Products'!D430,'16_Astro_Flags'!A:A,'16_Astro_Flags'!B:B),"")</f>
        <v>0</v>
      </c>
      <c r="AC430" s="9">
        <f>IF(C430="","","Catalog, Search")</f>
        <v>0</v>
      </c>
      <c r="AD430" s="9">
        <f>IF(C430="","",IF(OR(F430="",J430="",M430="",S430="",Y430=""),"Manual Review","Ready"))</f>
        <v>0</v>
      </c>
      <c r="AE430" s="9">
        <f>IF(C430="","",TEXTJOIN("; ",TRUE,IF(F430="","Missing url_key",""),IF(J430="","Missing classification",""),IF(M430="","Missing j_colour",""),IF(S430="","Missing hsn_code",""),IF(Y430="","Missing tax_class_id","")))</f>
        <v>0</v>
      </c>
    </row>
    <row r="431" spans="1:31">
      <c r="A431" s="9">
        <f>IF('01_Input_Raw_Products'!B431&lt;&gt;"",20,"")</f>
        <v>0</v>
      </c>
      <c r="B431" s="9" cm="1">
        <f t="array" ref="B431">IF('01_Input_Raw_Products'!M431&lt;&gt;"",'01_Input_Raw_Products'!M431,IFERROR(_xlfn.XLOOKUP('01_Input_Raw_Products'!F431,'10_Master_Gem_Types'!A:A,'10_Master_Gem_Types'!K:K),""))</f>
        <v>0</v>
      </c>
      <c r="C431" s="9">
        <f>'01_Input_Raw_Products'!B431</f>
        <v>0</v>
      </c>
      <c r="D431" s="9">
        <f>IF(C431="","",TEXT(I431,"0.00")&amp;" Ct "&amp;IF('01_Input_Raw_Products'!F431&lt;&gt;"",'01_Input_Raw_Products'!F431,'01_Input_Raw_Products'!D431)&amp;" "&amp;'01_Input_Raw_Products'!I431)</f>
        <v>0</v>
      </c>
      <c r="E431" s="9">
        <f>IF(C431="","",D431&amp;" | GemPundit")</f>
        <v>0</v>
      </c>
      <c r="F431" s="9" cm="1">
        <f t="array" ref="F431">IF('01_Input_Raw_Products'!X431&lt;&gt;"",'01_Input_Raw_Products'!X431,IFERROR(_xlfn.XLOOKUP('01_Input_Raw_Products'!F431,'10_Master_Gem_Types'!A:A,'10_Master_Gem_Types'!O:O),LOWER(SUBSTITUTE(IF('01_Input_Raw_Products'!F431&lt;&gt;"",'01_Input_Raw_Products'!F431,'01_Input_Raw_Products'!D431)," ","-"))))</f>
        <v>0</v>
      </c>
      <c r="G431" s="9">
        <f>'01_Input_Raw_Products'!C431</f>
        <v>0</v>
      </c>
      <c r="H431" s="9" cm="1">
        <f t="array" ref="H431">IF('01_Input_Raw_Products'!H431&lt;&gt;"",'01_Input_Raw_Products'!H431,IFERROR(_xlfn.XLOOKUP('01_Input_Raw_Products'!F431,'10_Master_Gem_Types'!A:A,'10_Master_Gem_Types'!D:D),""))</f>
        <v>0</v>
      </c>
      <c r="I431" s="7">
        <f>IF('01_Input_Raw_Products'!N431&lt;&gt;"",'01_Input_Raw_Products'!N431,IF('01_Input_Raw_Products'!O431&lt;&gt;"",'01_Input_Raw_Products'!O431*0.91,""))</f>
        <v>0</v>
      </c>
      <c r="J431" s="9" cm="1">
        <f t="array" ref="J431">IFERROR(_xlfn.XLOOKUP('01_Input_Raw_Products'!F431,'10_Master_Gem_Types'!A:A,'10_Master_Gem_Types'!N:N),"")</f>
        <v>0</v>
      </c>
      <c r="K431" s="9" cm="1">
        <f t="array" ref="K431">IF('01_Input_Raw_Products'!J431&lt;&gt;"",'01_Input_Raw_Products'!J431,IFERROR(_xlfn.XLOOKUP('01_Input_Raw_Products'!F431,'10_Master_Gem_Types'!A:A,'10_Master_Gem_Types'!E:E),""))</f>
        <v>0</v>
      </c>
      <c r="L431" s="9">
        <f>'01_Input_Raw_Products'!P431</f>
        <v>0</v>
      </c>
      <c r="M431" s="9" cm="1">
        <f t="array" ref="M431">IFERROR(_xlfn.XLOOKUP('01_Input_Raw_Products'!K431,'12_Color_Mapping'!A:A,'12_Color_Mapping'!B:B),IFERROR(_xlfn.XLOOKUP('01_Input_Raw_Products'!F431,'10_Master_Gem_Types'!A:A,'10_Master_Gem_Types'!F:F),""))</f>
        <v>0</v>
      </c>
      <c r="N431" s="9">
        <f>IF(C431="","",IF('01_Input_Raw_Products'!F431&lt;&gt;"",'01_Input_Raw_Products'!F431,'01_Input_Raw_Products'!D431))</f>
        <v>0</v>
      </c>
      <c r="O431" s="9">
        <f>IF(C431="","","Catalog Automation")</f>
        <v>0</v>
      </c>
      <c r="P431" s="9">
        <f>'01_Input_Raw_Products'!U431</f>
        <v>0</v>
      </c>
      <c r="Q431" s="7">
        <f>IF('01_Input_Raw_Products'!O431&lt;&gt;"",'01_Input_Raw_Products'!O431,IF('01_Input_Raw_Products'!N431&lt;&gt;"",'01_Input_Raw_Products'!N431*1.1,""))</f>
        <v>0</v>
      </c>
      <c r="R431" s="9">
        <f>'01_Input_Raw_Products'!S431</f>
        <v>0</v>
      </c>
      <c r="S431" s="9" cm="1">
        <f t="array" ref="S431">IFERROR(_xlfn.XLOOKUP('01_Input_Raw_Products'!F431,'10_Master_Gem_Types'!A:A,'10_Master_Gem_Types'!H:H),"")</f>
        <v>0</v>
      </c>
      <c r="T431" s="8">
        <f>'01_Input_Raw_Products'!Q431</f>
        <v>0</v>
      </c>
      <c r="U431" s="8">
        <f>'01_Input_Raw_Products'!R431</f>
        <v>0</v>
      </c>
      <c r="V431" s="7">
        <f>I431</f>
        <v>0</v>
      </c>
      <c r="W431" s="9" cm="1">
        <f t="array" ref="W431">IF('01_Input_Raw_Products'!G431&lt;&gt;"",'01_Input_Raw_Products'!G431,IFERROR(_xlfn.XLOOKUP('01_Input_Raw_Products'!F431,'10_Master_Gem_Types'!A:A,'10_Master_Gem_Types'!L:L),""))</f>
        <v>0</v>
      </c>
      <c r="X431" s="9" cm="1">
        <f t="array" ref="X431">IFERROR(_xlfn.XLOOKUP('01_Input_Raw_Products'!F431,'10_Master_Gem_Types'!A:A,'10_Master_Gem_Types'!J:J),"")</f>
        <v>0</v>
      </c>
      <c r="Y431" s="9" cm="1">
        <f t="array" ref="Y431">IFERROR(_xlfn.XLOOKUP('01_Input_Raw_Products'!F431,'10_Master_Gem_Types'!A:A,'10_Master_Gem_Types'!I:I),"")</f>
        <v>0</v>
      </c>
      <c r="Z431" s="9" cm="1">
        <f t="array" ref="Z431">IFERROR(_xlfn.XLOOKUP('01_Input_Raw_Products'!L431,'13_Certification_Stickers'!A:A,'13_Certification_Stickers'!C:C),"")</f>
        <v>0</v>
      </c>
      <c r="AA431" s="9" cm="1">
        <f t="array" ref="AA431">IFERROR(_xlfn.XLOOKUP('01_Input_Raw_Products'!S431,'14_Shipping_Rules'!A:A,'14_Shipping_Rules'!B:B),"")</f>
        <v>0</v>
      </c>
      <c r="AB431" s="9" cm="1">
        <f t="array" ref="AB431">IFERROR(_xlfn.XLOOKUP('01_Input_Raw_Products'!D431,'16_Astro_Flags'!A:A,'16_Astro_Flags'!B:B),"")</f>
        <v>0</v>
      </c>
      <c r="AC431" s="9">
        <f>IF(C431="","","Catalog, Search")</f>
        <v>0</v>
      </c>
      <c r="AD431" s="9">
        <f>IF(C431="","",IF(OR(F431="",J431="",M431="",S431="",Y431=""),"Manual Review","Ready"))</f>
        <v>0</v>
      </c>
      <c r="AE431" s="9">
        <f>IF(C431="","",TEXTJOIN("; ",TRUE,IF(F431="","Missing url_key",""),IF(J431="","Missing classification",""),IF(M431="","Missing j_colour",""),IF(S431="","Missing hsn_code",""),IF(Y431="","Missing tax_class_id","")))</f>
        <v>0</v>
      </c>
    </row>
    <row r="432" spans="1:31">
      <c r="A432" s="9">
        <f>IF('01_Input_Raw_Products'!B432&lt;&gt;"",20,"")</f>
        <v>0</v>
      </c>
      <c r="B432" s="9" cm="1">
        <f t="array" ref="B432">IF('01_Input_Raw_Products'!M432&lt;&gt;"",'01_Input_Raw_Products'!M432,IFERROR(_xlfn.XLOOKUP('01_Input_Raw_Products'!F432,'10_Master_Gem_Types'!A:A,'10_Master_Gem_Types'!K:K),""))</f>
        <v>0</v>
      </c>
      <c r="C432" s="9">
        <f>'01_Input_Raw_Products'!B432</f>
        <v>0</v>
      </c>
      <c r="D432" s="9">
        <f>IF(C432="","",TEXT(I432,"0.00")&amp;" Ct "&amp;IF('01_Input_Raw_Products'!F432&lt;&gt;"",'01_Input_Raw_Products'!F432,'01_Input_Raw_Products'!D432)&amp;" "&amp;'01_Input_Raw_Products'!I432)</f>
        <v>0</v>
      </c>
      <c r="E432" s="9">
        <f>IF(C432="","",D432&amp;" | GemPundit")</f>
        <v>0</v>
      </c>
      <c r="F432" s="9" cm="1">
        <f t="array" ref="F432">IF('01_Input_Raw_Products'!X432&lt;&gt;"",'01_Input_Raw_Products'!X432,IFERROR(_xlfn.XLOOKUP('01_Input_Raw_Products'!F432,'10_Master_Gem_Types'!A:A,'10_Master_Gem_Types'!O:O),LOWER(SUBSTITUTE(IF('01_Input_Raw_Products'!F432&lt;&gt;"",'01_Input_Raw_Products'!F432,'01_Input_Raw_Products'!D432)," ","-"))))</f>
        <v>0</v>
      </c>
      <c r="G432" s="9">
        <f>'01_Input_Raw_Products'!C432</f>
        <v>0</v>
      </c>
      <c r="H432" s="9" cm="1">
        <f t="array" ref="H432">IF('01_Input_Raw_Products'!H432&lt;&gt;"",'01_Input_Raw_Products'!H432,IFERROR(_xlfn.XLOOKUP('01_Input_Raw_Products'!F432,'10_Master_Gem_Types'!A:A,'10_Master_Gem_Types'!D:D),""))</f>
        <v>0</v>
      </c>
      <c r="I432" s="7">
        <f>IF('01_Input_Raw_Products'!N432&lt;&gt;"",'01_Input_Raw_Products'!N432,IF('01_Input_Raw_Products'!O432&lt;&gt;"",'01_Input_Raw_Products'!O432*0.91,""))</f>
        <v>0</v>
      </c>
      <c r="J432" s="9" cm="1">
        <f t="array" ref="J432">IFERROR(_xlfn.XLOOKUP('01_Input_Raw_Products'!F432,'10_Master_Gem_Types'!A:A,'10_Master_Gem_Types'!N:N),"")</f>
        <v>0</v>
      </c>
      <c r="K432" s="9" cm="1">
        <f t="array" ref="K432">IF('01_Input_Raw_Products'!J432&lt;&gt;"",'01_Input_Raw_Products'!J432,IFERROR(_xlfn.XLOOKUP('01_Input_Raw_Products'!F432,'10_Master_Gem_Types'!A:A,'10_Master_Gem_Types'!E:E),""))</f>
        <v>0</v>
      </c>
      <c r="L432" s="9">
        <f>'01_Input_Raw_Products'!P432</f>
        <v>0</v>
      </c>
      <c r="M432" s="9" cm="1">
        <f t="array" ref="M432">IFERROR(_xlfn.XLOOKUP('01_Input_Raw_Products'!K432,'12_Color_Mapping'!A:A,'12_Color_Mapping'!B:B),IFERROR(_xlfn.XLOOKUP('01_Input_Raw_Products'!F432,'10_Master_Gem_Types'!A:A,'10_Master_Gem_Types'!F:F),""))</f>
        <v>0</v>
      </c>
      <c r="N432" s="9">
        <f>IF(C432="","",IF('01_Input_Raw_Products'!F432&lt;&gt;"",'01_Input_Raw_Products'!F432,'01_Input_Raw_Products'!D432))</f>
        <v>0</v>
      </c>
      <c r="O432" s="9">
        <f>IF(C432="","","Catalog Automation")</f>
        <v>0</v>
      </c>
      <c r="P432" s="9">
        <f>'01_Input_Raw_Products'!U432</f>
        <v>0</v>
      </c>
      <c r="Q432" s="7">
        <f>IF('01_Input_Raw_Products'!O432&lt;&gt;"",'01_Input_Raw_Products'!O432,IF('01_Input_Raw_Products'!N432&lt;&gt;"",'01_Input_Raw_Products'!N432*1.1,""))</f>
        <v>0</v>
      </c>
      <c r="R432" s="9">
        <f>'01_Input_Raw_Products'!S432</f>
        <v>0</v>
      </c>
      <c r="S432" s="9" cm="1">
        <f t="array" ref="S432">IFERROR(_xlfn.XLOOKUP('01_Input_Raw_Products'!F432,'10_Master_Gem_Types'!A:A,'10_Master_Gem_Types'!H:H),"")</f>
        <v>0</v>
      </c>
      <c r="T432" s="8">
        <f>'01_Input_Raw_Products'!Q432</f>
        <v>0</v>
      </c>
      <c r="U432" s="8">
        <f>'01_Input_Raw_Products'!R432</f>
        <v>0</v>
      </c>
      <c r="V432" s="7">
        <f>I432</f>
        <v>0</v>
      </c>
      <c r="W432" s="9" cm="1">
        <f t="array" ref="W432">IF('01_Input_Raw_Products'!G432&lt;&gt;"",'01_Input_Raw_Products'!G432,IFERROR(_xlfn.XLOOKUP('01_Input_Raw_Products'!F432,'10_Master_Gem_Types'!A:A,'10_Master_Gem_Types'!L:L),""))</f>
        <v>0</v>
      </c>
      <c r="X432" s="9" cm="1">
        <f t="array" ref="X432">IFERROR(_xlfn.XLOOKUP('01_Input_Raw_Products'!F432,'10_Master_Gem_Types'!A:A,'10_Master_Gem_Types'!J:J),"")</f>
        <v>0</v>
      </c>
      <c r="Y432" s="9" cm="1">
        <f t="array" ref="Y432">IFERROR(_xlfn.XLOOKUP('01_Input_Raw_Products'!F432,'10_Master_Gem_Types'!A:A,'10_Master_Gem_Types'!I:I),"")</f>
        <v>0</v>
      </c>
      <c r="Z432" s="9" cm="1">
        <f t="array" ref="Z432">IFERROR(_xlfn.XLOOKUP('01_Input_Raw_Products'!L432,'13_Certification_Stickers'!A:A,'13_Certification_Stickers'!C:C),"")</f>
        <v>0</v>
      </c>
      <c r="AA432" s="9" cm="1">
        <f t="array" ref="AA432">IFERROR(_xlfn.XLOOKUP('01_Input_Raw_Products'!S432,'14_Shipping_Rules'!A:A,'14_Shipping_Rules'!B:B),"")</f>
        <v>0</v>
      </c>
      <c r="AB432" s="9" cm="1">
        <f t="array" ref="AB432">IFERROR(_xlfn.XLOOKUP('01_Input_Raw_Products'!D432,'16_Astro_Flags'!A:A,'16_Astro_Flags'!B:B),"")</f>
        <v>0</v>
      </c>
      <c r="AC432" s="9">
        <f>IF(C432="","","Catalog, Search")</f>
        <v>0</v>
      </c>
      <c r="AD432" s="9">
        <f>IF(C432="","",IF(OR(F432="",J432="",M432="",S432="",Y432=""),"Manual Review","Ready"))</f>
        <v>0</v>
      </c>
      <c r="AE432" s="9">
        <f>IF(C432="","",TEXTJOIN("; ",TRUE,IF(F432="","Missing url_key",""),IF(J432="","Missing classification",""),IF(M432="","Missing j_colour",""),IF(S432="","Missing hsn_code",""),IF(Y432="","Missing tax_class_id","")))</f>
        <v>0</v>
      </c>
    </row>
    <row r="433" spans="1:31">
      <c r="A433" s="9">
        <f>IF('01_Input_Raw_Products'!B433&lt;&gt;"",20,"")</f>
        <v>0</v>
      </c>
      <c r="B433" s="9" cm="1">
        <f t="array" ref="B433">IF('01_Input_Raw_Products'!M433&lt;&gt;"",'01_Input_Raw_Products'!M433,IFERROR(_xlfn.XLOOKUP('01_Input_Raw_Products'!F433,'10_Master_Gem_Types'!A:A,'10_Master_Gem_Types'!K:K),""))</f>
        <v>0</v>
      </c>
      <c r="C433" s="9">
        <f>'01_Input_Raw_Products'!B433</f>
        <v>0</v>
      </c>
      <c r="D433" s="9">
        <f>IF(C433="","",TEXT(I433,"0.00")&amp;" Ct "&amp;IF('01_Input_Raw_Products'!F433&lt;&gt;"",'01_Input_Raw_Products'!F433,'01_Input_Raw_Products'!D433)&amp;" "&amp;'01_Input_Raw_Products'!I433)</f>
        <v>0</v>
      </c>
      <c r="E433" s="9">
        <f>IF(C433="","",D433&amp;" | GemPundit")</f>
        <v>0</v>
      </c>
      <c r="F433" s="9" cm="1">
        <f t="array" ref="F433">IF('01_Input_Raw_Products'!X433&lt;&gt;"",'01_Input_Raw_Products'!X433,IFERROR(_xlfn.XLOOKUP('01_Input_Raw_Products'!F433,'10_Master_Gem_Types'!A:A,'10_Master_Gem_Types'!O:O),LOWER(SUBSTITUTE(IF('01_Input_Raw_Products'!F433&lt;&gt;"",'01_Input_Raw_Products'!F433,'01_Input_Raw_Products'!D433)," ","-"))))</f>
        <v>0</v>
      </c>
      <c r="G433" s="9">
        <f>'01_Input_Raw_Products'!C433</f>
        <v>0</v>
      </c>
      <c r="H433" s="9" cm="1">
        <f t="array" ref="H433">IF('01_Input_Raw_Products'!H433&lt;&gt;"",'01_Input_Raw_Products'!H433,IFERROR(_xlfn.XLOOKUP('01_Input_Raw_Products'!F433,'10_Master_Gem_Types'!A:A,'10_Master_Gem_Types'!D:D),""))</f>
        <v>0</v>
      </c>
      <c r="I433" s="7">
        <f>IF('01_Input_Raw_Products'!N433&lt;&gt;"",'01_Input_Raw_Products'!N433,IF('01_Input_Raw_Products'!O433&lt;&gt;"",'01_Input_Raw_Products'!O433*0.91,""))</f>
        <v>0</v>
      </c>
      <c r="J433" s="9" cm="1">
        <f t="array" ref="J433">IFERROR(_xlfn.XLOOKUP('01_Input_Raw_Products'!F433,'10_Master_Gem_Types'!A:A,'10_Master_Gem_Types'!N:N),"")</f>
        <v>0</v>
      </c>
      <c r="K433" s="9" cm="1">
        <f t="array" ref="K433">IF('01_Input_Raw_Products'!J433&lt;&gt;"",'01_Input_Raw_Products'!J433,IFERROR(_xlfn.XLOOKUP('01_Input_Raw_Products'!F433,'10_Master_Gem_Types'!A:A,'10_Master_Gem_Types'!E:E),""))</f>
        <v>0</v>
      </c>
      <c r="L433" s="9">
        <f>'01_Input_Raw_Products'!P433</f>
        <v>0</v>
      </c>
      <c r="M433" s="9" cm="1">
        <f t="array" ref="M433">IFERROR(_xlfn.XLOOKUP('01_Input_Raw_Products'!K433,'12_Color_Mapping'!A:A,'12_Color_Mapping'!B:B),IFERROR(_xlfn.XLOOKUP('01_Input_Raw_Products'!F433,'10_Master_Gem_Types'!A:A,'10_Master_Gem_Types'!F:F),""))</f>
        <v>0</v>
      </c>
      <c r="N433" s="9">
        <f>IF(C433="","",IF('01_Input_Raw_Products'!F433&lt;&gt;"",'01_Input_Raw_Products'!F433,'01_Input_Raw_Products'!D433))</f>
        <v>0</v>
      </c>
      <c r="O433" s="9">
        <f>IF(C433="","","Catalog Automation")</f>
        <v>0</v>
      </c>
      <c r="P433" s="9">
        <f>'01_Input_Raw_Products'!U433</f>
        <v>0</v>
      </c>
      <c r="Q433" s="7">
        <f>IF('01_Input_Raw_Products'!O433&lt;&gt;"",'01_Input_Raw_Products'!O433,IF('01_Input_Raw_Products'!N433&lt;&gt;"",'01_Input_Raw_Products'!N433*1.1,""))</f>
        <v>0</v>
      </c>
      <c r="R433" s="9">
        <f>'01_Input_Raw_Products'!S433</f>
        <v>0</v>
      </c>
      <c r="S433" s="9" cm="1">
        <f t="array" ref="S433">IFERROR(_xlfn.XLOOKUP('01_Input_Raw_Products'!F433,'10_Master_Gem_Types'!A:A,'10_Master_Gem_Types'!H:H),"")</f>
        <v>0</v>
      </c>
      <c r="T433" s="8">
        <f>'01_Input_Raw_Products'!Q433</f>
        <v>0</v>
      </c>
      <c r="U433" s="8">
        <f>'01_Input_Raw_Products'!R433</f>
        <v>0</v>
      </c>
      <c r="V433" s="7">
        <f>I433</f>
        <v>0</v>
      </c>
      <c r="W433" s="9" cm="1">
        <f t="array" ref="W433">IF('01_Input_Raw_Products'!G433&lt;&gt;"",'01_Input_Raw_Products'!G433,IFERROR(_xlfn.XLOOKUP('01_Input_Raw_Products'!F433,'10_Master_Gem_Types'!A:A,'10_Master_Gem_Types'!L:L),""))</f>
        <v>0</v>
      </c>
      <c r="X433" s="9" cm="1">
        <f t="array" ref="X433">IFERROR(_xlfn.XLOOKUP('01_Input_Raw_Products'!F433,'10_Master_Gem_Types'!A:A,'10_Master_Gem_Types'!J:J),"")</f>
        <v>0</v>
      </c>
      <c r="Y433" s="9" cm="1">
        <f t="array" ref="Y433">IFERROR(_xlfn.XLOOKUP('01_Input_Raw_Products'!F433,'10_Master_Gem_Types'!A:A,'10_Master_Gem_Types'!I:I),"")</f>
        <v>0</v>
      </c>
      <c r="Z433" s="9" cm="1">
        <f t="array" ref="Z433">IFERROR(_xlfn.XLOOKUP('01_Input_Raw_Products'!L433,'13_Certification_Stickers'!A:A,'13_Certification_Stickers'!C:C),"")</f>
        <v>0</v>
      </c>
      <c r="AA433" s="9" cm="1">
        <f t="array" ref="AA433">IFERROR(_xlfn.XLOOKUP('01_Input_Raw_Products'!S433,'14_Shipping_Rules'!A:A,'14_Shipping_Rules'!B:B),"")</f>
        <v>0</v>
      </c>
      <c r="AB433" s="9" cm="1">
        <f t="array" ref="AB433">IFERROR(_xlfn.XLOOKUP('01_Input_Raw_Products'!D433,'16_Astro_Flags'!A:A,'16_Astro_Flags'!B:B),"")</f>
        <v>0</v>
      </c>
      <c r="AC433" s="9">
        <f>IF(C433="","","Catalog, Search")</f>
        <v>0</v>
      </c>
      <c r="AD433" s="9">
        <f>IF(C433="","",IF(OR(F433="",J433="",M433="",S433="",Y433=""),"Manual Review","Ready"))</f>
        <v>0</v>
      </c>
      <c r="AE433" s="9">
        <f>IF(C433="","",TEXTJOIN("; ",TRUE,IF(F433="","Missing url_key",""),IF(J433="","Missing classification",""),IF(M433="","Missing j_colour",""),IF(S433="","Missing hsn_code",""),IF(Y433="","Missing tax_class_id","")))</f>
        <v>0</v>
      </c>
    </row>
    <row r="434" spans="1:31">
      <c r="A434" s="9">
        <f>IF('01_Input_Raw_Products'!B434&lt;&gt;"",20,"")</f>
        <v>0</v>
      </c>
      <c r="B434" s="9" cm="1">
        <f t="array" ref="B434">IF('01_Input_Raw_Products'!M434&lt;&gt;"",'01_Input_Raw_Products'!M434,IFERROR(_xlfn.XLOOKUP('01_Input_Raw_Products'!F434,'10_Master_Gem_Types'!A:A,'10_Master_Gem_Types'!K:K),""))</f>
        <v>0</v>
      </c>
      <c r="C434" s="9">
        <f>'01_Input_Raw_Products'!B434</f>
        <v>0</v>
      </c>
      <c r="D434" s="9">
        <f>IF(C434="","",TEXT(I434,"0.00")&amp;" Ct "&amp;IF('01_Input_Raw_Products'!F434&lt;&gt;"",'01_Input_Raw_Products'!F434,'01_Input_Raw_Products'!D434)&amp;" "&amp;'01_Input_Raw_Products'!I434)</f>
        <v>0</v>
      </c>
      <c r="E434" s="9">
        <f>IF(C434="","",D434&amp;" | GemPundit")</f>
        <v>0</v>
      </c>
      <c r="F434" s="9" cm="1">
        <f t="array" ref="F434">IF('01_Input_Raw_Products'!X434&lt;&gt;"",'01_Input_Raw_Products'!X434,IFERROR(_xlfn.XLOOKUP('01_Input_Raw_Products'!F434,'10_Master_Gem_Types'!A:A,'10_Master_Gem_Types'!O:O),LOWER(SUBSTITUTE(IF('01_Input_Raw_Products'!F434&lt;&gt;"",'01_Input_Raw_Products'!F434,'01_Input_Raw_Products'!D434)," ","-"))))</f>
        <v>0</v>
      </c>
      <c r="G434" s="9">
        <f>'01_Input_Raw_Products'!C434</f>
        <v>0</v>
      </c>
      <c r="H434" s="9" cm="1">
        <f t="array" ref="H434">IF('01_Input_Raw_Products'!H434&lt;&gt;"",'01_Input_Raw_Products'!H434,IFERROR(_xlfn.XLOOKUP('01_Input_Raw_Products'!F434,'10_Master_Gem_Types'!A:A,'10_Master_Gem_Types'!D:D),""))</f>
        <v>0</v>
      </c>
      <c r="I434" s="7">
        <f>IF('01_Input_Raw_Products'!N434&lt;&gt;"",'01_Input_Raw_Products'!N434,IF('01_Input_Raw_Products'!O434&lt;&gt;"",'01_Input_Raw_Products'!O434*0.91,""))</f>
        <v>0</v>
      </c>
      <c r="J434" s="9" cm="1">
        <f t="array" ref="J434">IFERROR(_xlfn.XLOOKUP('01_Input_Raw_Products'!F434,'10_Master_Gem_Types'!A:A,'10_Master_Gem_Types'!N:N),"")</f>
        <v>0</v>
      </c>
      <c r="K434" s="9" cm="1">
        <f t="array" ref="K434">IF('01_Input_Raw_Products'!J434&lt;&gt;"",'01_Input_Raw_Products'!J434,IFERROR(_xlfn.XLOOKUP('01_Input_Raw_Products'!F434,'10_Master_Gem_Types'!A:A,'10_Master_Gem_Types'!E:E),""))</f>
        <v>0</v>
      </c>
      <c r="L434" s="9">
        <f>'01_Input_Raw_Products'!P434</f>
        <v>0</v>
      </c>
      <c r="M434" s="9" cm="1">
        <f t="array" ref="M434">IFERROR(_xlfn.XLOOKUP('01_Input_Raw_Products'!K434,'12_Color_Mapping'!A:A,'12_Color_Mapping'!B:B),IFERROR(_xlfn.XLOOKUP('01_Input_Raw_Products'!F434,'10_Master_Gem_Types'!A:A,'10_Master_Gem_Types'!F:F),""))</f>
        <v>0</v>
      </c>
      <c r="N434" s="9">
        <f>IF(C434="","",IF('01_Input_Raw_Products'!F434&lt;&gt;"",'01_Input_Raw_Products'!F434,'01_Input_Raw_Products'!D434))</f>
        <v>0</v>
      </c>
      <c r="O434" s="9">
        <f>IF(C434="","","Catalog Automation")</f>
        <v>0</v>
      </c>
      <c r="P434" s="9">
        <f>'01_Input_Raw_Products'!U434</f>
        <v>0</v>
      </c>
      <c r="Q434" s="7">
        <f>IF('01_Input_Raw_Products'!O434&lt;&gt;"",'01_Input_Raw_Products'!O434,IF('01_Input_Raw_Products'!N434&lt;&gt;"",'01_Input_Raw_Products'!N434*1.1,""))</f>
        <v>0</v>
      </c>
      <c r="R434" s="9">
        <f>'01_Input_Raw_Products'!S434</f>
        <v>0</v>
      </c>
      <c r="S434" s="9" cm="1">
        <f t="array" ref="S434">IFERROR(_xlfn.XLOOKUP('01_Input_Raw_Products'!F434,'10_Master_Gem_Types'!A:A,'10_Master_Gem_Types'!H:H),"")</f>
        <v>0</v>
      </c>
      <c r="T434" s="8">
        <f>'01_Input_Raw_Products'!Q434</f>
        <v>0</v>
      </c>
      <c r="U434" s="8">
        <f>'01_Input_Raw_Products'!R434</f>
        <v>0</v>
      </c>
      <c r="V434" s="7">
        <f>I434</f>
        <v>0</v>
      </c>
      <c r="W434" s="9" cm="1">
        <f t="array" ref="W434">IF('01_Input_Raw_Products'!G434&lt;&gt;"",'01_Input_Raw_Products'!G434,IFERROR(_xlfn.XLOOKUP('01_Input_Raw_Products'!F434,'10_Master_Gem_Types'!A:A,'10_Master_Gem_Types'!L:L),""))</f>
        <v>0</v>
      </c>
      <c r="X434" s="9" cm="1">
        <f t="array" ref="X434">IFERROR(_xlfn.XLOOKUP('01_Input_Raw_Products'!F434,'10_Master_Gem_Types'!A:A,'10_Master_Gem_Types'!J:J),"")</f>
        <v>0</v>
      </c>
      <c r="Y434" s="9" cm="1">
        <f t="array" ref="Y434">IFERROR(_xlfn.XLOOKUP('01_Input_Raw_Products'!F434,'10_Master_Gem_Types'!A:A,'10_Master_Gem_Types'!I:I),"")</f>
        <v>0</v>
      </c>
      <c r="Z434" s="9" cm="1">
        <f t="array" ref="Z434">IFERROR(_xlfn.XLOOKUP('01_Input_Raw_Products'!L434,'13_Certification_Stickers'!A:A,'13_Certification_Stickers'!C:C),"")</f>
        <v>0</v>
      </c>
      <c r="AA434" s="9" cm="1">
        <f t="array" ref="AA434">IFERROR(_xlfn.XLOOKUP('01_Input_Raw_Products'!S434,'14_Shipping_Rules'!A:A,'14_Shipping_Rules'!B:B),"")</f>
        <v>0</v>
      </c>
      <c r="AB434" s="9" cm="1">
        <f t="array" ref="AB434">IFERROR(_xlfn.XLOOKUP('01_Input_Raw_Products'!D434,'16_Astro_Flags'!A:A,'16_Astro_Flags'!B:B),"")</f>
        <v>0</v>
      </c>
      <c r="AC434" s="9">
        <f>IF(C434="","","Catalog, Search")</f>
        <v>0</v>
      </c>
      <c r="AD434" s="9">
        <f>IF(C434="","",IF(OR(F434="",J434="",M434="",S434="",Y434=""),"Manual Review","Ready"))</f>
        <v>0</v>
      </c>
      <c r="AE434" s="9">
        <f>IF(C434="","",TEXTJOIN("; ",TRUE,IF(F434="","Missing url_key",""),IF(J434="","Missing classification",""),IF(M434="","Missing j_colour",""),IF(S434="","Missing hsn_code",""),IF(Y434="","Missing tax_class_id","")))</f>
        <v>0</v>
      </c>
    </row>
    <row r="435" spans="1:31">
      <c r="A435" s="9">
        <f>IF('01_Input_Raw_Products'!B435&lt;&gt;"",20,"")</f>
        <v>0</v>
      </c>
      <c r="B435" s="9" cm="1">
        <f t="array" ref="B435">IF('01_Input_Raw_Products'!M435&lt;&gt;"",'01_Input_Raw_Products'!M435,IFERROR(_xlfn.XLOOKUP('01_Input_Raw_Products'!F435,'10_Master_Gem_Types'!A:A,'10_Master_Gem_Types'!K:K),""))</f>
        <v>0</v>
      </c>
      <c r="C435" s="9">
        <f>'01_Input_Raw_Products'!B435</f>
        <v>0</v>
      </c>
      <c r="D435" s="9">
        <f>IF(C435="","",TEXT(I435,"0.00")&amp;" Ct "&amp;IF('01_Input_Raw_Products'!F435&lt;&gt;"",'01_Input_Raw_Products'!F435,'01_Input_Raw_Products'!D435)&amp;" "&amp;'01_Input_Raw_Products'!I435)</f>
        <v>0</v>
      </c>
      <c r="E435" s="9">
        <f>IF(C435="","",D435&amp;" | GemPundit")</f>
        <v>0</v>
      </c>
      <c r="F435" s="9" cm="1">
        <f t="array" ref="F435">IF('01_Input_Raw_Products'!X435&lt;&gt;"",'01_Input_Raw_Products'!X435,IFERROR(_xlfn.XLOOKUP('01_Input_Raw_Products'!F435,'10_Master_Gem_Types'!A:A,'10_Master_Gem_Types'!O:O),LOWER(SUBSTITUTE(IF('01_Input_Raw_Products'!F435&lt;&gt;"",'01_Input_Raw_Products'!F435,'01_Input_Raw_Products'!D435)," ","-"))))</f>
        <v>0</v>
      </c>
      <c r="G435" s="9">
        <f>'01_Input_Raw_Products'!C435</f>
        <v>0</v>
      </c>
      <c r="H435" s="9" cm="1">
        <f t="array" ref="H435">IF('01_Input_Raw_Products'!H435&lt;&gt;"",'01_Input_Raw_Products'!H435,IFERROR(_xlfn.XLOOKUP('01_Input_Raw_Products'!F435,'10_Master_Gem_Types'!A:A,'10_Master_Gem_Types'!D:D),""))</f>
        <v>0</v>
      </c>
      <c r="I435" s="7">
        <f>IF('01_Input_Raw_Products'!N435&lt;&gt;"",'01_Input_Raw_Products'!N435,IF('01_Input_Raw_Products'!O435&lt;&gt;"",'01_Input_Raw_Products'!O435*0.91,""))</f>
        <v>0</v>
      </c>
      <c r="J435" s="9" cm="1">
        <f t="array" ref="J435">IFERROR(_xlfn.XLOOKUP('01_Input_Raw_Products'!F435,'10_Master_Gem_Types'!A:A,'10_Master_Gem_Types'!N:N),"")</f>
        <v>0</v>
      </c>
      <c r="K435" s="9" cm="1">
        <f t="array" ref="K435">IF('01_Input_Raw_Products'!J435&lt;&gt;"",'01_Input_Raw_Products'!J435,IFERROR(_xlfn.XLOOKUP('01_Input_Raw_Products'!F435,'10_Master_Gem_Types'!A:A,'10_Master_Gem_Types'!E:E),""))</f>
        <v>0</v>
      </c>
      <c r="L435" s="9">
        <f>'01_Input_Raw_Products'!P435</f>
        <v>0</v>
      </c>
      <c r="M435" s="9" cm="1">
        <f t="array" ref="M435">IFERROR(_xlfn.XLOOKUP('01_Input_Raw_Products'!K435,'12_Color_Mapping'!A:A,'12_Color_Mapping'!B:B),IFERROR(_xlfn.XLOOKUP('01_Input_Raw_Products'!F435,'10_Master_Gem_Types'!A:A,'10_Master_Gem_Types'!F:F),""))</f>
        <v>0</v>
      </c>
      <c r="N435" s="9">
        <f>IF(C435="","",IF('01_Input_Raw_Products'!F435&lt;&gt;"",'01_Input_Raw_Products'!F435,'01_Input_Raw_Products'!D435))</f>
        <v>0</v>
      </c>
      <c r="O435" s="9">
        <f>IF(C435="","","Catalog Automation")</f>
        <v>0</v>
      </c>
      <c r="P435" s="9">
        <f>'01_Input_Raw_Products'!U435</f>
        <v>0</v>
      </c>
      <c r="Q435" s="7">
        <f>IF('01_Input_Raw_Products'!O435&lt;&gt;"",'01_Input_Raw_Products'!O435,IF('01_Input_Raw_Products'!N435&lt;&gt;"",'01_Input_Raw_Products'!N435*1.1,""))</f>
        <v>0</v>
      </c>
      <c r="R435" s="9">
        <f>'01_Input_Raw_Products'!S435</f>
        <v>0</v>
      </c>
      <c r="S435" s="9" cm="1">
        <f t="array" ref="S435">IFERROR(_xlfn.XLOOKUP('01_Input_Raw_Products'!F435,'10_Master_Gem_Types'!A:A,'10_Master_Gem_Types'!H:H),"")</f>
        <v>0</v>
      </c>
      <c r="T435" s="8">
        <f>'01_Input_Raw_Products'!Q435</f>
        <v>0</v>
      </c>
      <c r="U435" s="8">
        <f>'01_Input_Raw_Products'!R435</f>
        <v>0</v>
      </c>
      <c r="V435" s="7">
        <f>I435</f>
        <v>0</v>
      </c>
      <c r="W435" s="9" cm="1">
        <f t="array" ref="W435">IF('01_Input_Raw_Products'!G435&lt;&gt;"",'01_Input_Raw_Products'!G435,IFERROR(_xlfn.XLOOKUP('01_Input_Raw_Products'!F435,'10_Master_Gem_Types'!A:A,'10_Master_Gem_Types'!L:L),""))</f>
        <v>0</v>
      </c>
      <c r="X435" s="9" cm="1">
        <f t="array" ref="X435">IFERROR(_xlfn.XLOOKUP('01_Input_Raw_Products'!F435,'10_Master_Gem_Types'!A:A,'10_Master_Gem_Types'!J:J),"")</f>
        <v>0</v>
      </c>
      <c r="Y435" s="9" cm="1">
        <f t="array" ref="Y435">IFERROR(_xlfn.XLOOKUP('01_Input_Raw_Products'!F435,'10_Master_Gem_Types'!A:A,'10_Master_Gem_Types'!I:I),"")</f>
        <v>0</v>
      </c>
      <c r="Z435" s="9" cm="1">
        <f t="array" ref="Z435">IFERROR(_xlfn.XLOOKUP('01_Input_Raw_Products'!L435,'13_Certification_Stickers'!A:A,'13_Certification_Stickers'!C:C),"")</f>
        <v>0</v>
      </c>
      <c r="AA435" s="9" cm="1">
        <f t="array" ref="AA435">IFERROR(_xlfn.XLOOKUP('01_Input_Raw_Products'!S435,'14_Shipping_Rules'!A:A,'14_Shipping_Rules'!B:B),"")</f>
        <v>0</v>
      </c>
      <c r="AB435" s="9" cm="1">
        <f t="array" ref="AB435">IFERROR(_xlfn.XLOOKUP('01_Input_Raw_Products'!D435,'16_Astro_Flags'!A:A,'16_Astro_Flags'!B:B),"")</f>
        <v>0</v>
      </c>
      <c r="AC435" s="9">
        <f>IF(C435="","","Catalog, Search")</f>
        <v>0</v>
      </c>
      <c r="AD435" s="9">
        <f>IF(C435="","",IF(OR(F435="",J435="",M435="",S435="",Y435=""),"Manual Review","Ready"))</f>
        <v>0</v>
      </c>
      <c r="AE435" s="9">
        <f>IF(C435="","",TEXTJOIN("; ",TRUE,IF(F435="","Missing url_key",""),IF(J435="","Missing classification",""),IF(M435="","Missing j_colour",""),IF(S435="","Missing hsn_code",""),IF(Y435="","Missing tax_class_id","")))</f>
        <v>0</v>
      </c>
    </row>
    <row r="436" spans="1:31">
      <c r="A436" s="9">
        <f>IF('01_Input_Raw_Products'!B436&lt;&gt;"",20,"")</f>
        <v>0</v>
      </c>
      <c r="B436" s="9" cm="1">
        <f t="array" ref="B436">IF('01_Input_Raw_Products'!M436&lt;&gt;"",'01_Input_Raw_Products'!M436,IFERROR(_xlfn.XLOOKUP('01_Input_Raw_Products'!F436,'10_Master_Gem_Types'!A:A,'10_Master_Gem_Types'!K:K),""))</f>
        <v>0</v>
      </c>
      <c r="C436" s="9">
        <f>'01_Input_Raw_Products'!B436</f>
        <v>0</v>
      </c>
      <c r="D436" s="9">
        <f>IF(C436="","",TEXT(I436,"0.00")&amp;" Ct "&amp;IF('01_Input_Raw_Products'!F436&lt;&gt;"",'01_Input_Raw_Products'!F436,'01_Input_Raw_Products'!D436)&amp;" "&amp;'01_Input_Raw_Products'!I436)</f>
        <v>0</v>
      </c>
      <c r="E436" s="9">
        <f>IF(C436="","",D436&amp;" | GemPundit")</f>
        <v>0</v>
      </c>
      <c r="F436" s="9" cm="1">
        <f t="array" ref="F436">IF('01_Input_Raw_Products'!X436&lt;&gt;"",'01_Input_Raw_Products'!X436,IFERROR(_xlfn.XLOOKUP('01_Input_Raw_Products'!F436,'10_Master_Gem_Types'!A:A,'10_Master_Gem_Types'!O:O),LOWER(SUBSTITUTE(IF('01_Input_Raw_Products'!F436&lt;&gt;"",'01_Input_Raw_Products'!F436,'01_Input_Raw_Products'!D436)," ","-"))))</f>
        <v>0</v>
      </c>
      <c r="G436" s="9">
        <f>'01_Input_Raw_Products'!C436</f>
        <v>0</v>
      </c>
      <c r="H436" s="9" cm="1">
        <f t="array" ref="H436">IF('01_Input_Raw_Products'!H436&lt;&gt;"",'01_Input_Raw_Products'!H436,IFERROR(_xlfn.XLOOKUP('01_Input_Raw_Products'!F436,'10_Master_Gem_Types'!A:A,'10_Master_Gem_Types'!D:D),""))</f>
        <v>0</v>
      </c>
      <c r="I436" s="7">
        <f>IF('01_Input_Raw_Products'!N436&lt;&gt;"",'01_Input_Raw_Products'!N436,IF('01_Input_Raw_Products'!O436&lt;&gt;"",'01_Input_Raw_Products'!O436*0.91,""))</f>
        <v>0</v>
      </c>
      <c r="J436" s="9" cm="1">
        <f t="array" ref="J436">IFERROR(_xlfn.XLOOKUP('01_Input_Raw_Products'!F436,'10_Master_Gem_Types'!A:A,'10_Master_Gem_Types'!N:N),"")</f>
        <v>0</v>
      </c>
      <c r="K436" s="9" cm="1">
        <f t="array" ref="K436">IF('01_Input_Raw_Products'!J436&lt;&gt;"",'01_Input_Raw_Products'!J436,IFERROR(_xlfn.XLOOKUP('01_Input_Raw_Products'!F436,'10_Master_Gem_Types'!A:A,'10_Master_Gem_Types'!E:E),""))</f>
        <v>0</v>
      </c>
      <c r="L436" s="9">
        <f>'01_Input_Raw_Products'!P436</f>
        <v>0</v>
      </c>
      <c r="M436" s="9" cm="1">
        <f t="array" ref="M436">IFERROR(_xlfn.XLOOKUP('01_Input_Raw_Products'!K436,'12_Color_Mapping'!A:A,'12_Color_Mapping'!B:B),IFERROR(_xlfn.XLOOKUP('01_Input_Raw_Products'!F436,'10_Master_Gem_Types'!A:A,'10_Master_Gem_Types'!F:F),""))</f>
        <v>0</v>
      </c>
      <c r="N436" s="9">
        <f>IF(C436="","",IF('01_Input_Raw_Products'!F436&lt;&gt;"",'01_Input_Raw_Products'!F436,'01_Input_Raw_Products'!D436))</f>
        <v>0</v>
      </c>
      <c r="O436" s="9">
        <f>IF(C436="","","Catalog Automation")</f>
        <v>0</v>
      </c>
      <c r="P436" s="9">
        <f>'01_Input_Raw_Products'!U436</f>
        <v>0</v>
      </c>
      <c r="Q436" s="7">
        <f>IF('01_Input_Raw_Products'!O436&lt;&gt;"",'01_Input_Raw_Products'!O436,IF('01_Input_Raw_Products'!N436&lt;&gt;"",'01_Input_Raw_Products'!N436*1.1,""))</f>
        <v>0</v>
      </c>
      <c r="R436" s="9">
        <f>'01_Input_Raw_Products'!S436</f>
        <v>0</v>
      </c>
      <c r="S436" s="9" cm="1">
        <f t="array" ref="S436">IFERROR(_xlfn.XLOOKUP('01_Input_Raw_Products'!F436,'10_Master_Gem_Types'!A:A,'10_Master_Gem_Types'!H:H),"")</f>
        <v>0</v>
      </c>
      <c r="T436" s="8">
        <f>'01_Input_Raw_Products'!Q436</f>
        <v>0</v>
      </c>
      <c r="U436" s="8">
        <f>'01_Input_Raw_Products'!R436</f>
        <v>0</v>
      </c>
      <c r="V436" s="7">
        <f>I436</f>
        <v>0</v>
      </c>
      <c r="W436" s="9" cm="1">
        <f t="array" ref="W436">IF('01_Input_Raw_Products'!G436&lt;&gt;"",'01_Input_Raw_Products'!G436,IFERROR(_xlfn.XLOOKUP('01_Input_Raw_Products'!F436,'10_Master_Gem_Types'!A:A,'10_Master_Gem_Types'!L:L),""))</f>
        <v>0</v>
      </c>
      <c r="X436" s="9" cm="1">
        <f t="array" ref="X436">IFERROR(_xlfn.XLOOKUP('01_Input_Raw_Products'!F436,'10_Master_Gem_Types'!A:A,'10_Master_Gem_Types'!J:J),"")</f>
        <v>0</v>
      </c>
      <c r="Y436" s="9" cm="1">
        <f t="array" ref="Y436">IFERROR(_xlfn.XLOOKUP('01_Input_Raw_Products'!F436,'10_Master_Gem_Types'!A:A,'10_Master_Gem_Types'!I:I),"")</f>
        <v>0</v>
      </c>
      <c r="Z436" s="9" cm="1">
        <f t="array" ref="Z436">IFERROR(_xlfn.XLOOKUP('01_Input_Raw_Products'!L436,'13_Certification_Stickers'!A:A,'13_Certification_Stickers'!C:C),"")</f>
        <v>0</v>
      </c>
      <c r="AA436" s="9" cm="1">
        <f t="array" ref="AA436">IFERROR(_xlfn.XLOOKUP('01_Input_Raw_Products'!S436,'14_Shipping_Rules'!A:A,'14_Shipping_Rules'!B:B),"")</f>
        <v>0</v>
      </c>
      <c r="AB436" s="9" cm="1">
        <f t="array" ref="AB436">IFERROR(_xlfn.XLOOKUP('01_Input_Raw_Products'!D436,'16_Astro_Flags'!A:A,'16_Astro_Flags'!B:B),"")</f>
        <v>0</v>
      </c>
      <c r="AC436" s="9">
        <f>IF(C436="","","Catalog, Search")</f>
        <v>0</v>
      </c>
      <c r="AD436" s="9">
        <f>IF(C436="","",IF(OR(F436="",J436="",M436="",S436="",Y436=""),"Manual Review","Ready"))</f>
        <v>0</v>
      </c>
      <c r="AE436" s="9">
        <f>IF(C436="","",TEXTJOIN("; ",TRUE,IF(F436="","Missing url_key",""),IF(J436="","Missing classification",""),IF(M436="","Missing j_colour",""),IF(S436="","Missing hsn_code",""),IF(Y436="","Missing tax_class_id","")))</f>
        <v>0</v>
      </c>
    </row>
    <row r="437" spans="1:31">
      <c r="A437" s="9">
        <f>IF('01_Input_Raw_Products'!B437&lt;&gt;"",20,"")</f>
        <v>0</v>
      </c>
      <c r="B437" s="9" cm="1">
        <f t="array" ref="B437">IF('01_Input_Raw_Products'!M437&lt;&gt;"",'01_Input_Raw_Products'!M437,IFERROR(_xlfn.XLOOKUP('01_Input_Raw_Products'!F437,'10_Master_Gem_Types'!A:A,'10_Master_Gem_Types'!K:K),""))</f>
        <v>0</v>
      </c>
      <c r="C437" s="9">
        <f>'01_Input_Raw_Products'!B437</f>
        <v>0</v>
      </c>
      <c r="D437" s="9">
        <f>IF(C437="","",TEXT(I437,"0.00")&amp;" Ct "&amp;IF('01_Input_Raw_Products'!F437&lt;&gt;"",'01_Input_Raw_Products'!F437,'01_Input_Raw_Products'!D437)&amp;" "&amp;'01_Input_Raw_Products'!I437)</f>
        <v>0</v>
      </c>
      <c r="E437" s="9">
        <f>IF(C437="","",D437&amp;" | GemPundit")</f>
        <v>0</v>
      </c>
      <c r="F437" s="9" cm="1">
        <f t="array" ref="F437">IF('01_Input_Raw_Products'!X437&lt;&gt;"",'01_Input_Raw_Products'!X437,IFERROR(_xlfn.XLOOKUP('01_Input_Raw_Products'!F437,'10_Master_Gem_Types'!A:A,'10_Master_Gem_Types'!O:O),LOWER(SUBSTITUTE(IF('01_Input_Raw_Products'!F437&lt;&gt;"",'01_Input_Raw_Products'!F437,'01_Input_Raw_Products'!D437)," ","-"))))</f>
        <v>0</v>
      </c>
      <c r="G437" s="9">
        <f>'01_Input_Raw_Products'!C437</f>
        <v>0</v>
      </c>
      <c r="H437" s="9" cm="1">
        <f t="array" ref="H437">IF('01_Input_Raw_Products'!H437&lt;&gt;"",'01_Input_Raw_Products'!H437,IFERROR(_xlfn.XLOOKUP('01_Input_Raw_Products'!F437,'10_Master_Gem_Types'!A:A,'10_Master_Gem_Types'!D:D),""))</f>
        <v>0</v>
      </c>
      <c r="I437" s="7">
        <f>IF('01_Input_Raw_Products'!N437&lt;&gt;"",'01_Input_Raw_Products'!N437,IF('01_Input_Raw_Products'!O437&lt;&gt;"",'01_Input_Raw_Products'!O437*0.91,""))</f>
        <v>0</v>
      </c>
      <c r="J437" s="9" cm="1">
        <f t="array" ref="J437">IFERROR(_xlfn.XLOOKUP('01_Input_Raw_Products'!F437,'10_Master_Gem_Types'!A:A,'10_Master_Gem_Types'!N:N),"")</f>
        <v>0</v>
      </c>
      <c r="K437" s="9" cm="1">
        <f t="array" ref="K437">IF('01_Input_Raw_Products'!J437&lt;&gt;"",'01_Input_Raw_Products'!J437,IFERROR(_xlfn.XLOOKUP('01_Input_Raw_Products'!F437,'10_Master_Gem_Types'!A:A,'10_Master_Gem_Types'!E:E),""))</f>
        <v>0</v>
      </c>
      <c r="L437" s="9">
        <f>'01_Input_Raw_Products'!P437</f>
        <v>0</v>
      </c>
      <c r="M437" s="9" cm="1">
        <f t="array" ref="M437">IFERROR(_xlfn.XLOOKUP('01_Input_Raw_Products'!K437,'12_Color_Mapping'!A:A,'12_Color_Mapping'!B:B),IFERROR(_xlfn.XLOOKUP('01_Input_Raw_Products'!F437,'10_Master_Gem_Types'!A:A,'10_Master_Gem_Types'!F:F),""))</f>
        <v>0</v>
      </c>
      <c r="N437" s="9">
        <f>IF(C437="","",IF('01_Input_Raw_Products'!F437&lt;&gt;"",'01_Input_Raw_Products'!F437,'01_Input_Raw_Products'!D437))</f>
        <v>0</v>
      </c>
      <c r="O437" s="9">
        <f>IF(C437="","","Catalog Automation")</f>
        <v>0</v>
      </c>
      <c r="P437" s="9">
        <f>'01_Input_Raw_Products'!U437</f>
        <v>0</v>
      </c>
      <c r="Q437" s="7">
        <f>IF('01_Input_Raw_Products'!O437&lt;&gt;"",'01_Input_Raw_Products'!O437,IF('01_Input_Raw_Products'!N437&lt;&gt;"",'01_Input_Raw_Products'!N437*1.1,""))</f>
        <v>0</v>
      </c>
      <c r="R437" s="9">
        <f>'01_Input_Raw_Products'!S437</f>
        <v>0</v>
      </c>
      <c r="S437" s="9" cm="1">
        <f t="array" ref="S437">IFERROR(_xlfn.XLOOKUP('01_Input_Raw_Products'!F437,'10_Master_Gem_Types'!A:A,'10_Master_Gem_Types'!H:H),"")</f>
        <v>0</v>
      </c>
      <c r="T437" s="8">
        <f>'01_Input_Raw_Products'!Q437</f>
        <v>0</v>
      </c>
      <c r="U437" s="8">
        <f>'01_Input_Raw_Products'!R437</f>
        <v>0</v>
      </c>
      <c r="V437" s="7">
        <f>I437</f>
        <v>0</v>
      </c>
      <c r="W437" s="9" cm="1">
        <f t="array" ref="W437">IF('01_Input_Raw_Products'!G437&lt;&gt;"",'01_Input_Raw_Products'!G437,IFERROR(_xlfn.XLOOKUP('01_Input_Raw_Products'!F437,'10_Master_Gem_Types'!A:A,'10_Master_Gem_Types'!L:L),""))</f>
        <v>0</v>
      </c>
      <c r="X437" s="9" cm="1">
        <f t="array" ref="X437">IFERROR(_xlfn.XLOOKUP('01_Input_Raw_Products'!F437,'10_Master_Gem_Types'!A:A,'10_Master_Gem_Types'!J:J),"")</f>
        <v>0</v>
      </c>
      <c r="Y437" s="9" cm="1">
        <f t="array" ref="Y437">IFERROR(_xlfn.XLOOKUP('01_Input_Raw_Products'!F437,'10_Master_Gem_Types'!A:A,'10_Master_Gem_Types'!I:I),"")</f>
        <v>0</v>
      </c>
      <c r="Z437" s="9" cm="1">
        <f t="array" ref="Z437">IFERROR(_xlfn.XLOOKUP('01_Input_Raw_Products'!L437,'13_Certification_Stickers'!A:A,'13_Certification_Stickers'!C:C),"")</f>
        <v>0</v>
      </c>
      <c r="AA437" s="9" cm="1">
        <f t="array" ref="AA437">IFERROR(_xlfn.XLOOKUP('01_Input_Raw_Products'!S437,'14_Shipping_Rules'!A:A,'14_Shipping_Rules'!B:B),"")</f>
        <v>0</v>
      </c>
      <c r="AB437" s="9" cm="1">
        <f t="array" ref="AB437">IFERROR(_xlfn.XLOOKUP('01_Input_Raw_Products'!D437,'16_Astro_Flags'!A:A,'16_Astro_Flags'!B:B),"")</f>
        <v>0</v>
      </c>
      <c r="AC437" s="9">
        <f>IF(C437="","","Catalog, Search")</f>
        <v>0</v>
      </c>
      <c r="AD437" s="9">
        <f>IF(C437="","",IF(OR(F437="",J437="",M437="",S437="",Y437=""),"Manual Review","Ready"))</f>
        <v>0</v>
      </c>
      <c r="AE437" s="9">
        <f>IF(C437="","",TEXTJOIN("; ",TRUE,IF(F437="","Missing url_key",""),IF(J437="","Missing classification",""),IF(M437="","Missing j_colour",""),IF(S437="","Missing hsn_code",""),IF(Y437="","Missing tax_class_id","")))</f>
        <v>0</v>
      </c>
    </row>
    <row r="438" spans="1:31">
      <c r="A438" s="9">
        <f>IF('01_Input_Raw_Products'!B438&lt;&gt;"",20,"")</f>
        <v>0</v>
      </c>
      <c r="B438" s="9" cm="1">
        <f t="array" ref="B438">IF('01_Input_Raw_Products'!M438&lt;&gt;"",'01_Input_Raw_Products'!M438,IFERROR(_xlfn.XLOOKUP('01_Input_Raw_Products'!F438,'10_Master_Gem_Types'!A:A,'10_Master_Gem_Types'!K:K),""))</f>
        <v>0</v>
      </c>
      <c r="C438" s="9">
        <f>'01_Input_Raw_Products'!B438</f>
        <v>0</v>
      </c>
      <c r="D438" s="9">
        <f>IF(C438="","",TEXT(I438,"0.00")&amp;" Ct "&amp;IF('01_Input_Raw_Products'!F438&lt;&gt;"",'01_Input_Raw_Products'!F438,'01_Input_Raw_Products'!D438)&amp;" "&amp;'01_Input_Raw_Products'!I438)</f>
        <v>0</v>
      </c>
      <c r="E438" s="9">
        <f>IF(C438="","",D438&amp;" | GemPundit")</f>
        <v>0</v>
      </c>
      <c r="F438" s="9" cm="1">
        <f t="array" ref="F438">IF('01_Input_Raw_Products'!X438&lt;&gt;"",'01_Input_Raw_Products'!X438,IFERROR(_xlfn.XLOOKUP('01_Input_Raw_Products'!F438,'10_Master_Gem_Types'!A:A,'10_Master_Gem_Types'!O:O),LOWER(SUBSTITUTE(IF('01_Input_Raw_Products'!F438&lt;&gt;"",'01_Input_Raw_Products'!F438,'01_Input_Raw_Products'!D438)," ","-"))))</f>
        <v>0</v>
      </c>
      <c r="G438" s="9">
        <f>'01_Input_Raw_Products'!C438</f>
        <v>0</v>
      </c>
      <c r="H438" s="9" cm="1">
        <f t="array" ref="H438">IF('01_Input_Raw_Products'!H438&lt;&gt;"",'01_Input_Raw_Products'!H438,IFERROR(_xlfn.XLOOKUP('01_Input_Raw_Products'!F438,'10_Master_Gem_Types'!A:A,'10_Master_Gem_Types'!D:D),""))</f>
        <v>0</v>
      </c>
      <c r="I438" s="7">
        <f>IF('01_Input_Raw_Products'!N438&lt;&gt;"",'01_Input_Raw_Products'!N438,IF('01_Input_Raw_Products'!O438&lt;&gt;"",'01_Input_Raw_Products'!O438*0.91,""))</f>
        <v>0</v>
      </c>
      <c r="J438" s="9" cm="1">
        <f t="array" ref="J438">IFERROR(_xlfn.XLOOKUP('01_Input_Raw_Products'!F438,'10_Master_Gem_Types'!A:A,'10_Master_Gem_Types'!N:N),"")</f>
        <v>0</v>
      </c>
      <c r="K438" s="9" cm="1">
        <f t="array" ref="K438">IF('01_Input_Raw_Products'!J438&lt;&gt;"",'01_Input_Raw_Products'!J438,IFERROR(_xlfn.XLOOKUP('01_Input_Raw_Products'!F438,'10_Master_Gem_Types'!A:A,'10_Master_Gem_Types'!E:E),""))</f>
        <v>0</v>
      </c>
      <c r="L438" s="9">
        <f>'01_Input_Raw_Products'!P438</f>
        <v>0</v>
      </c>
      <c r="M438" s="9" cm="1">
        <f t="array" ref="M438">IFERROR(_xlfn.XLOOKUP('01_Input_Raw_Products'!K438,'12_Color_Mapping'!A:A,'12_Color_Mapping'!B:B),IFERROR(_xlfn.XLOOKUP('01_Input_Raw_Products'!F438,'10_Master_Gem_Types'!A:A,'10_Master_Gem_Types'!F:F),""))</f>
        <v>0</v>
      </c>
      <c r="N438" s="9">
        <f>IF(C438="","",IF('01_Input_Raw_Products'!F438&lt;&gt;"",'01_Input_Raw_Products'!F438,'01_Input_Raw_Products'!D438))</f>
        <v>0</v>
      </c>
      <c r="O438" s="9">
        <f>IF(C438="","","Catalog Automation")</f>
        <v>0</v>
      </c>
      <c r="P438" s="9">
        <f>'01_Input_Raw_Products'!U438</f>
        <v>0</v>
      </c>
      <c r="Q438" s="7">
        <f>IF('01_Input_Raw_Products'!O438&lt;&gt;"",'01_Input_Raw_Products'!O438,IF('01_Input_Raw_Products'!N438&lt;&gt;"",'01_Input_Raw_Products'!N438*1.1,""))</f>
        <v>0</v>
      </c>
      <c r="R438" s="9">
        <f>'01_Input_Raw_Products'!S438</f>
        <v>0</v>
      </c>
      <c r="S438" s="9" cm="1">
        <f t="array" ref="S438">IFERROR(_xlfn.XLOOKUP('01_Input_Raw_Products'!F438,'10_Master_Gem_Types'!A:A,'10_Master_Gem_Types'!H:H),"")</f>
        <v>0</v>
      </c>
      <c r="T438" s="8">
        <f>'01_Input_Raw_Products'!Q438</f>
        <v>0</v>
      </c>
      <c r="U438" s="8">
        <f>'01_Input_Raw_Products'!R438</f>
        <v>0</v>
      </c>
      <c r="V438" s="7">
        <f>I438</f>
        <v>0</v>
      </c>
      <c r="W438" s="9" cm="1">
        <f t="array" ref="W438">IF('01_Input_Raw_Products'!G438&lt;&gt;"",'01_Input_Raw_Products'!G438,IFERROR(_xlfn.XLOOKUP('01_Input_Raw_Products'!F438,'10_Master_Gem_Types'!A:A,'10_Master_Gem_Types'!L:L),""))</f>
        <v>0</v>
      </c>
      <c r="X438" s="9" cm="1">
        <f t="array" ref="X438">IFERROR(_xlfn.XLOOKUP('01_Input_Raw_Products'!F438,'10_Master_Gem_Types'!A:A,'10_Master_Gem_Types'!J:J),"")</f>
        <v>0</v>
      </c>
      <c r="Y438" s="9" cm="1">
        <f t="array" ref="Y438">IFERROR(_xlfn.XLOOKUP('01_Input_Raw_Products'!F438,'10_Master_Gem_Types'!A:A,'10_Master_Gem_Types'!I:I),"")</f>
        <v>0</v>
      </c>
      <c r="Z438" s="9" cm="1">
        <f t="array" ref="Z438">IFERROR(_xlfn.XLOOKUP('01_Input_Raw_Products'!L438,'13_Certification_Stickers'!A:A,'13_Certification_Stickers'!C:C),"")</f>
        <v>0</v>
      </c>
      <c r="AA438" s="9" cm="1">
        <f t="array" ref="AA438">IFERROR(_xlfn.XLOOKUP('01_Input_Raw_Products'!S438,'14_Shipping_Rules'!A:A,'14_Shipping_Rules'!B:B),"")</f>
        <v>0</v>
      </c>
      <c r="AB438" s="9" cm="1">
        <f t="array" ref="AB438">IFERROR(_xlfn.XLOOKUP('01_Input_Raw_Products'!D438,'16_Astro_Flags'!A:A,'16_Astro_Flags'!B:B),"")</f>
        <v>0</v>
      </c>
      <c r="AC438" s="9">
        <f>IF(C438="","","Catalog, Search")</f>
        <v>0</v>
      </c>
      <c r="AD438" s="9">
        <f>IF(C438="","",IF(OR(F438="",J438="",M438="",S438="",Y438=""),"Manual Review","Ready"))</f>
        <v>0</v>
      </c>
      <c r="AE438" s="9">
        <f>IF(C438="","",TEXTJOIN("; ",TRUE,IF(F438="","Missing url_key",""),IF(J438="","Missing classification",""),IF(M438="","Missing j_colour",""),IF(S438="","Missing hsn_code",""),IF(Y438="","Missing tax_class_id","")))</f>
        <v>0</v>
      </c>
    </row>
    <row r="439" spans="1:31">
      <c r="A439" s="9">
        <f>IF('01_Input_Raw_Products'!B439&lt;&gt;"",20,"")</f>
        <v>0</v>
      </c>
      <c r="B439" s="9" cm="1">
        <f t="array" ref="B439">IF('01_Input_Raw_Products'!M439&lt;&gt;"",'01_Input_Raw_Products'!M439,IFERROR(_xlfn.XLOOKUP('01_Input_Raw_Products'!F439,'10_Master_Gem_Types'!A:A,'10_Master_Gem_Types'!K:K),""))</f>
        <v>0</v>
      </c>
      <c r="C439" s="9">
        <f>'01_Input_Raw_Products'!B439</f>
        <v>0</v>
      </c>
      <c r="D439" s="9">
        <f>IF(C439="","",TEXT(I439,"0.00")&amp;" Ct "&amp;IF('01_Input_Raw_Products'!F439&lt;&gt;"",'01_Input_Raw_Products'!F439,'01_Input_Raw_Products'!D439)&amp;" "&amp;'01_Input_Raw_Products'!I439)</f>
        <v>0</v>
      </c>
      <c r="E439" s="9">
        <f>IF(C439="","",D439&amp;" | GemPundit")</f>
        <v>0</v>
      </c>
      <c r="F439" s="9" cm="1">
        <f t="array" ref="F439">IF('01_Input_Raw_Products'!X439&lt;&gt;"",'01_Input_Raw_Products'!X439,IFERROR(_xlfn.XLOOKUP('01_Input_Raw_Products'!F439,'10_Master_Gem_Types'!A:A,'10_Master_Gem_Types'!O:O),LOWER(SUBSTITUTE(IF('01_Input_Raw_Products'!F439&lt;&gt;"",'01_Input_Raw_Products'!F439,'01_Input_Raw_Products'!D439)," ","-"))))</f>
        <v>0</v>
      </c>
      <c r="G439" s="9">
        <f>'01_Input_Raw_Products'!C439</f>
        <v>0</v>
      </c>
      <c r="H439" s="9" cm="1">
        <f t="array" ref="H439">IF('01_Input_Raw_Products'!H439&lt;&gt;"",'01_Input_Raw_Products'!H439,IFERROR(_xlfn.XLOOKUP('01_Input_Raw_Products'!F439,'10_Master_Gem_Types'!A:A,'10_Master_Gem_Types'!D:D),""))</f>
        <v>0</v>
      </c>
      <c r="I439" s="7">
        <f>IF('01_Input_Raw_Products'!N439&lt;&gt;"",'01_Input_Raw_Products'!N439,IF('01_Input_Raw_Products'!O439&lt;&gt;"",'01_Input_Raw_Products'!O439*0.91,""))</f>
        <v>0</v>
      </c>
      <c r="J439" s="9" cm="1">
        <f t="array" ref="J439">IFERROR(_xlfn.XLOOKUP('01_Input_Raw_Products'!F439,'10_Master_Gem_Types'!A:A,'10_Master_Gem_Types'!N:N),"")</f>
        <v>0</v>
      </c>
      <c r="K439" s="9" cm="1">
        <f t="array" ref="K439">IF('01_Input_Raw_Products'!J439&lt;&gt;"",'01_Input_Raw_Products'!J439,IFERROR(_xlfn.XLOOKUP('01_Input_Raw_Products'!F439,'10_Master_Gem_Types'!A:A,'10_Master_Gem_Types'!E:E),""))</f>
        <v>0</v>
      </c>
      <c r="L439" s="9">
        <f>'01_Input_Raw_Products'!P439</f>
        <v>0</v>
      </c>
      <c r="M439" s="9" cm="1">
        <f t="array" ref="M439">IFERROR(_xlfn.XLOOKUP('01_Input_Raw_Products'!K439,'12_Color_Mapping'!A:A,'12_Color_Mapping'!B:B),IFERROR(_xlfn.XLOOKUP('01_Input_Raw_Products'!F439,'10_Master_Gem_Types'!A:A,'10_Master_Gem_Types'!F:F),""))</f>
        <v>0</v>
      </c>
      <c r="N439" s="9">
        <f>IF(C439="","",IF('01_Input_Raw_Products'!F439&lt;&gt;"",'01_Input_Raw_Products'!F439,'01_Input_Raw_Products'!D439))</f>
        <v>0</v>
      </c>
      <c r="O439" s="9">
        <f>IF(C439="","","Catalog Automation")</f>
        <v>0</v>
      </c>
      <c r="P439" s="9">
        <f>'01_Input_Raw_Products'!U439</f>
        <v>0</v>
      </c>
      <c r="Q439" s="7">
        <f>IF('01_Input_Raw_Products'!O439&lt;&gt;"",'01_Input_Raw_Products'!O439,IF('01_Input_Raw_Products'!N439&lt;&gt;"",'01_Input_Raw_Products'!N439*1.1,""))</f>
        <v>0</v>
      </c>
      <c r="R439" s="9">
        <f>'01_Input_Raw_Products'!S439</f>
        <v>0</v>
      </c>
      <c r="S439" s="9" cm="1">
        <f t="array" ref="S439">IFERROR(_xlfn.XLOOKUP('01_Input_Raw_Products'!F439,'10_Master_Gem_Types'!A:A,'10_Master_Gem_Types'!H:H),"")</f>
        <v>0</v>
      </c>
      <c r="T439" s="8">
        <f>'01_Input_Raw_Products'!Q439</f>
        <v>0</v>
      </c>
      <c r="U439" s="8">
        <f>'01_Input_Raw_Products'!R439</f>
        <v>0</v>
      </c>
      <c r="V439" s="7">
        <f>I439</f>
        <v>0</v>
      </c>
      <c r="W439" s="9" cm="1">
        <f t="array" ref="W439">IF('01_Input_Raw_Products'!G439&lt;&gt;"",'01_Input_Raw_Products'!G439,IFERROR(_xlfn.XLOOKUP('01_Input_Raw_Products'!F439,'10_Master_Gem_Types'!A:A,'10_Master_Gem_Types'!L:L),""))</f>
        <v>0</v>
      </c>
      <c r="X439" s="9" cm="1">
        <f t="array" ref="X439">IFERROR(_xlfn.XLOOKUP('01_Input_Raw_Products'!F439,'10_Master_Gem_Types'!A:A,'10_Master_Gem_Types'!J:J),"")</f>
        <v>0</v>
      </c>
      <c r="Y439" s="9" cm="1">
        <f t="array" ref="Y439">IFERROR(_xlfn.XLOOKUP('01_Input_Raw_Products'!F439,'10_Master_Gem_Types'!A:A,'10_Master_Gem_Types'!I:I),"")</f>
        <v>0</v>
      </c>
      <c r="Z439" s="9" cm="1">
        <f t="array" ref="Z439">IFERROR(_xlfn.XLOOKUP('01_Input_Raw_Products'!L439,'13_Certification_Stickers'!A:A,'13_Certification_Stickers'!C:C),"")</f>
        <v>0</v>
      </c>
      <c r="AA439" s="9" cm="1">
        <f t="array" ref="AA439">IFERROR(_xlfn.XLOOKUP('01_Input_Raw_Products'!S439,'14_Shipping_Rules'!A:A,'14_Shipping_Rules'!B:B),"")</f>
        <v>0</v>
      </c>
      <c r="AB439" s="9" cm="1">
        <f t="array" ref="AB439">IFERROR(_xlfn.XLOOKUP('01_Input_Raw_Products'!D439,'16_Astro_Flags'!A:A,'16_Astro_Flags'!B:B),"")</f>
        <v>0</v>
      </c>
      <c r="AC439" s="9">
        <f>IF(C439="","","Catalog, Search")</f>
        <v>0</v>
      </c>
      <c r="AD439" s="9">
        <f>IF(C439="","",IF(OR(F439="",J439="",M439="",S439="",Y439=""),"Manual Review","Ready"))</f>
        <v>0</v>
      </c>
      <c r="AE439" s="9">
        <f>IF(C439="","",TEXTJOIN("; ",TRUE,IF(F439="","Missing url_key",""),IF(J439="","Missing classification",""),IF(M439="","Missing j_colour",""),IF(S439="","Missing hsn_code",""),IF(Y439="","Missing tax_class_id","")))</f>
        <v>0</v>
      </c>
    </row>
    <row r="440" spans="1:31">
      <c r="A440" s="9">
        <f>IF('01_Input_Raw_Products'!B440&lt;&gt;"",20,"")</f>
        <v>0</v>
      </c>
      <c r="B440" s="9" cm="1">
        <f t="array" ref="B440">IF('01_Input_Raw_Products'!M440&lt;&gt;"",'01_Input_Raw_Products'!M440,IFERROR(_xlfn.XLOOKUP('01_Input_Raw_Products'!F440,'10_Master_Gem_Types'!A:A,'10_Master_Gem_Types'!K:K),""))</f>
        <v>0</v>
      </c>
      <c r="C440" s="9">
        <f>'01_Input_Raw_Products'!B440</f>
        <v>0</v>
      </c>
      <c r="D440" s="9">
        <f>IF(C440="","",TEXT(I440,"0.00")&amp;" Ct "&amp;IF('01_Input_Raw_Products'!F440&lt;&gt;"",'01_Input_Raw_Products'!F440,'01_Input_Raw_Products'!D440)&amp;" "&amp;'01_Input_Raw_Products'!I440)</f>
        <v>0</v>
      </c>
      <c r="E440" s="9">
        <f>IF(C440="","",D440&amp;" | GemPundit")</f>
        <v>0</v>
      </c>
      <c r="F440" s="9" cm="1">
        <f t="array" ref="F440">IF('01_Input_Raw_Products'!X440&lt;&gt;"",'01_Input_Raw_Products'!X440,IFERROR(_xlfn.XLOOKUP('01_Input_Raw_Products'!F440,'10_Master_Gem_Types'!A:A,'10_Master_Gem_Types'!O:O),LOWER(SUBSTITUTE(IF('01_Input_Raw_Products'!F440&lt;&gt;"",'01_Input_Raw_Products'!F440,'01_Input_Raw_Products'!D440)," ","-"))))</f>
        <v>0</v>
      </c>
      <c r="G440" s="9">
        <f>'01_Input_Raw_Products'!C440</f>
        <v>0</v>
      </c>
      <c r="H440" s="9" cm="1">
        <f t="array" ref="H440">IF('01_Input_Raw_Products'!H440&lt;&gt;"",'01_Input_Raw_Products'!H440,IFERROR(_xlfn.XLOOKUP('01_Input_Raw_Products'!F440,'10_Master_Gem_Types'!A:A,'10_Master_Gem_Types'!D:D),""))</f>
        <v>0</v>
      </c>
      <c r="I440" s="7">
        <f>IF('01_Input_Raw_Products'!N440&lt;&gt;"",'01_Input_Raw_Products'!N440,IF('01_Input_Raw_Products'!O440&lt;&gt;"",'01_Input_Raw_Products'!O440*0.91,""))</f>
        <v>0</v>
      </c>
      <c r="J440" s="9" cm="1">
        <f t="array" ref="J440">IFERROR(_xlfn.XLOOKUP('01_Input_Raw_Products'!F440,'10_Master_Gem_Types'!A:A,'10_Master_Gem_Types'!N:N),"")</f>
        <v>0</v>
      </c>
      <c r="K440" s="9" cm="1">
        <f t="array" ref="K440">IF('01_Input_Raw_Products'!J440&lt;&gt;"",'01_Input_Raw_Products'!J440,IFERROR(_xlfn.XLOOKUP('01_Input_Raw_Products'!F440,'10_Master_Gem_Types'!A:A,'10_Master_Gem_Types'!E:E),""))</f>
        <v>0</v>
      </c>
      <c r="L440" s="9">
        <f>'01_Input_Raw_Products'!P440</f>
        <v>0</v>
      </c>
      <c r="M440" s="9" cm="1">
        <f t="array" ref="M440">IFERROR(_xlfn.XLOOKUP('01_Input_Raw_Products'!K440,'12_Color_Mapping'!A:A,'12_Color_Mapping'!B:B),IFERROR(_xlfn.XLOOKUP('01_Input_Raw_Products'!F440,'10_Master_Gem_Types'!A:A,'10_Master_Gem_Types'!F:F),""))</f>
        <v>0</v>
      </c>
      <c r="N440" s="9">
        <f>IF(C440="","",IF('01_Input_Raw_Products'!F440&lt;&gt;"",'01_Input_Raw_Products'!F440,'01_Input_Raw_Products'!D440))</f>
        <v>0</v>
      </c>
      <c r="O440" s="9">
        <f>IF(C440="","","Catalog Automation")</f>
        <v>0</v>
      </c>
      <c r="P440" s="9">
        <f>'01_Input_Raw_Products'!U440</f>
        <v>0</v>
      </c>
      <c r="Q440" s="7">
        <f>IF('01_Input_Raw_Products'!O440&lt;&gt;"",'01_Input_Raw_Products'!O440,IF('01_Input_Raw_Products'!N440&lt;&gt;"",'01_Input_Raw_Products'!N440*1.1,""))</f>
        <v>0</v>
      </c>
      <c r="R440" s="9">
        <f>'01_Input_Raw_Products'!S440</f>
        <v>0</v>
      </c>
      <c r="S440" s="9" cm="1">
        <f t="array" ref="S440">IFERROR(_xlfn.XLOOKUP('01_Input_Raw_Products'!F440,'10_Master_Gem_Types'!A:A,'10_Master_Gem_Types'!H:H),"")</f>
        <v>0</v>
      </c>
      <c r="T440" s="8">
        <f>'01_Input_Raw_Products'!Q440</f>
        <v>0</v>
      </c>
      <c r="U440" s="8">
        <f>'01_Input_Raw_Products'!R440</f>
        <v>0</v>
      </c>
      <c r="V440" s="7">
        <f>I440</f>
        <v>0</v>
      </c>
      <c r="W440" s="9" cm="1">
        <f t="array" ref="W440">IF('01_Input_Raw_Products'!G440&lt;&gt;"",'01_Input_Raw_Products'!G440,IFERROR(_xlfn.XLOOKUP('01_Input_Raw_Products'!F440,'10_Master_Gem_Types'!A:A,'10_Master_Gem_Types'!L:L),""))</f>
        <v>0</v>
      </c>
      <c r="X440" s="9" cm="1">
        <f t="array" ref="X440">IFERROR(_xlfn.XLOOKUP('01_Input_Raw_Products'!F440,'10_Master_Gem_Types'!A:A,'10_Master_Gem_Types'!J:J),"")</f>
        <v>0</v>
      </c>
      <c r="Y440" s="9" cm="1">
        <f t="array" ref="Y440">IFERROR(_xlfn.XLOOKUP('01_Input_Raw_Products'!F440,'10_Master_Gem_Types'!A:A,'10_Master_Gem_Types'!I:I),"")</f>
        <v>0</v>
      </c>
      <c r="Z440" s="9" cm="1">
        <f t="array" ref="Z440">IFERROR(_xlfn.XLOOKUP('01_Input_Raw_Products'!L440,'13_Certification_Stickers'!A:A,'13_Certification_Stickers'!C:C),"")</f>
        <v>0</v>
      </c>
      <c r="AA440" s="9" cm="1">
        <f t="array" ref="AA440">IFERROR(_xlfn.XLOOKUP('01_Input_Raw_Products'!S440,'14_Shipping_Rules'!A:A,'14_Shipping_Rules'!B:B),"")</f>
        <v>0</v>
      </c>
      <c r="AB440" s="9" cm="1">
        <f t="array" ref="AB440">IFERROR(_xlfn.XLOOKUP('01_Input_Raw_Products'!D440,'16_Astro_Flags'!A:A,'16_Astro_Flags'!B:B),"")</f>
        <v>0</v>
      </c>
      <c r="AC440" s="9">
        <f>IF(C440="","","Catalog, Search")</f>
        <v>0</v>
      </c>
      <c r="AD440" s="9">
        <f>IF(C440="","",IF(OR(F440="",J440="",M440="",S440="",Y440=""),"Manual Review","Ready"))</f>
        <v>0</v>
      </c>
      <c r="AE440" s="9">
        <f>IF(C440="","",TEXTJOIN("; ",TRUE,IF(F440="","Missing url_key",""),IF(J440="","Missing classification",""),IF(M440="","Missing j_colour",""),IF(S440="","Missing hsn_code",""),IF(Y440="","Missing tax_class_id","")))</f>
        <v>0</v>
      </c>
    </row>
    <row r="441" spans="1:31">
      <c r="A441" s="9">
        <f>IF('01_Input_Raw_Products'!B441&lt;&gt;"",20,"")</f>
        <v>0</v>
      </c>
      <c r="B441" s="9" cm="1">
        <f t="array" ref="B441">IF('01_Input_Raw_Products'!M441&lt;&gt;"",'01_Input_Raw_Products'!M441,IFERROR(_xlfn.XLOOKUP('01_Input_Raw_Products'!F441,'10_Master_Gem_Types'!A:A,'10_Master_Gem_Types'!K:K),""))</f>
        <v>0</v>
      </c>
      <c r="C441" s="9">
        <f>'01_Input_Raw_Products'!B441</f>
        <v>0</v>
      </c>
      <c r="D441" s="9">
        <f>IF(C441="","",TEXT(I441,"0.00")&amp;" Ct "&amp;IF('01_Input_Raw_Products'!F441&lt;&gt;"",'01_Input_Raw_Products'!F441,'01_Input_Raw_Products'!D441)&amp;" "&amp;'01_Input_Raw_Products'!I441)</f>
        <v>0</v>
      </c>
      <c r="E441" s="9">
        <f>IF(C441="","",D441&amp;" | GemPundit")</f>
        <v>0</v>
      </c>
      <c r="F441" s="9" cm="1">
        <f t="array" ref="F441">IF('01_Input_Raw_Products'!X441&lt;&gt;"",'01_Input_Raw_Products'!X441,IFERROR(_xlfn.XLOOKUP('01_Input_Raw_Products'!F441,'10_Master_Gem_Types'!A:A,'10_Master_Gem_Types'!O:O),LOWER(SUBSTITUTE(IF('01_Input_Raw_Products'!F441&lt;&gt;"",'01_Input_Raw_Products'!F441,'01_Input_Raw_Products'!D441)," ","-"))))</f>
        <v>0</v>
      </c>
      <c r="G441" s="9">
        <f>'01_Input_Raw_Products'!C441</f>
        <v>0</v>
      </c>
      <c r="H441" s="9" cm="1">
        <f t="array" ref="H441">IF('01_Input_Raw_Products'!H441&lt;&gt;"",'01_Input_Raw_Products'!H441,IFERROR(_xlfn.XLOOKUP('01_Input_Raw_Products'!F441,'10_Master_Gem_Types'!A:A,'10_Master_Gem_Types'!D:D),""))</f>
        <v>0</v>
      </c>
      <c r="I441" s="7">
        <f>IF('01_Input_Raw_Products'!N441&lt;&gt;"",'01_Input_Raw_Products'!N441,IF('01_Input_Raw_Products'!O441&lt;&gt;"",'01_Input_Raw_Products'!O441*0.91,""))</f>
        <v>0</v>
      </c>
      <c r="J441" s="9" cm="1">
        <f t="array" ref="J441">IFERROR(_xlfn.XLOOKUP('01_Input_Raw_Products'!F441,'10_Master_Gem_Types'!A:A,'10_Master_Gem_Types'!N:N),"")</f>
        <v>0</v>
      </c>
      <c r="K441" s="9" cm="1">
        <f t="array" ref="K441">IF('01_Input_Raw_Products'!J441&lt;&gt;"",'01_Input_Raw_Products'!J441,IFERROR(_xlfn.XLOOKUP('01_Input_Raw_Products'!F441,'10_Master_Gem_Types'!A:A,'10_Master_Gem_Types'!E:E),""))</f>
        <v>0</v>
      </c>
      <c r="L441" s="9">
        <f>'01_Input_Raw_Products'!P441</f>
        <v>0</v>
      </c>
      <c r="M441" s="9" cm="1">
        <f t="array" ref="M441">IFERROR(_xlfn.XLOOKUP('01_Input_Raw_Products'!K441,'12_Color_Mapping'!A:A,'12_Color_Mapping'!B:B),IFERROR(_xlfn.XLOOKUP('01_Input_Raw_Products'!F441,'10_Master_Gem_Types'!A:A,'10_Master_Gem_Types'!F:F),""))</f>
        <v>0</v>
      </c>
      <c r="N441" s="9">
        <f>IF(C441="","",IF('01_Input_Raw_Products'!F441&lt;&gt;"",'01_Input_Raw_Products'!F441,'01_Input_Raw_Products'!D441))</f>
        <v>0</v>
      </c>
      <c r="O441" s="9">
        <f>IF(C441="","","Catalog Automation")</f>
        <v>0</v>
      </c>
      <c r="P441" s="9">
        <f>'01_Input_Raw_Products'!U441</f>
        <v>0</v>
      </c>
      <c r="Q441" s="7">
        <f>IF('01_Input_Raw_Products'!O441&lt;&gt;"",'01_Input_Raw_Products'!O441,IF('01_Input_Raw_Products'!N441&lt;&gt;"",'01_Input_Raw_Products'!N441*1.1,""))</f>
        <v>0</v>
      </c>
      <c r="R441" s="9">
        <f>'01_Input_Raw_Products'!S441</f>
        <v>0</v>
      </c>
      <c r="S441" s="9" cm="1">
        <f t="array" ref="S441">IFERROR(_xlfn.XLOOKUP('01_Input_Raw_Products'!F441,'10_Master_Gem_Types'!A:A,'10_Master_Gem_Types'!H:H),"")</f>
        <v>0</v>
      </c>
      <c r="T441" s="8">
        <f>'01_Input_Raw_Products'!Q441</f>
        <v>0</v>
      </c>
      <c r="U441" s="8">
        <f>'01_Input_Raw_Products'!R441</f>
        <v>0</v>
      </c>
      <c r="V441" s="7">
        <f>I441</f>
        <v>0</v>
      </c>
      <c r="W441" s="9" cm="1">
        <f t="array" ref="W441">IF('01_Input_Raw_Products'!G441&lt;&gt;"",'01_Input_Raw_Products'!G441,IFERROR(_xlfn.XLOOKUP('01_Input_Raw_Products'!F441,'10_Master_Gem_Types'!A:A,'10_Master_Gem_Types'!L:L),""))</f>
        <v>0</v>
      </c>
      <c r="X441" s="9" cm="1">
        <f t="array" ref="X441">IFERROR(_xlfn.XLOOKUP('01_Input_Raw_Products'!F441,'10_Master_Gem_Types'!A:A,'10_Master_Gem_Types'!J:J),"")</f>
        <v>0</v>
      </c>
      <c r="Y441" s="9" cm="1">
        <f t="array" ref="Y441">IFERROR(_xlfn.XLOOKUP('01_Input_Raw_Products'!F441,'10_Master_Gem_Types'!A:A,'10_Master_Gem_Types'!I:I),"")</f>
        <v>0</v>
      </c>
      <c r="Z441" s="9" cm="1">
        <f t="array" ref="Z441">IFERROR(_xlfn.XLOOKUP('01_Input_Raw_Products'!L441,'13_Certification_Stickers'!A:A,'13_Certification_Stickers'!C:C),"")</f>
        <v>0</v>
      </c>
      <c r="AA441" s="9" cm="1">
        <f t="array" ref="AA441">IFERROR(_xlfn.XLOOKUP('01_Input_Raw_Products'!S441,'14_Shipping_Rules'!A:A,'14_Shipping_Rules'!B:B),"")</f>
        <v>0</v>
      </c>
      <c r="AB441" s="9" cm="1">
        <f t="array" ref="AB441">IFERROR(_xlfn.XLOOKUP('01_Input_Raw_Products'!D441,'16_Astro_Flags'!A:A,'16_Astro_Flags'!B:B),"")</f>
        <v>0</v>
      </c>
      <c r="AC441" s="9">
        <f>IF(C441="","","Catalog, Search")</f>
        <v>0</v>
      </c>
      <c r="AD441" s="9">
        <f>IF(C441="","",IF(OR(F441="",J441="",M441="",S441="",Y441=""),"Manual Review","Ready"))</f>
        <v>0</v>
      </c>
      <c r="AE441" s="9">
        <f>IF(C441="","",TEXTJOIN("; ",TRUE,IF(F441="","Missing url_key",""),IF(J441="","Missing classification",""),IF(M441="","Missing j_colour",""),IF(S441="","Missing hsn_code",""),IF(Y441="","Missing tax_class_id","")))</f>
        <v>0</v>
      </c>
    </row>
    <row r="442" spans="1:31">
      <c r="A442" s="9">
        <f>IF('01_Input_Raw_Products'!B442&lt;&gt;"",20,"")</f>
        <v>0</v>
      </c>
      <c r="B442" s="9" cm="1">
        <f t="array" ref="B442">IF('01_Input_Raw_Products'!M442&lt;&gt;"",'01_Input_Raw_Products'!M442,IFERROR(_xlfn.XLOOKUP('01_Input_Raw_Products'!F442,'10_Master_Gem_Types'!A:A,'10_Master_Gem_Types'!K:K),""))</f>
        <v>0</v>
      </c>
      <c r="C442" s="9">
        <f>'01_Input_Raw_Products'!B442</f>
        <v>0</v>
      </c>
      <c r="D442" s="9">
        <f>IF(C442="","",TEXT(I442,"0.00")&amp;" Ct "&amp;IF('01_Input_Raw_Products'!F442&lt;&gt;"",'01_Input_Raw_Products'!F442,'01_Input_Raw_Products'!D442)&amp;" "&amp;'01_Input_Raw_Products'!I442)</f>
        <v>0</v>
      </c>
      <c r="E442" s="9">
        <f>IF(C442="","",D442&amp;" | GemPundit")</f>
        <v>0</v>
      </c>
      <c r="F442" s="9" cm="1">
        <f t="array" ref="F442">IF('01_Input_Raw_Products'!X442&lt;&gt;"",'01_Input_Raw_Products'!X442,IFERROR(_xlfn.XLOOKUP('01_Input_Raw_Products'!F442,'10_Master_Gem_Types'!A:A,'10_Master_Gem_Types'!O:O),LOWER(SUBSTITUTE(IF('01_Input_Raw_Products'!F442&lt;&gt;"",'01_Input_Raw_Products'!F442,'01_Input_Raw_Products'!D442)," ","-"))))</f>
        <v>0</v>
      </c>
      <c r="G442" s="9">
        <f>'01_Input_Raw_Products'!C442</f>
        <v>0</v>
      </c>
      <c r="H442" s="9" cm="1">
        <f t="array" ref="H442">IF('01_Input_Raw_Products'!H442&lt;&gt;"",'01_Input_Raw_Products'!H442,IFERROR(_xlfn.XLOOKUP('01_Input_Raw_Products'!F442,'10_Master_Gem_Types'!A:A,'10_Master_Gem_Types'!D:D),""))</f>
        <v>0</v>
      </c>
      <c r="I442" s="7">
        <f>IF('01_Input_Raw_Products'!N442&lt;&gt;"",'01_Input_Raw_Products'!N442,IF('01_Input_Raw_Products'!O442&lt;&gt;"",'01_Input_Raw_Products'!O442*0.91,""))</f>
        <v>0</v>
      </c>
      <c r="J442" s="9" cm="1">
        <f t="array" ref="J442">IFERROR(_xlfn.XLOOKUP('01_Input_Raw_Products'!F442,'10_Master_Gem_Types'!A:A,'10_Master_Gem_Types'!N:N),"")</f>
        <v>0</v>
      </c>
      <c r="K442" s="9" cm="1">
        <f t="array" ref="K442">IF('01_Input_Raw_Products'!J442&lt;&gt;"",'01_Input_Raw_Products'!J442,IFERROR(_xlfn.XLOOKUP('01_Input_Raw_Products'!F442,'10_Master_Gem_Types'!A:A,'10_Master_Gem_Types'!E:E),""))</f>
        <v>0</v>
      </c>
      <c r="L442" s="9">
        <f>'01_Input_Raw_Products'!P442</f>
        <v>0</v>
      </c>
      <c r="M442" s="9" cm="1">
        <f t="array" ref="M442">IFERROR(_xlfn.XLOOKUP('01_Input_Raw_Products'!K442,'12_Color_Mapping'!A:A,'12_Color_Mapping'!B:B),IFERROR(_xlfn.XLOOKUP('01_Input_Raw_Products'!F442,'10_Master_Gem_Types'!A:A,'10_Master_Gem_Types'!F:F),""))</f>
        <v>0</v>
      </c>
      <c r="N442" s="9">
        <f>IF(C442="","",IF('01_Input_Raw_Products'!F442&lt;&gt;"",'01_Input_Raw_Products'!F442,'01_Input_Raw_Products'!D442))</f>
        <v>0</v>
      </c>
      <c r="O442" s="9">
        <f>IF(C442="","","Catalog Automation")</f>
        <v>0</v>
      </c>
      <c r="P442" s="9">
        <f>'01_Input_Raw_Products'!U442</f>
        <v>0</v>
      </c>
      <c r="Q442" s="7">
        <f>IF('01_Input_Raw_Products'!O442&lt;&gt;"",'01_Input_Raw_Products'!O442,IF('01_Input_Raw_Products'!N442&lt;&gt;"",'01_Input_Raw_Products'!N442*1.1,""))</f>
        <v>0</v>
      </c>
      <c r="R442" s="9">
        <f>'01_Input_Raw_Products'!S442</f>
        <v>0</v>
      </c>
      <c r="S442" s="9" cm="1">
        <f t="array" ref="S442">IFERROR(_xlfn.XLOOKUP('01_Input_Raw_Products'!F442,'10_Master_Gem_Types'!A:A,'10_Master_Gem_Types'!H:H),"")</f>
        <v>0</v>
      </c>
      <c r="T442" s="8">
        <f>'01_Input_Raw_Products'!Q442</f>
        <v>0</v>
      </c>
      <c r="U442" s="8">
        <f>'01_Input_Raw_Products'!R442</f>
        <v>0</v>
      </c>
      <c r="V442" s="7">
        <f>I442</f>
        <v>0</v>
      </c>
      <c r="W442" s="9" cm="1">
        <f t="array" ref="W442">IF('01_Input_Raw_Products'!G442&lt;&gt;"",'01_Input_Raw_Products'!G442,IFERROR(_xlfn.XLOOKUP('01_Input_Raw_Products'!F442,'10_Master_Gem_Types'!A:A,'10_Master_Gem_Types'!L:L),""))</f>
        <v>0</v>
      </c>
      <c r="X442" s="9" cm="1">
        <f t="array" ref="X442">IFERROR(_xlfn.XLOOKUP('01_Input_Raw_Products'!F442,'10_Master_Gem_Types'!A:A,'10_Master_Gem_Types'!J:J),"")</f>
        <v>0</v>
      </c>
      <c r="Y442" s="9" cm="1">
        <f t="array" ref="Y442">IFERROR(_xlfn.XLOOKUP('01_Input_Raw_Products'!F442,'10_Master_Gem_Types'!A:A,'10_Master_Gem_Types'!I:I),"")</f>
        <v>0</v>
      </c>
      <c r="Z442" s="9" cm="1">
        <f t="array" ref="Z442">IFERROR(_xlfn.XLOOKUP('01_Input_Raw_Products'!L442,'13_Certification_Stickers'!A:A,'13_Certification_Stickers'!C:C),"")</f>
        <v>0</v>
      </c>
      <c r="AA442" s="9" cm="1">
        <f t="array" ref="AA442">IFERROR(_xlfn.XLOOKUP('01_Input_Raw_Products'!S442,'14_Shipping_Rules'!A:A,'14_Shipping_Rules'!B:B),"")</f>
        <v>0</v>
      </c>
      <c r="AB442" s="9" cm="1">
        <f t="array" ref="AB442">IFERROR(_xlfn.XLOOKUP('01_Input_Raw_Products'!D442,'16_Astro_Flags'!A:A,'16_Astro_Flags'!B:B),"")</f>
        <v>0</v>
      </c>
      <c r="AC442" s="9">
        <f>IF(C442="","","Catalog, Search")</f>
        <v>0</v>
      </c>
      <c r="AD442" s="9">
        <f>IF(C442="","",IF(OR(F442="",J442="",M442="",S442="",Y442=""),"Manual Review","Ready"))</f>
        <v>0</v>
      </c>
      <c r="AE442" s="9">
        <f>IF(C442="","",TEXTJOIN("; ",TRUE,IF(F442="","Missing url_key",""),IF(J442="","Missing classification",""),IF(M442="","Missing j_colour",""),IF(S442="","Missing hsn_code",""),IF(Y442="","Missing tax_class_id","")))</f>
        <v>0</v>
      </c>
    </row>
    <row r="443" spans="1:31">
      <c r="A443" s="9">
        <f>IF('01_Input_Raw_Products'!B443&lt;&gt;"",20,"")</f>
        <v>0</v>
      </c>
      <c r="B443" s="9" cm="1">
        <f t="array" ref="B443">IF('01_Input_Raw_Products'!M443&lt;&gt;"",'01_Input_Raw_Products'!M443,IFERROR(_xlfn.XLOOKUP('01_Input_Raw_Products'!F443,'10_Master_Gem_Types'!A:A,'10_Master_Gem_Types'!K:K),""))</f>
        <v>0</v>
      </c>
      <c r="C443" s="9">
        <f>'01_Input_Raw_Products'!B443</f>
        <v>0</v>
      </c>
      <c r="D443" s="9">
        <f>IF(C443="","",TEXT(I443,"0.00")&amp;" Ct "&amp;IF('01_Input_Raw_Products'!F443&lt;&gt;"",'01_Input_Raw_Products'!F443,'01_Input_Raw_Products'!D443)&amp;" "&amp;'01_Input_Raw_Products'!I443)</f>
        <v>0</v>
      </c>
      <c r="E443" s="9">
        <f>IF(C443="","",D443&amp;" | GemPundit")</f>
        <v>0</v>
      </c>
      <c r="F443" s="9" cm="1">
        <f t="array" ref="F443">IF('01_Input_Raw_Products'!X443&lt;&gt;"",'01_Input_Raw_Products'!X443,IFERROR(_xlfn.XLOOKUP('01_Input_Raw_Products'!F443,'10_Master_Gem_Types'!A:A,'10_Master_Gem_Types'!O:O),LOWER(SUBSTITUTE(IF('01_Input_Raw_Products'!F443&lt;&gt;"",'01_Input_Raw_Products'!F443,'01_Input_Raw_Products'!D443)," ","-"))))</f>
        <v>0</v>
      </c>
      <c r="G443" s="9">
        <f>'01_Input_Raw_Products'!C443</f>
        <v>0</v>
      </c>
      <c r="H443" s="9" cm="1">
        <f t="array" ref="H443">IF('01_Input_Raw_Products'!H443&lt;&gt;"",'01_Input_Raw_Products'!H443,IFERROR(_xlfn.XLOOKUP('01_Input_Raw_Products'!F443,'10_Master_Gem_Types'!A:A,'10_Master_Gem_Types'!D:D),""))</f>
        <v>0</v>
      </c>
      <c r="I443" s="7">
        <f>IF('01_Input_Raw_Products'!N443&lt;&gt;"",'01_Input_Raw_Products'!N443,IF('01_Input_Raw_Products'!O443&lt;&gt;"",'01_Input_Raw_Products'!O443*0.91,""))</f>
        <v>0</v>
      </c>
      <c r="J443" s="9" cm="1">
        <f t="array" ref="J443">IFERROR(_xlfn.XLOOKUP('01_Input_Raw_Products'!F443,'10_Master_Gem_Types'!A:A,'10_Master_Gem_Types'!N:N),"")</f>
        <v>0</v>
      </c>
      <c r="K443" s="9" cm="1">
        <f t="array" ref="K443">IF('01_Input_Raw_Products'!J443&lt;&gt;"",'01_Input_Raw_Products'!J443,IFERROR(_xlfn.XLOOKUP('01_Input_Raw_Products'!F443,'10_Master_Gem_Types'!A:A,'10_Master_Gem_Types'!E:E),""))</f>
        <v>0</v>
      </c>
      <c r="L443" s="9">
        <f>'01_Input_Raw_Products'!P443</f>
        <v>0</v>
      </c>
      <c r="M443" s="9" cm="1">
        <f t="array" ref="M443">IFERROR(_xlfn.XLOOKUP('01_Input_Raw_Products'!K443,'12_Color_Mapping'!A:A,'12_Color_Mapping'!B:B),IFERROR(_xlfn.XLOOKUP('01_Input_Raw_Products'!F443,'10_Master_Gem_Types'!A:A,'10_Master_Gem_Types'!F:F),""))</f>
        <v>0</v>
      </c>
      <c r="N443" s="9">
        <f>IF(C443="","",IF('01_Input_Raw_Products'!F443&lt;&gt;"",'01_Input_Raw_Products'!F443,'01_Input_Raw_Products'!D443))</f>
        <v>0</v>
      </c>
      <c r="O443" s="9">
        <f>IF(C443="","","Catalog Automation")</f>
        <v>0</v>
      </c>
      <c r="P443" s="9">
        <f>'01_Input_Raw_Products'!U443</f>
        <v>0</v>
      </c>
      <c r="Q443" s="7">
        <f>IF('01_Input_Raw_Products'!O443&lt;&gt;"",'01_Input_Raw_Products'!O443,IF('01_Input_Raw_Products'!N443&lt;&gt;"",'01_Input_Raw_Products'!N443*1.1,""))</f>
        <v>0</v>
      </c>
      <c r="R443" s="9">
        <f>'01_Input_Raw_Products'!S443</f>
        <v>0</v>
      </c>
      <c r="S443" s="9" cm="1">
        <f t="array" ref="S443">IFERROR(_xlfn.XLOOKUP('01_Input_Raw_Products'!F443,'10_Master_Gem_Types'!A:A,'10_Master_Gem_Types'!H:H),"")</f>
        <v>0</v>
      </c>
      <c r="T443" s="8">
        <f>'01_Input_Raw_Products'!Q443</f>
        <v>0</v>
      </c>
      <c r="U443" s="8">
        <f>'01_Input_Raw_Products'!R443</f>
        <v>0</v>
      </c>
      <c r="V443" s="7">
        <f>I443</f>
        <v>0</v>
      </c>
      <c r="W443" s="9" cm="1">
        <f t="array" ref="W443">IF('01_Input_Raw_Products'!G443&lt;&gt;"",'01_Input_Raw_Products'!G443,IFERROR(_xlfn.XLOOKUP('01_Input_Raw_Products'!F443,'10_Master_Gem_Types'!A:A,'10_Master_Gem_Types'!L:L),""))</f>
        <v>0</v>
      </c>
      <c r="X443" s="9" cm="1">
        <f t="array" ref="X443">IFERROR(_xlfn.XLOOKUP('01_Input_Raw_Products'!F443,'10_Master_Gem_Types'!A:A,'10_Master_Gem_Types'!J:J),"")</f>
        <v>0</v>
      </c>
      <c r="Y443" s="9" cm="1">
        <f t="array" ref="Y443">IFERROR(_xlfn.XLOOKUP('01_Input_Raw_Products'!F443,'10_Master_Gem_Types'!A:A,'10_Master_Gem_Types'!I:I),"")</f>
        <v>0</v>
      </c>
      <c r="Z443" s="9" cm="1">
        <f t="array" ref="Z443">IFERROR(_xlfn.XLOOKUP('01_Input_Raw_Products'!L443,'13_Certification_Stickers'!A:A,'13_Certification_Stickers'!C:C),"")</f>
        <v>0</v>
      </c>
      <c r="AA443" s="9" cm="1">
        <f t="array" ref="AA443">IFERROR(_xlfn.XLOOKUP('01_Input_Raw_Products'!S443,'14_Shipping_Rules'!A:A,'14_Shipping_Rules'!B:B),"")</f>
        <v>0</v>
      </c>
      <c r="AB443" s="9" cm="1">
        <f t="array" ref="AB443">IFERROR(_xlfn.XLOOKUP('01_Input_Raw_Products'!D443,'16_Astro_Flags'!A:A,'16_Astro_Flags'!B:B),"")</f>
        <v>0</v>
      </c>
      <c r="AC443" s="9">
        <f>IF(C443="","","Catalog, Search")</f>
        <v>0</v>
      </c>
      <c r="AD443" s="9">
        <f>IF(C443="","",IF(OR(F443="",J443="",M443="",S443="",Y443=""),"Manual Review","Ready"))</f>
        <v>0</v>
      </c>
      <c r="AE443" s="9">
        <f>IF(C443="","",TEXTJOIN("; ",TRUE,IF(F443="","Missing url_key",""),IF(J443="","Missing classification",""),IF(M443="","Missing j_colour",""),IF(S443="","Missing hsn_code",""),IF(Y443="","Missing tax_class_id","")))</f>
        <v>0</v>
      </c>
    </row>
    <row r="444" spans="1:31">
      <c r="A444" s="9">
        <f>IF('01_Input_Raw_Products'!B444&lt;&gt;"",20,"")</f>
        <v>0</v>
      </c>
      <c r="B444" s="9" cm="1">
        <f t="array" ref="B444">IF('01_Input_Raw_Products'!M444&lt;&gt;"",'01_Input_Raw_Products'!M444,IFERROR(_xlfn.XLOOKUP('01_Input_Raw_Products'!F444,'10_Master_Gem_Types'!A:A,'10_Master_Gem_Types'!K:K),""))</f>
        <v>0</v>
      </c>
      <c r="C444" s="9">
        <f>'01_Input_Raw_Products'!B444</f>
        <v>0</v>
      </c>
      <c r="D444" s="9">
        <f>IF(C444="","",TEXT(I444,"0.00")&amp;" Ct "&amp;IF('01_Input_Raw_Products'!F444&lt;&gt;"",'01_Input_Raw_Products'!F444,'01_Input_Raw_Products'!D444)&amp;" "&amp;'01_Input_Raw_Products'!I444)</f>
        <v>0</v>
      </c>
      <c r="E444" s="9">
        <f>IF(C444="","",D444&amp;" | GemPundit")</f>
        <v>0</v>
      </c>
      <c r="F444" s="9" cm="1">
        <f t="array" ref="F444">IF('01_Input_Raw_Products'!X444&lt;&gt;"",'01_Input_Raw_Products'!X444,IFERROR(_xlfn.XLOOKUP('01_Input_Raw_Products'!F444,'10_Master_Gem_Types'!A:A,'10_Master_Gem_Types'!O:O),LOWER(SUBSTITUTE(IF('01_Input_Raw_Products'!F444&lt;&gt;"",'01_Input_Raw_Products'!F444,'01_Input_Raw_Products'!D444)," ","-"))))</f>
        <v>0</v>
      </c>
      <c r="G444" s="9">
        <f>'01_Input_Raw_Products'!C444</f>
        <v>0</v>
      </c>
      <c r="H444" s="9" cm="1">
        <f t="array" ref="H444">IF('01_Input_Raw_Products'!H444&lt;&gt;"",'01_Input_Raw_Products'!H444,IFERROR(_xlfn.XLOOKUP('01_Input_Raw_Products'!F444,'10_Master_Gem_Types'!A:A,'10_Master_Gem_Types'!D:D),""))</f>
        <v>0</v>
      </c>
      <c r="I444" s="7">
        <f>IF('01_Input_Raw_Products'!N444&lt;&gt;"",'01_Input_Raw_Products'!N444,IF('01_Input_Raw_Products'!O444&lt;&gt;"",'01_Input_Raw_Products'!O444*0.91,""))</f>
        <v>0</v>
      </c>
      <c r="J444" s="9" cm="1">
        <f t="array" ref="J444">IFERROR(_xlfn.XLOOKUP('01_Input_Raw_Products'!F444,'10_Master_Gem_Types'!A:A,'10_Master_Gem_Types'!N:N),"")</f>
        <v>0</v>
      </c>
      <c r="K444" s="9" cm="1">
        <f t="array" ref="K444">IF('01_Input_Raw_Products'!J444&lt;&gt;"",'01_Input_Raw_Products'!J444,IFERROR(_xlfn.XLOOKUP('01_Input_Raw_Products'!F444,'10_Master_Gem_Types'!A:A,'10_Master_Gem_Types'!E:E),""))</f>
        <v>0</v>
      </c>
      <c r="L444" s="9">
        <f>'01_Input_Raw_Products'!P444</f>
        <v>0</v>
      </c>
      <c r="M444" s="9" cm="1">
        <f t="array" ref="M444">IFERROR(_xlfn.XLOOKUP('01_Input_Raw_Products'!K444,'12_Color_Mapping'!A:A,'12_Color_Mapping'!B:B),IFERROR(_xlfn.XLOOKUP('01_Input_Raw_Products'!F444,'10_Master_Gem_Types'!A:A,'10_Master_Gem_Types'!F:F),""))</f>
        <v>0</v>
      </c>
      <c r="N444" s="9">
        <f>IF(C444="","",IF('01_Input_Raw_Products'!F444&lt;&gt;"",'01_Input_Raw_Products'!F444,'01_Input_Raw_Products'!D444))</f>
        <v>0</v>
      </c>
      <c r="O444" s="9">
        <f>IF(C444="","","Catalog Automation")</f>
        <v>0</v>
      </c>
      <c r="P444" s="9">
        <f>'01_Input_Raw_Products'!U444</f>
        <v>0</v>
      </c>
      <c r="Q444" s="7">
        <f>IF('01_Input_Raw_Products'!O444&lt;&gt;"",'01_Input_Raw_Products'!O444,IF('01_Input_Raw_Products'!N444&lt;&gt;"",'01_Input_Raw_Products'!N444*1.1,""))</f>
        <v>0</v>
      </c>
      <c r="R444" s="9">
        <f>'01_Input_Raw_Products'!S444</f>
        <v>0</v>
      </c>
      <c r="S444" s="9" cm="1">
        <f t="array" ref="S444">IFERROR(_xlfn.XLOOKUP('01_Input_Raw_Products'!F444,'10_Master_Gem_Types'!A:A,'10_Master_Gem_Types'!H:H),"")</f>
        <v>0</v>
      </c>
      <c r="T444" s="8">
        <f>'01_Input_Raw_Products'!Q444</f>
        <v>0</v>
      </c>
      <c r="U444" s="8">
        <f>'01_Input_Raw_Products'!R444</f>
        <v>0</v>
      </c>
      <c r="V444" s="7">
        <f>I444</f>
        <v>0</v>
      </c>
      <c r="W444" s="9" cm="1">
        <f t="array" ref="W444">IF('01_Input_Raw_Products'!G444&lt;&gt;"",'01_Input_Raw_Products'!G444,IFERROR(_xlfn.XLOOKUP('01_Input_Raw_Products'!F444,'10_Master_Gem_Types'!A:A,'10_Master_Gem_Types'!L:L),""))</f>
        <v>0</v>
      </c>
      <c r="X444" s="9" cm="1">
        <f t="array" ref="X444">IFERROR(_xlfn.XLOOKUP('01_Input_Raw_Products'!F444,'10_Master_Gem_Types'!A:A,'10_Master_Gem_Types'!J:J),"")</f>
        <v>0</v>
      </c>
      <c r="Y444" s="9" cm="1">
        <f t="array" ref="Y444">IFERROR(_xlfn.XLOOKUP('01_Input_Raw_Products'!F444,'10_Master_Gem_Types'!A:A,'10_Master_Gem_Types'!I:I),"")</f>
        <v>0</v>
      </c>
      <c r="Z444" s="9" cm="1">
        <f t="array" ref="Z444">IFERROR(_xlfn.XLOOKUP('01_Input_Raw_Products'!L444,'13_Certification_Stickers'!A:A,'13_Certification_Stickers'!C:C),"")</f>
        <v>0</v>
      </c>
      <c r="AA444" s="9" cm="1">
        <f t="array" ref="AA444">IFERROR(_xlfn.XLOOKUP('01_Input_Raw_Products'!S444,'14_Shipping_Rules'!A:A,'14_Shipping_Rules'!B:B),"")</f>
        <v>0</v>
      </c>
      <c r="AB444" s="9" cm="1">
        <f t="array" ref="AB444">IFERROR(_xlfn.XLOOKUP('01_Input_Raw_Products'!D444,'16_Astro_Flags'!A:A,'16_Astro_Flags'!B:B),"")</f>
        <v>0</v>
      </c>
      <c r="AC444" s="9">
        <f>IF(C444="","","Catalog, Search")</f>
        <v>0</v>
      </c>
      <c r="AD444" s="9">
        <f>IF(C444="","",IF(OR(F444="",J444="",M444="",S444="",Y444=""),"Manual Review","Ready"))</f>
        <v>0</v>
      </c>
      <c r="AE444" s="9">
        <f>IF(C444="","",TEXTJOIN("; ",TRUE,IF(F444="","Missing url_key",""),IF(J444="","Missing classification",""),IF(M444="","Missing j_colour",""),IF(S444="","Missing hsn_code",""),IF(Y444="","Missing tax_class_id","")))</f>
        <v>0</v>
      </c>
    </row>
    <row r="445" spans="1:31">
      <c r="A445" s="9">
        <f>IF('01_Input_Raw_Products'!B445&lt;&gt;"",20,"")</f>
        <v>0</v>
      </c>
      <c r="B445" s="9" cm="1">
        <f t="array" ref="B445">IF('01_Input_Raw_Products'!M445&lt;&gt;"",'01_Input_Raw_Products'!M445,IFERROR(_xlfn.XLOOKUP('01_Input_Raw_Products'!F445,'10_Master_Gem_Types'!A:A,'10_Master_Gem_Types'!K:K),""))</f>
        <v>0</v>
      </c>
      <c r="C445" s="9">
        <f>'01_Input_Raw_Products'!B445</f>
        <v>0</v>
      </c>
      <c r="D445" s="9">
        <f>IF(C445="","",TEXT(I445,"0.00")&amp;" Ct "&amp;IF('01_Input_Raw_Products'!F445&lt;&gt;"",'01_Input_Raw_Products'!F445,'01_Input_Raw_Products'!D445)&amp;" "&amp;'01_Input_Raw_Products'!I445)</f>
        <v>0</v>
      </c>
      <c r="E445" s="9">
        <f>IF(C445="","",D445&amp;" | GemPundit")</f>
        <v>0</v>
      </c>
      <c r="F445" s="9" cm="1">
        <f t="array" ref="F445">IF('01_Input_Raw_Products'!X445&lt;&gt;"",'01_Input_Raw_Products'!X445,IFERROR(_xlfn.XLOOKUP('01_Input_Raw_Products'!F445,'10_Master_Gem_Types'!A:A,'10_Master_Gem_Types'!O:O),LOWER(SUBSTITUTE(IF('01_Input_Raw_Products'!F445&lt;&gt;"",'01_Input_Raw_Products'!F445,'01_Input_Raw_Products'!D445)," ","-"))))</f>
        <v>0</v>
      </c>
      <c r="G445" s="9">
        <f>'01_Input_Raw_Products'!C445</f>
        <v>0</v>
      </c>
      <c r="H445" s="9" cm="1">
        <f t="array" ref="H445">IF('01_Input_Raw_Products'!H445&lt;&gt;"",'01_Input_Raw_Products'!H445,IFERROR(_xlfn.XLOOKUP('01_Input_Raw_Products'!F445,'10_Master_Gem_Types'!A:A,'10_Master_Gem_Types'!D:D),""))</f>
        <v>0</v>
      </c>
      <c r="I445" s="7">
        <f>IF('01_Input_Raw_Products'!N445&lt;&gt;"",'01_Input_Raw_Products'!N445,IF('01_Input_Raw_Products'!O445&lt;&gt;"",'01_Input_Raw_Products'!O445*0.91,""))</f>
        <v>0</v>
      </c>
      <c r="J445" s="9" cm="1">
        <f t="array" ref="J445">IFERROR(_xlfn.XLOOKUP('01_Input_Raw_Products'!F445,'10_Master_Gem_Types'!A:A,'10_Master_Gem_Types'!N:N),"")</f>
        <v>0</v>
      </c>
      <c r="K445" s="9" cm="1">
        <f t="array" ref="K445">IF('01_Input_Raw_Products'!J445&lt;&gt;"",'01_Input_Raw_Products'!J445,IFERROR(_xlfn.XLOOKUP('01_Input_Raw_Products'!F445,'10_Master_Gem_Types'!A:A,'10_Master_Gem_Types'!E:E),""))</f>
        <v>0</v>
      </c>
      <c r="L445" s="9">
        <f>'01_Input_Raw_Products'!P445</f>
        <v>0</v>
      </c>
      <c r="M445" s="9" cm="1">
        <f t="array" ref="M445">IFERROR(_xlfn.XLOOKUP('01_Input_Raw_Products'!K445,'12_Color_Mapping'!A:A,'12_Color_Mapping'!B:B),IFERROR(_xlfn.XLOOKUP('01_Input_Raw_Products'!F445,'10_Master_Gem_Types'!A:A,'10_Master_Gem_Types'!F:F),""))</f>
        <v>0</v>
      </c>
      <c r="N445" s="9">
        <f>IF(C445="","",IF('01_Input_Raw_Products'!F445&lt;&gt;"",'01_Input_Raw_Products'!F445,'01_Input_Raw_Products'!D445))</f>
        <v>0</v>
      </c>
      <c r="O445" s="9">
        <f>IF(C445="","","Catalog Automation")</f>
        <v>0</v>
      </c>
      <c r="P445" s="9">
        <f>'01_Input_Raw_Products'!U445</f>
        <v>0</v>
      </c>
      <c r="Q445" s="7">
        <f>IF('01_Input_Raw_Products'!O445&lt;&gt;"",'01_Input_Raw_Products'!O445,IF('01_Input_Raw_Products'!N445&lt;&gt;"",'01_Input_Raw_Products'!N445*1.1,""))</f>
        <v>0</v>
      </c>
      <c r="R445" s="9">
        <f>'01_Input_Raw_Products'!S445</f>
        <v>0</v>
      </c>
      <c r="S445" s="9" cm="1">
        <f t="array" ref="S445">IFERROR(_xlfn.XLOOKUP('01_Input_Raw_Products'!F445,'10_Master_Gem_Types'!A:A,'10_Master_Gem_Types'!H:H),"")</f>
        <v>0</v>
      </c>
      <c r="T445" s="8">
        <f>'01_Input_Raw_Products'!Q445</f>
        <v>0</v>
      </c>
      <c r="U445" s="8">
        <f>'01_Input_Raw_Products'!R445</f>
        <v>0</v>
      </c>
      <c r="V445" s="7">
        <f>I445</f>
        <v>0</v>
      </c>
      <c r="W445" s="9" cm="1">
        <f t="array" ref="W445">IF('01_Input_Raw_Products'!G445&lt;&gt;"",'01_Input_Raw_Products'!G445,IFERROR(_xlfn.XLOOKUP('01_Input_Raw_Products'!F445,'10_Master_Gem_Types'!A:A,'10_Master_Gem_Types'!L:L),""))</f>
        <v>0</v>
      </c>
      <c r="X445" s="9" cm="1">
        <f t="array" ref="X445">IFERROR(_xlfn.XLOOKUP('01_Input_Raw_Products'!F445,'10_Master_Gem_Types'!A:A,'10_Master_Gem_Types'!J:J),"")</f>
        <v>0</v>
      </c>
      <c r="Y445" s="9" cm="1">
        <f t="array" ref="Y445">IFERROR(_xlfn.XLOOKUP('01_Input_Raw_Products'!F445,'10_Master_Gem_Types'!A:A,'10_Master_Gem_Types'!I:I),"")</f>
        <v>0</v>
      </c>
      <c r="Z445" s="9" cm="1">
        <f t="array" ref="Z445">IFERROR(_xlfn.XLOOKUP('01_Input_Raw_Products'!L445,'13_Certification_Stickers'!A:A,'13_Certification_Stickers'!C:C),"")</f>
        <v>0</v>
      </c>
      <c r="AA445" s="9" cm="1">
        <f t="array" ref="AA445">IFERROR(_xlfn.XLOOKUP('01_Input_Raw_Products'!S445,'14_Shipping_Rules'!A:A,'14_Shipping_Rules'!B:B),"")</f>
        <v>0</v>
      </c>
      <c r="AB445" s="9" cm="1">
        <f t="array" ref="AB445">IFERROR(_xlfn.XLOOKUP('01_Input_Raw_Products'!D445,'16_Astro_Flags'!A:A,'16_Astro_Flags'!B:B),"")</f>
        <v>0</v>
      </c>
      <c r="AC445" s="9">
        <f>IF(C445="","","Catalog, Search")</f>
        <v>0</v>
      </c>
      <c r="AD445" s="9">
        <f>IF(C445="","",IF(OR(F445="",J445="",M445="",S445="",Y445=""),"Manual Review","Ready"))</f>
        <v>0</v>
      </c>
      <c r="AE445" s="9">
        <f>IF(C445="","",TEXTJOIN("; ",TRUE,IF(F445="","Missing url_key",""),IF(J445="","Missing classification",""),IF(M445="","Missing j_colour",""),IF(S445="","Missing hsn_code",""),IF(Y445="","Missing tax_class_id","")))</f>
        <v>0</v>
      </c>
    </row>
    <row r="446" spans="1:31">
      <c r="A446" s="9">
        <f>IF('01_Input_Raw_Products'!B446&lt;&gt;"",20,"")</f>
        <v>0</v>
      </c>
      <c r="B446" s="9" cm="1">
        <f t="array" ref="B446">IF('01_Input_Raw_Products'!M446&lt;&gt;"",'01_Input_Raw_Products'!M446,IFERROR(_xlfn.XLOOKUP('01_Input_Raw_Products'!F446,'10_Master_Gem_Types'!A:A,'10_Master_Gem_Types'!K:K),""))</f>
        <v>0</v>
      </c>
      <c r="C446" s="9">
        <f>'01_Input_Raw_Products'!B446</f>
        <v>0</v>
      </c>
      <c r="D446" s="9">
        <f>IF(C446="","",TEXT(I446,"0.00")&amp;" Ct "&amp;IF('01_Input_Raw_Products'!F446&lt;&gt;"",'01_Input_Raw_Products'!F446,'01_Input_Raw_Products'!D446)&amp;" "&amp;'01_Input_Raw_Products'!I446)</f>
        <v>0</v>
      </c>
      <c r="E446" s="9">
        <f>IF(C446="","",D446&amp;" | GemPundit")</f>
        <v>0</v>
      </c>
      <c r="F446" s="9" cm="1">
        <f t="array" ref="F446">IF('01_Input_Raw_Products'!X446&lt;&gt;"",'01_Input_Raw_Products'!X446,IFERROR(_xlfn.XLOOKUP('01_Input_Raw_Products'!F446,'10_Master_Gem_Types'!A:A,'10_Master_Gem_Types'!O:O),LOWER(SUBSTITUTE(IF('01_Input_Raw_Products'!F446&lt;&gt;"",'01_Input_Raw_Products'!F446,'01_Input_Raw_Products'!D446)," ","-"))))</f>
        <v>0</v>
      </c>
      <c r="G446" s="9">
        <f>'01_Input_Raw_Products'!C446</f>
        <v>0</v>
      </c>
      <c r="H446" s="9" cm="1">
        <f t="array" ref="H446">IF('01_Input_Raw_Products'!H446&lt;&gt;"",'01_Input_Raw_Products'!H446,IFERROR(_xlfn.XLOOKUP('01_Input_Raw_Products'!F446,'10_Master_Gem_Types'!A:A,'10_Master_Gem_Types'!D:D),""))</f>
        <v>0</v>
      </c>
      <c r="I446" s="7">
        <f>IF('01_Input_Raw_Products'!N446&lt;&gt;"",'01_Input_Raw_Products'!N446,IF('01_Input_Raw_Products'!O446&lt;&gt;"",'01_Input_Raw_Products'!O446*0.91,""))</f>
        <v>0</v>
      </c>
      <c r="J446" s="9" cm="1">
        <f t="array" ref="J446">IFERROR(_xlfn.XLOOKUP('01_Input_Raw_Products'!F446,'10_Master_Gem_Types'!A:A,'10_Master_Gem_Types'!N:N),"")</f>
        <v>0</v>
      </c>
      <c r="K446" s="9" cm="1">
        <f t="array" ref="K446">IF('01_Input_Raw_Products'!J446&lt;&gt;"",'01_Input_Raw_Products'!J446,IFERROR(_xlfn.XLOOKUP('01_Input_Raw_Products'!F446,'10_Master_Gem_Types'!A:A,'10_Master_Gem_Types'!E:E),""))</f>
        <v>0</v>
      </c>
      <c r="L446" s="9">
        <f>'01_Input_Raw_Products'!P446</f>
        <v>0</v>
      </c>
      <c r="M446" s="9" cm="1">
        <f t="array" ref="M446">IFERROR(_xlfn.XLOOKUP('01_Input_Raw_Products'!K446,'12_Color_Mapping'!A:A,'12_Color_Mapping'!B:B),IFERROR(_xlfn.XLOOKUP('01_Input_Raw_Products'!F446,'10_Master_Gem_Types'!A:A,'10_Master_Gem_Types'!F:F),""))</f>
        <v>0</v>
      </c>
      <c r="N446" s="9">
        <f>IF(C446="","",IF('01_Input_Raw_Products'!F446&lt;&gt;"",'01_Input_Raw_Products'!F446,'01_Input_Raw_Products'!D446))</f>
        <v>0</v>
      </c>
      <c r="O446" s="9">
        <f>IF(C446="","","Catalog Automation")</f>
        <v>0</v>
      </c>
      <c r="P446" s="9">
        <f>'01_Input_Raw_Products'!U446</f>
        <v>0</v>
      </c>
      <c r="Q446" s="7">
        <f>IF('01_Input_Raw_Products'!O446&lt;&gt;"",'01_Input_Raw_Products'!O446,IF('01_Input_Raw_Products'!N446&lt;&gt;"",'01_Input_Raw_Products'!N446*1.1,""))</f>
        <v>0</v>
      </c>
      <c r="R446" s="9">
        <f>'01_Input_Raw_Products'!S446</f>
        <v>0</v>
      </c>
      <c r="S446" s="9" cm="1">
        <f t="array" ref="S446">IFERROR(_xlfn.XLOOKUP('01_Input_Raw_Products'!F446,'10_Master_Gem_Types'!A:A,'10_Master_Gem_Types'!H:H),"")</f>
        <v>0</v>
      </c>
      <c r="T446" s="8">
        <f>'01_Input_Raw_Products'!Q446</f>
        <v>0</v>
      </c>
      <c r="U446" s="8">
        <f>'01_Input_Raw_Products'!R446</f>
        <v>0</v>
      </c>
      <c r="V446" s="7">
        <f>I446</f>
        <v>0</v>
      </c>
      <c r="W446" s="9" cm="1">
        <f t="array" ref="W446">IF('01_Input_Raw_Products'!G446&lt;&gt;"",'01_Input_Raw_Products'!G446,IFERROR(_xlfn.XLOOKUP('01_Input_Raw_Products'!F446,'10_Master_Gem_Types'!A:A,'10_Master_Gem_Types'!L:L),""))</f>
        <v>0</v>
      </c>
      <c r="X446" s="9" cm="1">
        <f t="array" ref="X446">IFERROR(_xlfn.XLOOKUP('01_Input_Raw_Products'!F446,'10_Master_Gem_Types'!A:A,'10_Master_Gem_Types'!J:J),"")</f>
        <v>0</v>
      </c>
      <c r="Y446" s="9" cm="1">
        <f t="array" ref="Y446">IFERROR(_xlfn.XLOOKUP('01_Input_Raw_Products'!F446,'10_Master_Gem_Types'!A:A,'10_Master_Gem_Types'!I:I),"")</f>
        <v>0</v>
      </c>
      <c r="Z446" s="9" cm="1">
        <f t="array" ref="Z446">IFERROR(_xlfn.XLOOKUP('01_Input_Raw_Products'!L446,'13_Certification_Stickers'!A:A,'13_Certification_Stickers'!C:C),"")</f>
        <v>0</v>
      </c>
      <c r="AA446" s="9" cm="1">
        <f t="array" ref="AA446">IFERROR(_xlfn.XLOOKUP('01_Input_Raw_Products'!S446,'14_Shipping_Rules'!A:A,'14_Shipping_Rules'!B:B),"")</f>
        <v>0</v>
      </c>
      <c r="AB446" s="9" cm="1">
        <f t="array" ref="AB446">IFERROR(_xlfn.XLOOKUP('01_Input_Raw_Products'!D446,'16_Astro_Flags'!A:A,'16_Astro_Flags'!B:B),"")</f>
        <v>0</v>
      </c>
      <c r="AC446" s="9">
        <f>IF(C446="","","Catalog, Search")</f>
        <v>0</v>
      </c>
      <c r="AD446" s="9">
        <f>IF(C446="","",IF(OR(F446="",J446="",M446="",S446="",Y446=""),"Manual Review","Ready"))</f>
        <v>0</v>
      </c>
      <c r="AE446" s="9">
        <f>IF(C446="","",TEXTJOIN("; ",TRUE,IF(F446="","Missing url_key",""),IF(J446="","Missing classification",""),IF(M446="","Missing j_colour",""),IF(S446="","Missing hsn_code",""),IF(Y446="","Missing tax_class_id","")))</f>
        <v>0</v>
      </c>
    </row>
    <row r="447" spans="1:31">
      <c r="A447" s="9">
        <f>IF('01_Input_Raw_Products'!B447&lt;&gt;"",20,"")</f>
        <v>0</v>
      </c>
      <c r="B447" s="9" cm="1">
        <f t="array" ref="B447">IF('01_Input_Raw_Products'!M447&lt;&gt;"",'01_Input_Raw_Products'!M447,IFERROR(_xlfn.XLOOKUP('01_Input_Raw_Products'!F447,'10_Master_Gem_Types'!A:A,'10_Master_Gem_Types'!K:K),""))</f>
        <v>0</v>
      </c>
      <c r="C447" s="9">
        <f>'01_Input_Raw_Products'!B447</f>
        <v>0</v>
      </c>
      <c r="D447" s="9">
        <f>IF(C447="","",TEXT(I447,"0.00")&amp;" Ct "&amp;IF('01_Input_Raw_Products'!F447&lt;&gt;"",'01_Input_Raw_Products'!F447,'01_Input_Raw_Products'!D447)&amp;" "&amp;'01_Input_Raw_Products'!I447)</f>
        <v>0</v>
      </c>
      <c r="E447" s="9">
        <f>IF(C447="","",D447&amp;" | GemPundit")</f>
        <v>0</v>
      </c>
      <c r="F447" s="9" cm="1">
        <f t="array" ref="F447">IF('01_Input_Raw_Products'!X447&lt;&gt;"",'01_Input_Raw_Products'!X447,IFERROR(_xlfn.XLOOKUP('01_Input_Raw_Products'!F447,'10_Master_Gem_Types'!A:A,'10_Master_Gem_Types'!O:O),LOWER(SUBSTITUTE(IF('01_Input_Raw_Products'!F447&lt;&gt;"",'01_Input_Raw_Products'!F447,'01_Input_Raw_Products'!D447)," ","-"))))</f>
        <v>0</v>
      </c>
      <c r="G447" s="9">
        <f>'01_Input_Raw_Products'!C447</f>
        <v>0</v>
      </c>
      <c r="H447" s="9" cm="1">
        <f t="array" ref="H447">IF('01_Input_Raw_Products'!H447&lt;&gt;"",'01_Input_Raw_Products'!H447,IFERROR(_xlfn.XLOOKUP('01_Input_Raw_Products'!F447,'10_Master_Gem_Types'!A:A,'10_Master_Gem_Types'!D:D),""))</f>
        <v>0</v>
      </c>
      <c r="I447" s="7">
        <f>IF('01_Input_Raw_Products'!N447&lt;&gt;"",'01_Input_Raw_Products'!N447,IF('01_Input_Raw_Products'!O447&lt;&gt;"",'01_Input_Raw_Products'!O447*0.91,""))</f>
        <v>0</v>
      </c>
      <c r="J447" s="9" cm="1">
        <f t="array" ref="J447">IFERROR(_xlfn.XLOOKUP('01_Input_Raw_Products'!F447,'10_Master_Gem_Types'!A:A,'10_Master_Gem_Types'!N:N),"")</f>
        <v>0</v>
      </c>
      <c r="K447" s="9" cm="1">
        <f t="array" ref="K447">IF('01_Input_Raw_Products'!J447&lt;&gt;"",'01_Input_Raw_Products'!J447,IFERROR(_xlfn.XLOOKUP('01_Input_Raw_Products'!F447,'10_Master_Gem_Types'!A:A,'10_Master_Gem_Types'!E:E),""))</f>
        <v>0</v>
      </c>
      <c r="L447" s="9">
        <f>'01_Input_Raw_Products'!P447</f>
        <v>0</v>
      </c>
      <c r="M447" s="9" cm="1">
        <f t="array" ref="M447">IFERROR(_xlfn.XLOOKUP('01_Input_Raw_Products'!K447,'12_Color_Mapping'!A:A,'12_Color_Mapping'!B:B),IFERROR(_xlfn.XLOOKUP('01_Input_Raw_Products'!F447,'10_Master_Gem_Types'!A:A,'10_Master_Gem_Types'!F:F),""))</f>
        <v>0</v>
      </c>
      <c r="N447" s="9">
        <f>IF(C447="","",IF('01_Input_Raw_Products'!F447&lt;&gt;"",'01_Input_Raw_Products'!F447,'01_Input_Raw_Products'!D447))</f>
        <v>0</v>
      </c>
      <c r="O447" s="9">
        <f>IF(C447="","","Catalog Automation")</f>
        <v>0</v>
      </c>
      <c r="P447" s="9">
        <f>'01_Input_Raw_Products'!U447</f>
        <v>0</v>
      </c>
      <c r="Q447" s="7">
        <f>IF('01_Input_Raw_Products'!O447&lt;&gt;"",'01_Input_Raw_Products'!O447,IF('01_Input_Raw_Products'!N447&lt;&gt;"",'01_Input_Raw_Products'!N447*1.1,""))</f>
        <v>0</v>
      </c>
      <c r="R447" s="9">
        <f>'01_Input_Raw_Products'!S447</f>
        <v>0</v>
      </c>
      <c r="S447" s="9" cm="1">
        <f t="array" ref="S447">IFERROR(_xlfn.XLOOKUP('01_Input_Raw_Products'!F447,'10_Master_Gem_Types'!A:A,'10_Master_Gem_Types'!H:H),"")</f>
        <v>0</v>
      </c>
      <c r="T447" s="8">
        <f>'01_Input_Raw_Products'!Q447</f>
        <v>0</v>
      </c>
      <c r="U447" s="8">
        <f>'01_Input_Raw_Products'!R447</f>
        <v>0</v>
      </c>
      <c r="V447" s="7">
        <f>I447</f>
        <v>0</v>
      </c>
      <c r="W447" s="9" cm="1">
        <f t="array" ref="W447">IF('01_Input_Raw_Products'!G447&lt;&gt;"",'01_Input_Raw_Products'!G447,IFERROR(_xlfn.XLOOKUP('01_Input_Raw_Products'!F447,'10_Master_Gem_Types'!A:A,'10_Master_Gem_Types'!L:L),""))</f>
        <v>0</v>
      </c>
      <c r="X447" s="9" cm="1">
        <f t="array" ref="X447">IFERROR(_xlfn.XLOOKUP('01_Input_Raw_Products'!F447,'10_Master_Gem_Types'!A:A,'10_Master_Gem_Types'!J:J),"")</f>
        <v>0</v>
      </c>
      <c r="Y447" s="9" cm="1">
        <f t="array" ref="Y447">IFERROR(_xlfn.XLOOKUP('01_Input_Raw_Products'!F447,'10_Master_Gem_Types'!A:A,'10_Master_Gem_Types'!I:I),"")</f>
        <v>0</v>
      </c>
      <c r="Z447" s="9" cm="1">
        <f t="array" ref="Z447">IFERROR(_xlfn.XLOOKUP('01_Input_Raw_Products'!L447,'13_Certification_Stickers'!A:A,'13_Certification_Stickers'!C:C),"")</f>
        <v>0</v>
      </c>
      <c r="AA447" s="9" cm="1">
        <f t="array" ref="AA447">IFERROR(_xlfn.XLOOKUP('01_Input_Raw_Products'!S447,'14_Shipping_Rules'!A:A,'14_Shipping_Rules'!B:B),"")</f>
        <v>0</v>
      </c>
      <c r="AB447" s="9" cm="1">
        <f t="array" ref="AB447">IFERROR(_xlfn.XLOOKUP('01_Input_Raw_Products'!D447,'16_Astro_Flags'!A:A,'16_Astro_Flags'!B:B),"")</f>
        <v>0</v>
      </c>
      <c r="AC447" s="9">
        <f>IF(C447="","","Catalog, Search")</f>
        <v>0</v>
      </c>
      <c r="AD447" s="9">
        <f>IF(C447="","",IF(OR(F447="",J447="",M447="",S447="",Y447=""),"Manual Review","Ready"))</f>
        <v>0</v>
      </c>
      <c r="AE447" s="9">
        <f>IF(C447="","",TEXTJOIN("; ",TRUE,IF(F447="","Missing url_key",""),IF(J447="","Missing classification",""),IF(M447="","Missing j_colour",""),IF(S447="","Missing hsn_code",""),IF(Y447="","Missing tax_class_id","")))</f>
        <v>0</v>
      </c>
    </row>
    <row r="448" spans="1:31">
      <c r="A448" s="9">
        <f>IF('01_Input_Raw_Products'!B448&lt;&gt;"",20,"")</f>
        <v>0</v>
      </c>
      <c r="B448" s="9" cm="1">
        <f t="array" ref="B448">IF('01_Input_Raw_Products'!M448&lt;&gt;"",'01_Input_Raw_Products'!M448,IFERROR(_xlfn.XLOOKUP('01_Input_Raw_Products'!F448,'10_Master_Gem_Types'!A:A,'10_Master_Gem_Types'!K:K),""))</f>
        <v>0</v>
      </c>
      <c r="C448" s="9">
        <f>'01_Input_Raw_Products'!B448</f>
        <v>0</v>
      </c>
      <c r="D448" s="9">
        <f>IF(C448="","",TEXT(I448,"0.00")&amp;" Ct "&amp;IF('01_Input_Raw_Products'!F448&lt;&gt;"",'01_Input_Raw_Products'!F448,'01_Input_Raw_Products'!D448)&amp;" "&amp;'01_Input_Raw_Products'!I448)</f>
        <v>0</v>
      </c>
      <c r="E448" s="9">
        <f>IF(C448="","",D448&amp;" | GemPundit")</f>
        <v>0</v>
      </c>
      <c r="F448" s="9" cm="1">
        <f t="array" ref="F448">IF('01_Input_Raw_Products'!X448&lt;&gt;"",'01_Input_Raw_Products'!X448,IFERROR(_xlfn.XLOOKUP('01_Input_Raw_Products'!F448,'10_Master_Gem_Types'!A:A,'10_Master_Gem_Types'!O:O),LOWER(SUBSTITUTE(IF('01_Input_Raw_Products'!F448&lt;&gt;"",'01_Input_Raw_Products'!F448,'01_Input_Raw_Products'!D448)," ","-"))))</f>
        <v>0</v>
      </c>
      <c r="G448" s="9">
        <f>'01_Input_Raw_Products'!C448</f>
        <v>0</v>
      </c>
      <c r="H448" s="9" cm="1">
        <f t="array" ref="H448">IF('01_Input_Raw_Products'!H448&lt;&gt;"",'01_Input_Raw_Products'!H448,IFERROR(_xlfn.XLOOKUP('01_Input_Raw_Products'!F448,'10_Master_Gem_Types'!A:A,'10_Master_Gem_Types'!D:D),""))</f>
        <v>0</v>
      </c>
      <c r="I448" s="7">
        <f>IF('01_Input_Raw_Products'!N448&lt;&gt;"",'01_Input_Raw_Products'!N448,IF('01_Input_Raw_Products'!O448&lt;&gt;"",'01_Input_Raw_Products'!O448*0.91,""))</f>
        <v>0</v>
      </c>
      <c r="J448" s="9" cm="1">
        <f t="array" ref="J448">IFERROR(_xlfn.XLOOKUP('01_Input_Raw_Products'!F448,'10_Master_Gem_Types'!A:A,'10_Master_Gem_Types'!N:N),"")</f>
        <v>0</v>
      </c>
      <c r="K448" s="9" cm="1">
        <f t="array" ref="K448">IF('01_Input_Raw_Products'!J448&lt;&gt;"",'01_Input_Raw_Products'!J448,IFERROR(_xlfn.XLOOKUP('01_Input_Raw_Products'!F448,'10_Master_Gem_Types'!A:A,'10_Master_Gem_Types'!E:E),""))</f>
        <v>0</v>
      </c>
      <c r="L448" s="9">
        <f>'01_Input_Raw_Products'!P448</f>
        <v>0</v>
      </c>
      <c r="M448" s="9" cm="1">
        <f t="array" ref="M448">IFERROR(_xlfn.XLOOKUP('01_Input_Raw_Products'!K448,'12_Color_Mapping'!A:A,'12_Color_Mapping'!B:B),IFERROR(_xlfn.XLOOKUP('01_Input_Raw_Products'!F448,'10_Master_Gem_Types'!A:A,'10_Master_Gem_Types'!F:F),""))</f>
        <v>0</v>
      </c>
      <c r="N448" s="9">
        <f>IF(C448="","",IF('01_Input_Raw_Products'!F448&lt;&gt;"",'01_Input_Raw_Products'!F448,'01_Input_Raw_Products'!D448))</f>
        <v>0</v>
      </c>
      <c r="O448" s="9">
        <f>IF(C448="","","Catalog Automation")</f>
        <v>0</v>
      </c>
      <c r="P448" s="9">
        <f>'01_Input_Raw_Products'!U448</f>
        <v>0</v>
      </c>
      <c r="Q448" s="7">
        <f>IF('01_Input_Raw_Products'!O448&lt;&gt;"",'01_Input_Raw_Products'!O448,IF('01_Input_Raw_Products'!N448&lt;&gt;"",'01_Input_Raw_Products'!N448*1.1,""))</f>
        <v>0</v>
      </c>
      <c r="R448" s="9">
        <f>'01_Input_Raw_Products'!S448</f>
        <v>0</v>
      </c>
      <c r="S448" s="9" cm="1">
        <f t="array" ref="S448">IFERROR(_xlfn.XLOOKUP('01_Input_Raw_Products'!F448,'10_Master_Gem_Types'!A:A,'10_Master_Gem_Types'!H:H),"")</f>
        <v>0</v>
      </c>
      <c r="T448" s="8">
        <f>'01_Input_Raw_Products'!Q448</f>
        <v>0</v>
      </c>
      <c r="U448" s="8">
        <f>'01_Input_Raw_Products'!R448</f>
        <v>0</v>
      </c>
      <c r="V448" s="7">
        <f>I448</f>
        <v>0</v>
      </c>
      <c r="W448" s="9" cm="1">
        <f t="array" ref="W448">IF('01_Input_Raw_Products'!G448&lt;&gt;"",'01_Input_Raw_Products'!G448,IFERROR(_xlfn.XLOOKUP('01_Input_Raw_Products'!F448,'10_Master_Gem_Types'!A:A,'10_Master_Gem_Types'!L:L),""))</f>
        <v>0</v>
      </c>
      <c r="X448" s="9" cm="1">
        <f t="array" ref="X448">IFERROR(_xlfn.XLOOKUP('01_Input_Raw_Products'!F448,'10_Master_Gem_Types'!A:A,'10_Master_Gem_Types'!J:J),"")</f>
        <v>0</v>
      </c>
      <c r="Y448" s="9" cm="1">
        <f t="array" ref="Y448">IFERROR(_xlfn.XLOOKUP('01_Input_Raw_Products'!F448,'10_Master_Gem_Types'!A:A,'10_Master_Gem_Types'!I:I),"")</f>
        <v>0</v>
      </c>
      <c r="Z448" s="9" cm="1">
        <f t="array" ref="Z448">IFERROR(_xlfn.XLOOKUP('01_Input_Raw_Products'!L448,'13_Certification_Stickers'!A:A,'13_Certification_Stickers'!C:C),"")</f>
        <v>0</v>
      </c>
      <c r="AA448" s="9" cm="1">
        <f t="array" ref="AA448">IFERROR(_xlfn.XLOOKUP('01_Input_Raw_Products'!S448,'14_Shipping_Rules'!A:A,'14_Shipping_Rules'!B:B),"")</f>
        <v>0</v>
      </c>
      <c r="AB448" s="9" cm="1">
        <f t="array" ref="AB448">IFERROR(_xlfn.XLOOKUP('01_Input_Raw_Products'!D448,'16_Astro_Flags'!A:A,'16_Astro_Flags'!B:B),"")</f>
        <v>0</v>
      </c>
      <c r="AC448" s="9">
        <f>IF(C448="","","Catalog, Search")</f>
        <v>0</v>
      </c>
      <c r="AD448" s="9">
        <f>IF(C448="","",IF(OR(F448="",J448="",M448="",S448="",Y448=""),"Manual Review","Ready"))</f>
        <v>0</v>
      </c>
      <c r="AE448" s="9">
        <f>IF(C448="","",TEXTJOIN("; ",TRUE,IF(F448="","Missing url_key",""),IF(J448="","Missing classification",""),IF(M448="","Missing j_colour",""),IF(S448="","Missing hsn_code",""),IF(Y448="","Missing tax_class_id","")))</f>
        <v>0</v>
      </c>
    </row>
    <row r="449" spans="1:31">
      <c r="A449" s="9">
        <f>IF('01_Input_Raw_Products'!B449&lt;&gt;"",20,"")</f>
        <v>0</v>
      </c>
      <c r="B449" s="9" cm="1">
        <f t="array" ref="B449">IF('01_Input_Raw_Products'!M449&lt;&gt;"",'01_Input_Raw_Products'!M449,IFERROR(_xlfn.XLOOKUP('01_Input_Raw_Products'!F449,'10_Master_Gem_Types'!A:A,'10_Master_Gem_Types'!K:K),""))</f>
        <v>0</v>
      </c>
      <c r="C449" s="9">
        <f>'01_Input_Raw_Products'!B449</f>
        <v>0</v>
      </c>
      <c r="D449" s="9">
        <f>IF(C449="","",TEXT(I449,"0.00")&amp;" Ct "&amp;IF('01_Input_Raw_Products'!F449&lt;&gt;"",'01_Input_Raw_Products'!F449,'01_Input_Raw_Products'!D449)&amp;" "&amp;'01_Input_Raw_Products'!I449)</f>
        <v>0</v>
      </c>
      <c r="E449" s="9">
        <f>IF(C449="","",D449&amp;" | GemPundit")</f>
        <v>0</v>
      </c>
      <c r="F449" s="9" cm="1">
        <f t="array" ref="F449">IF('01_Input_Raw_Products'!X449&lt;&gt;"",'01_Input_Raw_Products'!X449,IFERROR(_xlfn.XLOOKUP('01_Input_Raw_Products'!F449,'10_Master_Gem_Types'!A:A,'10_Master_Gem_Types'!O:O),LOWER(SUBSTITUTE(IF('01_Input_Raw_Products'!F449&lt;&gt;"",'01_Input_Raw_Products'!F449,'01_Input_Raw_Products'!D449)," ","-"))))</f>
        <v>0</v>
      </c>
      <c r="G449" s="9">
        <f>'01_Input_Raw_Products'!C449</f>
        <v>0</v>
      </c>
      <c r="H449" s="9" cm="1">
        <f t="array" ref="H449">IF('01_Input_Raw_Products'!H449&lt;&gt;"",'01_Input_Raw_Products'!H449,IFERROR(_xlfn.XLOOKUP('01_Input_Raw_Products'!F449,'10_Master_Gem_Types'!A:A,'10_Master_Gem_Types'!D:D),""))</f>
        <v>0</v>
      </c>
      <c r="I449" s="7">
        <f>IF('01_Input_Raw_Products'!N449&lt;&gt;"",'01_Input_Raw_Products'!N449,IF('01_Input_Raw_Products'!O449&lt;&gt;"",'01_Input_Raw_Products'!O449*0.91,""))</f>
        <v>0</v>
      </c>
      <c r="J449" s="9" cm="1">
        <f t="array" ref="J449">IFERROR(_xlfn.XLOOKUP('01_Input_Raw_Products'!F449,'10_Master_Gem_Types'!A:A,'10_Master_Gem_Types'!N:N),"")</f>
        <v>0</v>
      </c>
      <c r="K449" s="9" cm="1">
        <f t="array" ref="K449">IF('01_Input_Raw_Products'!J449&lt;&gt;"",'01_Input_Raw_Products'!J449,IFERROR(_xlfn.XLOOKUP('01_Input_Raw_Products'!F449,'10_Master_Gem_Types'!A:A,'10_Master_Gem_Types'!E:E),""))</f>
        <v>0</v>
      </c>
      <c r="L449" s="9">
        <f>'01_Input_Raw_Products'!P449</f>
        <v>0</v>
      </c>
      <c r="M449" s="9" cm="1">
        <f t="array" ref="M449">IFERROR(_xlfn.XLOOKUP('01_Input_Raw_Products'!K449,'12_Color_Mapping'!A:A,'12_Color_Mapping'!B:B),IFERROR(_xlfn.XLOOKUP('01_Input_Raw_Products'!F449,'10_Master_Gem_Types'!A:A,'10_Master_Gem_Types'!F:F),""))</f>
        <v>0</v>
      </c>
      <c r="N449" s="9">
        <f>IF(C449="","",IF('01_Input_Raw_Products'!F449&lt;&gt;"",'01_Input_Raw_Products'!F449,'01_Input_Raw_Products'!D449))</f>
        <v>0</v>
      </c>
      <c r="O449" s="9">
        <f>IF(C449="","","Catalog Automation")</f>
        <v>0</v>
      </c>
      <c r="P449" s="9">
        <f>'01_Input_Raw_Products'!U449</f>
        <v>0</v>
      </c>
      <c r="Q449" s="7">
        <f>IF('01_Input_Raw_Products'!O449&lt;&gt;"",'01_Input_Raw_Products'!O449,IF('01_Input_Raw_Products'!N449&lt;&gt;"",'01_Input_Raw_Products'!N449*1.1,""))</f>
        <v>0</v>
      </c>
      <c r="R449" s="9">
        <f>'01_Input_Raw_Products'!S449</f>
        <v>0</v>
      </c>
      <c r="S449" s="9" cm="1">
        <f t="array" ref="S449">IFERROR(_xlfn.XLOOKUP('01_Input_Raw_Products'!F449,'10_Master_Gem_Types'!A:A,'10_Master_Gem_Types'!H:H),"")</f>
        <v>0</v>
      </c>
      <c r="T449" s="8">
        <f>'01_Input_Raw_Products'!Q449</f>
        <v>0</v>
      </c>
      <c r="U449" s="8">
        <f>'01_Input_Raw_Products'!R449</f>
        <v>0</v>
      </c>
      <c r="V449" s="7">
        <f>I449</f>
        <v>0</v>
      </c>
      <c r="W449" s="9" cm="1">
        <f t="array" ref="W449">IF('01_Input_Raw_Products'!G449&lt;&gt;"",'01_Input_Raw_Products'!G449,IFERROR(_xlfn.XLOOKUP('01_Input_Raw_Products'!F449,'10_Master_Gem_Types'!A:A,'10_Master_Gem_Types'!L:L),""))</f>
        <v>0</v>
      </c>
      <c r="X449" s="9" cm="1">
        <f t="array" ref="X449">IFERROR(_xlfn.XLOOKUP('01_Input_Raw_Products'!F449,'10_Master_Gem_Types'!A:A,'10_Master_Gem_Types'!J:J),"")</f>
        <v>0</v>
      </c>
      <c r="Y449" s="9" cm="1">
        <f t="array" ref="Y449">IFERROR(_xlfn.XLOOKUP('01_Input_Raw_Products'!F449,'10_Master_Gem_Types'!A:A,'10_Master_Gem_Types'!I:I),"")</f>
        <v>0</v>
      </c>
      <c r="Z449" s="9" cm="1">
        <f t="array" ref="Z449">IFERROR(_xlfn.XLOOKUP('01_Input_Raw_Products'!L449,'13_Certification_Stickers'!A:A,'13_Certification_Stickers'!C:C),"")</f>
        <v>0</v>
      </c>
      <c r="AA449" s="9" cm="1">
        <f t="array" ref="AA449">IFERROR(_xlfn.XLOOKUP('01_Input_Raw_Products'!S449,'14_Shipping_Rules'!A:A,'14_Shipping_Rules'!B:B),"")</f>
        <v>0</v>
      </c>
      <c r="AB449" s="9" cm="1">
        <f t="array" ref="AB449">IFERROR(_xlfn.XLOOKUP('01_Input_Raw_Products'!D449,'16_Astro_Flags'!A:A,'16_Astro_Flags'!B:B),"")</f>
        <v>0</v>
      </c>
      <c r="AC449" s="9">
        <f>IF(C449="","","Catalog, Search")</f>
        <v>0</v>
      </c>
      <c r="AD449" s="9">
        <f>IF(C449="","",IF(OR(F449="",J449="",M449="",S449="",Y449=""),"Manual Review","Ready"))</f>
        <v>0</v>
      </c>
      <c r="AE449" s="9">
        <f>IF(C449="","",TEXTJOIN("; ",TRUE,IF(F449="","Missing url_key",""),IF(J449="","Missing classification",""),IF(M449="","Missing j_colour",""),IF(S449="","Missing hsn_code",""),IF(Y449="","Missing tax_class_id","")))</f>
        <v>0</v>
      </c>
    </row>
    <row r="450" spans="1:31">
      <c r="A450" s="9">
        <f>IF('01_Input_Raw_Products'!B450&lt;&gt;"",20,"")</f>
        <v>0</v>
      </c>
      <c r="B450" s="9" cm="1">
        <f t="array" ref="B450">IF('01_Input_Raw_Products'!M450&lt;&gt;"",'01_Input_Raw_Products'!M450,IFERROR(_xlfn.XLOOKUP('01_Input_Raw_Products'!F450,'10_Master_Gem_Types'!A:A,'10_Master_Gem_Types'!K:K),""))</f>
        <v>0</v>
      </c>
      <c r="C450" s="9">
        <f>'01_Input_Raw_Products'!B450</f>
        <v>0</v>
      </c>
      <c r="D450" s="9">
        <f>IF(C450="","",TEXT(I450,"0.00")&amp;" Ct "&amp;IF('01_Input_Raw_Products'!F450&lt;&gt;"",'01_Input_Raw_Products'!F450,'01_Input_Raw_Products'!D450)&amp;" "&amp;'01_Input_Raw_Products'!I450)</f>
        <v>0</v>
      </c>
      <c r="E450" s="9">
        <f>IF(C450="","",D450&amp;" | GemPundit")</f>
        <v>0</v>
      </c>
      <c r="F450" s="9" cm="1">
        <f t="array" ref="F450">IF('01_Input_Raw_Products'!X450&lt;&gt;"",'01_Input_Raw_Products'!X450,IFERROR(_xlfn.XLOOKUP('01_Input_Raw_Products'!F450,'10_Master_Gem_Types'!A:A,'10_Master_Gem_Types'!O:O),LOWER(SUBSTITUTE(IF('01_Input_Raw_Products'!F450&lt;&gt;"",'01_Input_Raw_Products'!F450,'01_Input_Raw_Products'!D450)," ","-"))))</f>
        <v>0</v>
      </c>
      <c r="G450" s="9">
        <f>'01_Input_Raw_Products'!C450</f>
        <v>0</v>
      </c>
      <c r="H450" s="9" cm="1">
        <f t="array" ref="H450">IF('01_Input_Raw_Products'!H450&lt;&gt;"",'01_Input_Raw_Products'!H450,IFERROR(_xlfn.XLOOKUP('01_Input_Raw_Products'!F450,'10_Master_Gem_Types'!A:A,'10_Master_Gem_Types'!D:D),""))</f>
        <v>0</v>
      </c>
      <c r="I450" s="7">
        <f>IF('01_Input_Raw_Products'!N450&lt;&gt;"",'01_Input_Raw_Products'!N450,IF('01_Input_Raw_Products'!O450&lt;&gt;"",'01_Input_Raw_Products'!O450*0.91,""))</f>
        <v>0</v>
      </c>
      <c r="J450" s="9" cm="1">
        <f t="array" ref="J450">IFERROR(_xlfn.XLOOKUP('01_Input_Raw_Products'!F450,'10_Master_Gem_Types'!A:A,'10_Master_Gem_Types'!N:N),"")</f>
        <v>0</v>
      </c>
      <c r="K450" s="9" cm="1">
        <f t="array" ref="K450">IF('01_Input_Raw_Products'!J450&lt;&gt;"",'01_Input_Raw_Products'!J450,IFERROR(_xlfn.XLOOKUP('01_Input_Raw_Products'!F450,'10_Master_Gem_Types'!A:A,'10_Master_Gem_Types'!E:E),""))</f>
        <v>0</v>
      </c>
      <c r="L450" s="9">
        <f>'01_Input_Raw_Products'!P450</f>
        <v>0</v>
      </c>
      <c r="M450" s="9" cm="1">
        <f t="array" ref="M450">IFERROR(_xlfn.XLOOKUP('01_Input_Raw_Products'!K450,'12_Color_Mapping'!A:A,'12_Color_Mapping'!B:B),IFERROR(_xlfn.XLOOKUP('01_Input_Raw_Products'!F450,'10_Master_Gem_Types'!A:A,'10_Master_Gem_Types'!F:F),""))</f>
        <v>0</v>
      </c>
      <c r="N450" s="9">
        <f>IF(C450="","",IF('01_Input_Raw_Products'!F450&lt;&gt;"",'01_Input_Raw_Products'!F450,'01_Input_Raw_Products'!D450))</f>
        <v>0</v>
      </c>
      <c r="O450" s="9">
        <f>IF(C450="","","Catalog Automation")</f>
        <v>0</v>
      </c>
      <c r="P450" s="9">
        <f>'01_Input_Raw_Products'!U450</f>
        <v>0</v>
      </c>
      <c r="Q450" s="7">
        <f>IF('01_Input_Raw_Products'!O450&lt;&gt;"",'01_Input_Raw_Products'!O450,IF('01_Input_Raw_Products'!N450&lt;&gt;"",'01_Input_Raw_Products'!N450*1.1,""))</f>
        <v>0</v>
      </c>
      <c r="R450" s="9">
        <f>'01_Input_Raw_Products'!S450</f>
        <v>0</v>
      </c>
      <c r="S450" s="9" cm="1">
        <f t="array" ref="S450">IFERROR(_xlfn.XLOOKUP('01_Input_Raw_Products'!F450,'10_Master_Gem_Types'!A:A,'10_Master_Gem_Types'!H:H),"")</f>
        <v>0</v>
      </c>
      <c r="T450" s="8">
        <f>'01_Input_Raw_Products'!Q450</f>
        <v>0</v>
      </c>
      <c r="U450" s="8">
        <f>'01_Input_Raw_Products'!R450</f>
        <v>0</v>
      </c>
      <c r="V450" s="7">
        <f>I450</f>
        <v>0</v>
      </c>
      <c r="W450" s="9" cm="1">
        <f t="array" ref="W450">IF('01_Input_Raw_Products'!G450&lt;&gt;"",'01_Input_Raw_Products'!G450,IFERROR(_xlfn.XLOOKUP('01_Input_Raw_Products'!F450,'10_Master_Gem_Types'!A:A,'10_Master_Gem_Types'!L:L),""))</f>
        <v>0</v>
      </c>
      <c r="X450" s="9" cm="1">
        <f t="array" ref="X450">IFERROR(_xlfn.XLOOKUP('01_Input_Raw_Products'!F450,'10_Master_Gem_Types'!A:A,'10_Master_Gem_Types'!J:J),"")</f>
        <v>0</v>
      </c>
      <c r="Y450" s="9" cm="1">
        <f t="array" ref="Y450">IFERROR(_xlfn.XLOOKUP('01_Input_Raw_Products'!F450,'10_Master_Gem_Types'!A:A,'10_Master_Gem_Types'!I:I),"")</f>
        <v>0</v>
      </c>
      <c r="Z450" s="9" cm="1">
        <f t="array" ref="Z450">IFERROR(_xlfn.XLOOKUP('01_Input_Raw_Products'!L450,'13_Certification_Stickers'!A:A,'13_Certification_Stickers'!C:C),"")</f>
        <v>0</v>
      </c>
      <c r="AA450" s="9" cm="1">
        <f t="array" ref="AA450">IFERROR(_xlfn.XLOOKUP('01_Input_Raw_Products'!S450,'14_Shipping_Rules'!A:A,'14_Shipping_Rules'!B:B),"")</f>
        <v>0</v>
      </c>
      <c r="AB450" s="9" cm="1">
        <f t="array" ref="AB450">IFERROR(_xlfn.XLOOKUP('01_Input_Raw_Products'!D450,'16_Astro_Flags'!A:A,'16_Astro_Flags'!B:B),"")</f>
        <v>0</v>
      </c>
      <c r="AC450" s="9">
        <f>IF(C450="","","Catalog, Search")</f>
        <v>0</v>
      </c>
      <c r="AD450" s="9">
        <f>IF(C450="","",IF(OR(F450="",J450="",M450="",S450="",Y450=""),"Manual Review","Ready"))</f>
        <v>0</v>
      </c>
      <c r="AE450" s="9">
        <f>IF(C450="","",TEXTJOIN("; ",TRUE,IF(F450="","Missing url_key",""),IF(J450="","Missing classification",""),IF(M450="","Missing j_colour",""),IF(S450="","Missing hsn_code",""),IF(Y450="","Missing tax_class_id","")))</f>
        <v>0</v>
      </c>
    </row>
    <row r="451" spans="1:31">
      <c r="A451" s="9">
        <f>IF('01_Input_Raw_Products'!B451&lt;&gt;"",20,"")</f>
        <v>0</v>
      </c>
      <c r="B451" s="9" cm="1">
        <f t="array" ref="B451">IF('01_Input_Raw_Products'!M451&lt;&gt;"",'01_Input_Raw_Products'!M451,IFERROR(_xlfn.XLOOKUP('01_Input_Raw_Products'!F451,'10_Master_Gem_Types'!A:A,'10_Master_Gem_Types'!K:K),""))</f>
        <v>0</v>
      </c>
      <c r="C451" s="9">
        <f>'01_Input_Raw_Products'!B451</f>
        <v>0</v>
      </c>
      <c r="D451" s="9">
        <f>IF(C451="","",TEXT(I451,"0.00")&amp;" Ct "&amp;IF('01_Input_Raw_Products'!F451&lt;&gt;"",'01_Input_Raw_Products'!F451,'01_Input_Raw_Products'!D451)&amp;" "&amp;'01_Input_Raw_Products'!I451)</f>
        <v>0</v>
      </c>
      <c r="E451" s="9">
        <f>IF(C451="","",D451&amp;" | GemPundit")</f>
        <v>0</v>
      </c>
      <c r="F451" s="9" cm="1">
        <f t="array" ref="F451">IF('01_Input_Raw_Products'!X451&lt;&gt;"",'01_Input_Raw_Products'!X451,IFERROR(_xlfn.XLOOKUP('01_Input_Raw_Products'!F451,'10_Master_Gem_Types'!A:A,'10_Master_Gem_Types'!O:O),LOWER(SUBSTITUTE(IF('01_Input_Raw_Products'!F451&lt;&gt;"",'01_Input_Raw_Products'!F451,'01_Input_Raw_Products'!D451)," ","-"))))</f>
        <v>0</v>
      </c>
      <c r="G451" s="9">
        <f>'01_Input_Raw_Products'!C451</f>
        <v>0</v>
      </c>
      <c r="H451" s="9" cm="1">
        <f t="array" ref="H451">IF('01_Input_Raw_Products'!H451&lt;&gt;"",'01_Input_Raw_Products'!H451,IFERROR(_xlfn.XLOOKUP('01_Input_Raw_Products'!F451,'10_Master_Gem_Types'!A:A,'10_Master_Gem_Types'!D:D),""))</f>
        <v>0</v>
      </c>
      <c r="I451" s="7">
        <f>IF('01_Input_Raw_Products'!N451&lt;&gt;"",'01_Input_Raw_Products'!N451,IF('01_Input_Raw_Products'!O451&lt;&gt;"",'01_Input_Raw_Products'!O451*0.91,""))</f>
        <v>0</v>
      </c>
      <c r="J451" s="9" cm="1">
        <f t="array" ref="J451">IFERROR(_xlfn.XLOOKUP('01_Input_Raw_Products'!F451,'10_Master_Gem_Types'!A:A,'10_Master_Gem_Types'!N:N),"")</f>
        <v>0</v>
      </c>
      <c r="K451" s="9" cm="1">
        <f t="array" ref="K451">IF('01_Input_Raw_Products'!J451&lt;&gt;"",'01_Input_Raw_Products'!J451,IFERROR(_xlfn.XLOOKUP('01_Input_Raw_Products'!F451,'10_Master_Gem_Types'!A:A,'10_Master_Gem_Types'!E:E),""))</f>
        <v>0</v>
      </c>
      <c r="L451" s="9">
        <f>'01_Input_Raw_Products'!P451</f>
        <v>0</v>
      </c>
      <c r="M451" s="9" cm="1">
        <f t="array" ref="M451">IFERROR(_xlfn.XLOOKUP('01_Input_Raw_Products'!K451,'12_Color_Mapping'!A:A,'12_Color_Mapping'!B:B),IFERROR(_xlfn.XLOOKUP('01_Input_Raw_Products'!F451,'10_Master_Gem_Types'!A:A,'10_Master_Gem_Types'!F:F),""))</f>
        <v>0</v>
      </c>
      <c r="N451" s="9">
        <f>IF(C451="","",IF('01_Input_Raw_Products'!F451&lt;&gt;"",'01_Input_Raw_Products'!F451,'01_Input_Raw_Products'!D451))</f>
        <v>0</v>
      </c>
      <c r="O451" s="9">
        <f>IF(C451="","","Catalog Automation")</f>
        <v>0</v>
      </c>
      <c r="P451" s="9">
        <f>'01_Input_Raw_Products'!U451</f>
        <v>0</v>
      </c>
      <c r="Q451" s="7">
        <f>IF('01_Input_Raw_Products'!O451&lt;&gt;"",'01_Input_Raw_Products'!O451,IF('01_Input_Raw_Products'!N451&lt;&gt;"",'01_Input_Raw_Products'!N451*1.1,""))</f>
        <v>0</v>
      </c>
      <c r="R451" s="9">
        <f>'01_Input_Raw_Products'!S451</f>
        <v>0</v>
      </c>
      <c r="S451" s="9" cm="1">
        <f t="array" ref="S451">IFERROR(_xlfn.XLOOKUP('01_Input_Raw_Products'!F451,'10_Master_Gem_Types'!A:A,'10_Master_Gem_Types'!H:H),"")</f>
        <v>0</v>
      </c>
      <c r="T451" s="8">
        <f>'01_Input_Raw_Products'!Q451</f>
        <v>0</v>
      </c>
      <c r="U451" s="8">
        <f>'01_Input_Raw_Products'!R451</f>
        <v>0</v>
      </c>
      <c r="V451" s="7">
        <f>I451</f>
        <v>0</v>
      </c>
      <c r="W451" s="9" cm="1">
        <f t="array" ref="W451">IF('01_Input_Raw_Products'!G451&lt;&gt;"",'01_Input_Raw_Products'!G451,IFERROR(_xlfn.XLOOKUP('01_Input_Raw_Products'!F451,'10_Master_Gem_Types'!A:A,'10_Master_Gem_Types'!L:L),""))</f>
        <v>0</v>
      </c>
      <c r="X451" s="9" cm="1">
        <f t="array" ref="X451">IFERROR(_xlfn.XLOOKUP('01_Input_Raw_Products'!F451,'10_Master_Gem_Types'!A:A,'10_Master_Gem_Types'!J:J),"")</f>
        <v>0</v>
      </c>
      <c r="Y451" s="9" cm="1">
        <f t="array" ref="Y451">IFERROR(_xlfn.XLOOKUP('01_Input_Raw_Products'!F451,'10_Master_Gem_Types'!A:A,'10_Master_Gem_Types'!I:I),"")</f>
        <v>0</v>
      </c>
      <c r="Z451" s="9" cm="1">
        <f t="array" ref="Z451">IFERROR(_xlfn.XLOOKUP('01_Input_Raw_Products'!L451,'13_Certification_Stickers'!A:A,'13_Certification_Stickers'!C:C),"")</f>
        <v>0</v>
      </c>
      <c r="AA451" s="9" cm="1">
        <f t="array" ref="AA451">IFERROR(_xlfn.XLOOKUP('01_Input_Raw_Products'!S451,'14_Shipping_Rules'!A:A,'14_Shipping_Rules'!B:B),"")</f>
        <v>0</v>
      </c>
      <c r="AB451" s="9" cm="1">
        <f t="array" ref="AB451">IFERROR(_xlfn.XLOOKUP('01_Input_Raw_Products'!D451,'16_Astro_Flags'!A:A,'16_Astro_Flags'!B:B),"")</f>
        <v>0</v>
      </c>
      <c r="AC451" s="9">
        <f>IF(C451="","","Catalog, Search")</f>
        <v>0</v>
      </c>
      <c r="AD451" s="9">
        <f>IF(C451="","",IF(OR(F451="",J451="",M451="",S451="",Y451=""),"Manual Review","Ready"))</f>
        <v>0</v>
      </c>
      <c r="AE451" s="9">
        <f>IF(C451="","",TEXTJOIN("; ",TRUE,IF(F451="","Missing url_key",""),IF(J451="","Missing classification",""),IF(M451="","Missing j_colour",""),IF(S451="","Missing hsn_code",""),IF(Y451="","Missing tax_class_id","")))</f>
        <v>0</v>
      </c>
    </row>
    <row r="452" spans="1:31">
      <c r="A452" s="9">
        <f>IF('01_Input_Raw_Products'!B452&lt;&gt;"",20,"")</f>
        <v>0</v>
      </c>
      <c r="B452" s="9" cm="1">
        <f t="array" ref="B452">IF('01_Input_Raw_Products'!M452&lt;&gt;"",'01_Input_Raw_Products'!M452,IFERROR(_xlfn.XLOOKUP('01_Input_Raw_Products'!F452,'10_Master_Gem_Types'!A:A,'10_Master_Gem_Types'!K:K),""))</f>
        <v>0</v>
      </c>
      <c r="C452" s="9">
        <f>'01_Input_Raw_Products'!B452</f>
        <v>0</v>
      </c>
      <c r="D452" s="9">
        <f>IF(C452="","",TEXT(I452,"0.00")&amp;" Ct "&amp;IF('01_Input_Raw_Products'!F452&lt;&gt;"",'01_Input_Raw_Products'!F452,'01_Input_Raw_Products'!D452)&amp;" "&amp;'01_Input_Raw_Products'!I452)</f>
        <v>0</v>
      </c>
      <c r="E452" s="9">
        <f>IF(C452="","",D452&amp;" | GemPundit")</f>
        <v>0</v>
      </c>
      <c r="F452" s="9" cm="1">
        <f t="array" ref="F452">IF('01_Input_Raw_Products'!X452&lt;&gt;"",'01_Input_Raw_Products'!X452,IFERROR(_xlfn.XLOOKUP('01_Input_Raw_Products'!F452,'10_Master_Gem_Types'!A:A,'10_Master_Gem_Types'!O:O),LOWER(SUBSTITUTE(IF('01_Input_Raw_Products'!F452&lt;&gt;"",'01_Input_Raw_Products'!F452,'01_Input_Raw_Products'!D452)," ","-"))))</f>
        <v>0</v>
      </c>
      <c r="G452" s="9">
        <f>'01_Input_Raw_Products'!C452</f>
        <v>0</v>
      </c>
      <c r="H452" s="9" cm="1">
        <f t="array" ref="H452">IF('01_Input_Raw_Products'!H452&lt;&gt;"",'01_Input_Raw_Products'!H452,IFERROR(_xlfn.XLOOKUP('01_Input_Raw_Products'!F452,'10_Master_Gem_Types'!A:A,'10_Master_Gem_Types'!D:D),""))</f>
        <v>0</v>
      </c>
      <c r="I452" s="7">
        <f>IF('01_Input_Raw_Products'!N452&lt;&gt;"",'01_Input_Raw_Products'!N452,IF('01_Input_Raw_Products'!O452&lt;&gt;"",'01_Input_Raw_Products'!O452*0.91,""))</f>
        <v>0</v>
      </c>
      <c r="J452" s="9" cm="1">
        <f t="array" ref="J452">IFERROR(_xlfn.XLOOKUP('01_Input_Raw_Products'!F452,'10_Master_Gem_Types'!A:A,'10_Master_Gem_Types'!N:N),"")</f>
        <v>0</v>
      </c>
      <c r="K452" s="9" cm="1">
        <f t="array" ref="K452">IF('01_Input_Raw_Products'!J452&lt;&gt;"",'01_Input_Raw_Products'!J452,IFERROR(_xlfn.XLOOKUP('01_Input_Raw_Products'!F452,'10_Master_Gem_Types'!A:A,'10_Master_Gem_Types'!E:E),""))</f>
        <v>0</v>
      </c>
      <c r="L452" s="9">
        <f>'01_Input_Raw_Products'!P452</f>
        <v>0</v>
      </c>
      <c r="M452" s="9" cm="1">
        <f t="array" ref="M452">IFERROR(_xlfn.XLOOKUP('01_Input_Raw_Products'!K452,'12_Color_Mapping'!A:A,'12_Color_Mapping'!B:B),IFERROR(_xlfn.XLOOKUP('01_Input_Raw_Products'!F452,'10_Master_Gem_Types'!A:A,'10_Master_Gem_Types'!F:F),""))</f>
        <v>0</v>
      </c>
      <c r="N452" s="9">
        <f>IF(C452="","",IF('01_Input_Raw_Products'!F452&lt;&gt;"",'01_Input_Raw_Products'!F452,'01_Input_Raw_Products'!D452))</f>
        <v>0</v>
      </c>
      <c r="O452" s="9">
        <f>IF(C452="","","Catalog Automation")</f>
        <v>0</v>
      </c>
      <c r="P452" s="9">
        <f>'01_Input_Raw_Products'!U452</f>
        <v>0</v>
      </c>
      <c r="Q452" s="7">
        <f>IF('01_Input_Raw_Products'!O452&lt;&gt;"",'01_Input_Raw_Products'!O452,IF('01_Input_Raw_Products'!N452&lt;&gt;"",'01_Input_Raw_Products'!N452*1.1,""))</f>
        <v>0</v>
      </c>
      <c r="R452" s="9">
        <f>'01_Input_Raw_Products'!S452</f>
        <v>0</v>
      </c>
      <c r="S452" s="9" cm="1">
        <f t="array" ref="S452">IFERROR(_xlfn.XLOOKUP('01_Input_Raw_Products'!F452,'10_Master_Gem_Types'!A:A,'10_Master_Gem_Types'!H:H),"")</f>
        <v>0</v>
      </c>
      <c r="T452" s="8">
        <f>'01_Input_Raw_Products'!Q452</f>
        <v>0</v>
      </c>
      <c r="U452" s="8">
        <f>'01_Input_Raw_Products'!R452</f>
        <v>0</v>
      </c>
      <c r="V452" s="7">
        <f>I452</f>
        <v>0</v>
      </c>
      <c r="W452" s="9" cm="1">
        <f t="array" ref="W452">IF('01_Input_Raw_Products'!G452&lt;&gt;"",'01_Input_Raw_Products'!G452,IFERROR(_xlfn.XLOOKUP('01_Input_Raw_Products'!F452,'10_Master_Gem_Types'!A:A,'10_Master_Gem_Types'!L:L),""))</f>
        <v>0</v>
      </c>
      <c r="X452" s="9" cm="1">
        <f t="array" ref="X452">IFERROR(_xlfn.XLOOKUP('01_Input_Raw_Products'!F452,'10_Master_Gem_Types'!A:A,'10_Master_Gem_Types'!J:J),"")</f>
        <v>0</v>
      </c>
      <c r="Y452" s="9" cm="1">
        <f t="array" ref="Y452">IFERROR(_xlfn.XLOOKUP('01_Input_Raw_Products'!F452,'10_Master_Gem_Types'!A:A,'10_Master_Gem_Types'!I:I),"")</f>
        <v>0</v>
      </c>
      <c r="Z452" s="9" cm="1">
        <f t="array" ref="Z452">IFERROR(_xlfn.XLOOKUP('01_Input_Raw_Products'!L452,'13_Certification_Stickers'!A:A,'13_Certification_Stickers'!C:C),"")</f>
        <v>0</v>
      </c>
      <c r="AA452" s="9" cm="1">
        <f t="array" ref="AA452">IFERROR(_xlfn.XLOOKUP('01_Input_Raw_Products'!S452,'14_Shipping_Rules'!A:A,'14_Shipping_Rules'!B:B),"")</f>
        <v>0</v>
      </c>
      <c r="AB452" s="9" cm="1">
        <f t="array" ref="AB452">IFERROR(_xlfn.XLOOKUP('01_Input_Raw_Products'!D452,'16_Astro_Flags'!A:A,'16_Astro_Flags'!B:B),"")</f>
        <v>0</v>
      </c>
      <c r="AC452" s="9">
        <f>IF(C452="","","Catalog, Search")</f>
        <v>0</v>
      </c>
      <c r="AD452" s="9">
        <f>IF(C452="","",IF(OR(F452="",J452="",M452="",S452="",Y452=""),"Manual Review","Ready"))</f>
        <v>0</v>
      </c>
      <c r="AE452" s="9">
        <f>IF(C452="","",TEXTJOIN("; ",TRUE,IF(F452="","Missing url_key",""),IF(J452="","Missing classification",""),IF(M452="","Missing j_colour",""),IF(S452="","Missing hsn_code",""),IF(Y452="","Missing tax_class_id","")))</f>
        <v>0</v>
      </c>
    </row>
    <row r="453" spans="1:31">
      <c r="A453" s="9">
        <f>IF('01_Input_Raw_Products'!B453&lt;&gt;"",20,"")</f>
        <v>0</v>
      </c>
      <c r="B453" s="9" cm="1">
        <f t="array" ref="B453">IF('01_Input_Raw_Products'!M453&lt;&gt;"",'01_Input_Raw_Products'!M453,IFERROR(_xlfn.XLOOKUP('01_Input_Raw_Products'!F453,'10_Master_Gem_Types'!A:A,'10_Master_Gem_Types'!K:K),""))</f>
        <v>0</v>
      </c>
      <c r="C453" s="9">
        <f>'01_Input_Raw_Products'!B453</f>
        <v>0</v>
      </c>
      <c r="D453" s="9">
        <f>IF(C453="","",TEXT(I453,"0.00")&amp;" Ct "&amp;IF('01_Input_Raw_Products'!F453&lt;&gt;"",'01_Input_Raw_Products'!F453,'01_Input_Raw_Products'!D453)&amp;" "&amp;'01_Input_Raw_Products'!I453)</f>
        <v>0</v>
      </c>
      <c r="E453" s="9">
        <f>IF(C453="","",D453&amp;" | GemPundit")</f>
        <v>0</v>
      </c>
      <c r="F453" s="9" cm="1">
        <f t="array" ref="F453">IF('01_Input_Raw_Products'!X453&lt;&gt;"",'01_Input_Raw_Products'!X453,IFERROR(_xlfn.XLOOKUP('01_Input_Raw_Products'!F453,'10_Master_Gem_Types'!A:A,'10_Master_Gem_Types'!O:O),LOWER(SUBSTITUTE(IF('01_Input_Raw_Products'!F453&lt;&gt;"",'01_Input_Raw_Products'!F453,'01_Input_Raw_Products'!D453)," ","-"))))</f>
        <v>0</v>
      </c>
      <c r="G453" s="9">
        <f>'01_Input_Raw_Products'!C453</f>
        <v>0</v>
      </c>
      <c r="H453" s="9" cm="1">
        <f t="array" ref="H453">IF('01_Input_Raw_Products'!H453&lt;&gt;"",'01_Input_Raw_Products'!H453,IFERROR(_xlfn.XLOOKUP('01_Input_Raw_Products'!F453,'10_Master_Gem_Types'!A:A,'10_Master_Gem_Types'!D:D),""))</f>
        <v>0</v>
      </c>
      <c r="I453" s="7">
        <f>IF('01_Input_Raw_Products'!N453&lt;&gt;"",'01_Input_Raw_Products'!N453,IF('01_Input_Raw_Products'!O453&lt;&gt;"",'01_Input_Raw_Products'!O453*0.91,""))</f>
        <v>0</v>
      </c>
      <c r="J453" s="9" cm="1">
        <f t="array" ref="J453">IFERROR(_xlfn.XLOOKUP('01_Input_Raw_Products'!F453,'10_Master_Gem_Types'!A:A,'10_Master_Gem_Types'!N:N),"")</f>
        <v>0</v>
      </c>
      <c r="K453" s="9" cm="1">
        <f t="array" ref="K453">IF('01_Input_Raw_Products'!J453&lt;&gt;"",'01_Input_Raw_Products'!J453,IFERROR(_xlfn.XLOOKUP('01_Input_Raw_Products'!F453,'10_Master_Gem_Types'!A:A,'10_Master_Gem_Types'!E:E),""))</f>
        <v>0</v>
      </c>
      <c r="L453" s="9">
        <f>'01_Input_Raw_Products'!P453</f>
        <v>0</v>
      </c>
      <c r="M453" s="9" cm="1">
        <f t="array" ref="M453">IFERROR(_xlfn.XLOOKUP('01_Input_Raw_Products'!K453,'12_Color_Mapping'!A:A,'12_Color_Mapping'!B:B),IFERROR(_xlfn.XLOOKUP('01_Input_Raw_Products'!F453,'10_Master_Gem_Types'!A:A,'10_Master_Gem_Types'!F:F),""))</f>
        <v>0</v>
      </c>
      <c r="N453" s="9">
        <f>IF(C453="","",IF('01_Input_Raw_Products'!F453&lt;&gt;"",'01_Input_Raw_Products'!F453,'01_Input_Raw_Products'!D453))</f>
        <v>0</v>
      </c>
      <c r="O453" s="9">
        <f>IF(C453="","","Catalog Automation")</f>
        <v>0</v>
      </c>
      <c r="P453" s="9">
        <f>'01_Input_Raw_Products'!U453</f>
        <v>0</v>
      </c>
      <c r="Q453" s="7">
        <f>IF('01_Input_Raw_Products'!O453&lt;&gt;"",'01_Input_Raw_Products'!O453,IF('01_Input_Raw_Products'!N453&lt;&gt;"",'01_Input_Raw_Products'!N453*1.1,""))</f>
        <v>0</v>
      </c>
      <c r="R453" s="9">
        <f>'01_Input_Raw_Products'!S453</f>
        <v>0</v>
      </c>
      <c r="S453" s="9" cm="1">
        <f t="array" ref="S453">IFERROR(_xlfn.XLOOKUP('01_Input_Raw_Products'!F453,'10_Master_Gem_Types'!A:A,'10_Master_Gem_Types'!H:H),"")</f>
        <v>0</v>
      </c>
      <c r="T453" s="8">
        <f>'01_Input_Raw_Products'!Q453</f>
        <v>0</v>
      </c>
      <c r="U453" s="8">
        <f>'01_Input_Raw_Products'!R453</f>
        <v>0</v>
      </c>
      <c r="V453" s="7">
        <f>I453</f>
        <v>0</v>
      </c>
      <c r="W453" s="9" cm="1">
        <f t="array" ref="W453">IF('01_Input_Raw_Products'!G453&lt;&gt;"",'01_Input_Raw_Products'!G453,IFERROR(_xlfn.XLOOKUP('01_Input_Raw_Products'!F453,'10_Master_Gem_Types'!A:A,'10_Master_Gem_Types'!L:L),""))</f>
        <v>0</v>
      </c>
      <c r="X453" s="9" cm="1">
        <f t="array" ref="X453">IFERROR(_xlfn.XLOOKUP('01_Input_Raw_Products'!F453,'10_Master_Gem_Types'!A:A,'10_Master_Gem_Types'!J:J),"")</f>
        <v>0</v>
      </c>
      <c r="Y453" s="9" cm="1">
        <f t="array" ref="Y453">IFERROR(_xlfn.XLOOKUP('01_Input_Raw_Products'!F453,'10_Master_Gem_Types'!A:A,'10_Master_Gem_Types'!I:I),"")</f>
        <v>0</v>
      </c>
      <c r="Z453" s="9" cm="1">
        <f t="array" ref="Z453">IFERROR(_xlfn.XLOOKUP('01_Input_Raw_Products'!L453,'13_Certification_Stickers'!A:A,'13_Certification_Stickers'!C:C),"")</f>
        <v>0</v>
      </c>
      <c r="AA453" s="9" cm="1">
        <f t="array" ref="AA453">IFERROR(_xlfn.XLOOKUP('01_Input_Raw_Products'!S453,'14_Shipping_Rules'!A:A,'14_Shipping_Rules'!B:B),"")</f>
        <v>0</v>
      </c>
      <c r="AB453" s="9" cm="1">
        <f t="array" ref="AB453">IFERROR(_xlfn.XLOOKUP('01_Input_Raw_Products'!D453,'16_Astro_Flags'!A:A,'16_Astro_Flags'!B:B),"")</f>
        <v>0</v>
      </c>
      <c r="AC453" s="9">
        <f>IF(C453="","","Catalog, Search")</f>
        <v>0</v>
      </c>
      <c r="AD453" s="9">
        <f>IF(C453="","",IF(OR(F453="",J453="",M453="",S453="",Y453=""),"Manual Review","Ready"))</f>
        <v>0</v>
      </c>
      <c r="AE453" s="9">
        <f>IF(C453="","",TEXTJOIN("; ",TRUE,IF(F453="","Missing url_key",""),IF(J453="","Missing classification",""),IF(M453="","Missing j_colour",""),IF(S453="","Missing hsn_code",""),IF(Y453="","Missing tax_class_id","")))</f>
        <v>0</v>
      </c>
    </row>
    <row r="454" spans="1:31">
      <c r="A454" s="9">
        <f>IF('01_Input_Raw_Products'!B454&lt;&gt;"",20,"")</f>
        <v>0</v>
      </c>
      <c r="B454" s="9" cm="1">
        <f t="array" ref="B454">IF('01_Input_Raw_Products'!M454&lt;&gt;"",'01_Input_Raw_Products'!M454,IFERROR(_xlfn.XLOOKUP('01_Input_Raw_Products'!F454,'10_Master_Gem_Types'!A:A,'10_Master_Gem_Types'!K:K),""))</f>
        <v>0</v>
      </c>
      <c r="C454" s="9">
        <f>'01_Input_Raw_Products'!B454</f>
        <v>0</v>
      </c>
      <c r="D454" s="9">
        <f>IF(C454="","",TEXT(I454,"0.00")&amp;" Ct "&amp;IF('01_Input_Raw_Products'!F454&lt;&gt;"",'01_Input_Raw_Products'!F454,'01_Input_Raw_Products'!D454)&amp;" "&amp;'01_Input_Raw_Products'!I454)</f>
        <v>0</v>
      </c>
      <c r="E454" s="9">
        <f>IF(C454="","",D454&amp;" | GemPundit")</f>
        <v>0</v>
      </c>
      <c r="F454" s="9" cm="1">
        <f t="array" ref="F454">IF('01_Input_Raw_Products'!X454&lt;&gt;"",'01_Input_Raw_Products'!X454,IFERROR(_xlfn.XLOOKUP('01_Input_Raw_Products'!F454,'10_Master_Gem_Types'!A:A,'10_Master_Gem_Types'!O:O),LOWER(SUBSTITUTE(IF('01_Input_Raw_Products'!F454&lt;&gt;"",'01_Input_Raw_Products'!F454,'01_Input_Raw_Products'!D454)," ","-"))))</f>
        <v>0</v>
      </c>
      <c r="G454" s="9">
        <f>'01_Input_Raw_Products'!C454</f>
        <v>0</v>
      </c>
      <c r="H454" s="9" cm="1">
        <f t="array" ref="H454">IF('01_Input_Raw_Products'!H454&lt;&gt;"",'01_Input_Raw_Products'!H454,IFERROR(_xlfn.XLOOKUP('01_Input_Raw_Products'!F454,'10_Master_Gem_Types'!A:A,'10_Master_Gem_Types'!D:D),""))</f>
        <v>0</v>
      </c>
      <c r="I454" s="7">
        <f>IF('01_Input_Raw_Products'!N454&lt;&gt;"",'01_Input_Raw_Products'!N454,IF('01_Input_Raw_Products'!O454&lt;&gt;"",'01_Input_Raw_Products'!O454*0.91,""))</f>
        <v>0</v>
      </c>
      <c r="J454" s="9" cm="1">
        <f t="array" ref="J454">IFERROR(_xlfn.XLOOKUP('01_Input_Raw_Products'!F454,'10_Master_Gem_Types'!A:A,'10_Master_Gem_Types'!N:N),"")</f>
        <v>0</v>
      </c>
      <c r="K454" s="9" cm="1">
        <f t="array" ref="K454">IF('01_Input_Raw_Products'!J454&lt;&gt;"",'01_Input_Raw_Products'!J454,IFERROR(_xlfn.XLOOKUP('01_Input_Raw_Products'!F454,'10_Master_Gem_Types'!A:A,'10_Master_Gem_Types'!E:E),""))</f>
        <v>0</v>
      </c>
      <c r="L454" s="9">
        <f>'01_Input_Raw_Products'!P454</f>
        <v>0</v>
      </c>
      <c r="M454" s="9" cm="1">
        <f t="array" ref="M454">IFERROR(_xlfn.XLOOKUP('01_Input_Raw_Products'!K454,'12_Color_Mapping'!A:A,'12_Color_Mapping'!B:B),IFERROR(_xlfn.XLOOKUP('01_Input_Raw_Products'!F454,'10_Master_Gem_Types'!A:A,'10_Master_Gem_Types'!F:F),""))</f>
        <v>0</v>
      </c>
      <c r="N454" s="9">
        <f>IF(C454="","",IF('01_Input_Raw_Products'!F454&lt;&gt;"",'01_Input_Raw_Products'!F454,'01_Input_Raw_Products'!D454))</f>
        <v>0</v>
      </c>
      <c r="O454" s="9">
        <f>IF(C454="","","Catalog Automation")</f>
        <v>0</v>
      </c>
      <c r="P454" s="9">
        <f>'01_Input_Raw_Products'!U454</f>
        <v>0</v>
      </c>
      <c r="Q454" s="7">
        <f>IF('01_Input_Raw_Products'!O454&lt;&gt;"",'01_Input_Raw_Products'!O454,IF('01_Input_Raw_Products'!N454&lt;&gt;"",'01_Input_Raw_Products'!N454*1.1,""))</f>
        <v>0</v>
      </c>
      <c r="R454" s="9">
        <f>'01_Input_Raw_Products'!S454</f>
        <v>0</v>
      </c>
      <c r="S454" s="9" cm="1">
        <f t="array" ref="S454">IFERROR(_xlfn.XLOOKUP('01_Input_Raw_Products'!F454,'10_Master_Gem_Types'!A:A,'10_Master_Gem_Types'!H:H),"")</f>
        <v>0</v>
      </c>
      <c r="T454" s="8">
        <f>'01_Input_Raw_Products'!Q454</f>
        <v>0</v>
      </c>
      <c r="U454" s="8">
        <f>'01_Input_Raw_Products'!R454</f>
        <v>0</v>
      </c>
      <c r="V454" s="7">
        <f>I454</f>
        <v>0</v>
      </c>
      <c r="W454" s="9" cm="1">
        <f t="array" ref="W454">IF('01_Input_Raw_Products'!G454&lt;&gt;"",'01_Input_Raw_Products'!G454,IFERROR(_xlfn.XLOOKUP('01_Input_Raw_Products'!F454,'10_Master_Gem_Types'!A:A,'10_Master_Gem_Types'!L:L),""))</f>
        <v>0</v>
      </c>
      <c r="X454" s="9" cm="1">
        <f t="array" ref="X454">IFERROR(_xlfn.XLOOKUP('01_Input_Raw_Products'!F454,'10_Master_Gem_Types'!A:A,'10_Master_Gem_Types'!J:J),"")</f>
        <v>0</v>
      </c>
      <c r="Y454" s="9" cm="1">
        <f t="array" ref="Y454">IFERROR(_xlfn.XLOOKUP('01_Input_Raw_Products'!F454,'10_Master_Gem_Types'!A:A,'10_Master_Gem_Types'!I:I),"")</f>
        <v>0</v>
      </c>
      <c r="Z454" s="9" cm="1">
        <f t="array" ref="Z454">IFERROR(_xlfn.XLOOKUP('01_Input_Raw_Products'!L454,'13_Certification_Stickers'!A:A,'13_Certification_Stickers'!C:C),"")</f>
        <v>0</v>
      </c>
      <c r="AA454" s="9" cm="1">
        <f t="array" ref="AA454">IFERROR(_xlfn.XLOOKUP('01_Input_Raw_Products'!S454,'14_Shipping_Rules'!A:A,'14_Shipping_Rules'!B:B),"")</f>
        <v>0</v>
      </c>
      <c r="AB454" s="9" cm="1">
        <f t="array" ref="AB454">IFERROR(_xlfn.XLOOKUP('01_Input_Raw_Products'!D454,'16_Astro_Flags'!A:A,'16_Astro_Flags'!B:B),"")</f>
        <v>0</v>
      </c>
      <c r="AC454" s="9">
        <f>IF(C454="","","Catalog, Search")</f>
        <v>0</v>
      </c>
      <c r="AD454" s="9">
        <f>IF(C454="","",IF(OR(F454="",J454="",M454="",S454="",Y454=""),"Manual Review","Ready"))</f>
        <v>0</v>
      </c>
      <c r="AE454" s="9">
        <f>IF(C454="","",TEXTJOIN("; ",TRUE,IF(F454="","Missing url_key",""),IF(J454="","Missing classification",""),IF(M454="","Missing j_colour",""),IF(S454="","Missing hsn_code",""),IF(Y454="","Missing tax_class_id","")))</f>
        <v>0</v>
      </c>
    </row>
    <row r="455" spans="1:31">
      <c r="A455" s="9">
        <f>IF('01_Input_Raw_Products'!B455&lt;&gt;"",20,"")</f>
        <v>0</v>
      </c>
      <c r="B455" s="9" cm="1">
        <f t="array" ref="B455">IF('01_Input_Raw_Products'!M455&lt;&gt;"",'01_Input_Raw_Products'!M455,IFERROR(_xlfn.XLOOKUP('01_Input_Raw_Products'!F455,'10_Master_Gem_Types'!A:A,'10_Master_Gem_Types'!K:K),""))</f>
        <v>0</v>
      </c>
      <c r="C455" s="9">
        <f>'01_Input_Raw_Products'!B455</f>
        <v>0</v>
      </c>
      <c r="D455" s="9">
        <f>IF(C455="","",TEXT(I455,"0.00")&amp;" Ct "&amp;IF('01_Input_Raw_Products'!F455&lt;&gt;"",'01_Input_Raw_Products'!F455,'01_Input_Raw_Products'!D455)&amp;" "&amp;'01_Input_Raw_Products'!I455)</f>
        <v>0</v>
      </c>
      <c r="E455" s="9">
        <f>IF(C455="","",D455&amp;" | GemPundit")</f>
        <v>0</v>
      </c>
      <c r="F455" s="9" cm="1">
        <f t="array" ref="F455">IF('01_Input_Raw_Products'!X455&lt;&gt;"",'01_Input_Raw_Products'!X455,IFERROR(_xlfn.XLOOKUP('01_Input_Raw_Products'!F455,'10_Master_Gem_Types'!A:A,'10_Master_Gem_Types'!O:O),LOWER(SUBSTITUTE(IF('01_Input_Raw_Products'!F455&lt;&gt;"",'01_Input_Raw_Products'!F455,'01_Input_Raw_Products'!D455)," ","-"))))</f>
        <v>0</v>
      </c>
      <c r="G455" s="9">
        <f>'01_Input_Raw_Products'!C455</f>
        <v>0</v>
      </c>
      <c r="H455" s="9" cm="1">
        <f t="array" ref="H455">IF('01_Input_Raw_Products'!H455&lt;&gt;"",'01_Input_Raw_Products'!H455,IFERROR(_xlfn.XLOOKUP('01_Input_Raw_Products'!F455,'10_Master_Gem_Types'!A:A,'10_Master_Gem_Types'!D:D),""))</f>
        <v>0</v>
      </c>
      <c r="I455" s="7">
        <f>IF('01_Input_Raw_Products'!N455&lt;&gt;"",'01_Input_Raw_Products'!N455,IF('01_Input_Raw_Products'!O455&lt;&gt;"",'01_Input_Raw_Products'!O455*0.91,""))</f>
        <v>0</v>
      </c>
      <c r="J455" s="9" cm="1">
        <f t="array" ref="J455">IFERROR(_xlfn.XLOOKUP('01_Input_Raw_Products'!F455,'10_Master_Gem_Types'!A:A,'10_Master_Gem_Types'!N:N),"")</f>
        <v>0</v>
      </c>
      <c r="K455" s="9" cm="1">
        <f t="array" ref="K455">IF('01_Input_Raw_Products'!J455&lt;&gt;"",'01_Input_Raw_Products'!J455,IFERROR(_xlfn.XLOOKUP('01_Input_Raw_Products'!F455,'10_Master_Gem_Types'!A:A,'10_Master_Gem_Types'!E:E),""))</f>
        <v>0</v>
      </c>
      <c r="L455" s="9">
        <f>'01_Input_Raw_Products'!P455</f>
        <v>0</v>
      </c>
      <c r="M455" s="9" cm="1">
        <f t="array" ref="M455">IFERROR(_xlfn.XLOOKUP('01_Input_Raw_Products'!K455,'12_Color_Mapping'!A:A,'12_Color_Mapping'!B:B),IFERROR(_xlfn.XLOOKUP('01_Input_Raw_Products'!F455,'10_Master_Gem_Types'!A:A,'10_Master_Gem_Types'!F:F),""))</f>
        <v>0</v>
      </c>
      <c r="N455" s="9">
        <f>IF(C455="","",IF('01_Input_Raw_Products'!F455&lt;&gt;"",'01_Input_Raw_Products'!F455,'01_Input_Raw_Products'!D455))</f>
        <v>0</v>
      </c>
      <c r="O455" s="9">
        <f>IF(C455="","","Catalog Automation")</f>
        <v>0</v>
      </c>
      <c r="P455" s="9">
        <f>'01_Input_Raw_Products'!U455</f>
        <v>0</v>
      </c>
      <c r="Q455" s="7">
        <f>IF('01_Input_Raw_Products'!O455&lt;&gt;"",'01_Input_Raw_Products'!O455,IF('01_Input_Raw_Products'!N455&lt;&gt;"",'01_Input_Raw_Products'!N455*1.1,""))</f>
        <v>0</v>
      </c>
      <c r="R455" s="9">
        <f>'01_Input_Raw_Products'!S455</f>
        <v>0</v>
      </c>
      <c r="S455" s="9" cm="1">
        <f t="array" ref="S455">IFERROR(_xlfn.XLOOKUP('01_Input_Raw_Products'!F455,'10_Master_Gem_Types'!A:A,'10_Master_Gem_Types'!H:H),"")</f>
        <v>0</v>
      </c>
      <c r="T455" s="8">
        <f>'01_Input_Raw_Products'!Q455</f>
        <v>0</v>
      </c>
      <c r="U455" s="8">
        <f>'01_Input_Raw_Products'!R455</f>
        <v>0</v>
      </c>
      <c r="V455" s="7">
        <f>I455</f>
        <v>0</v>
      </c>
      <c r="W455" s="9" cm="1">
        <f t="array" ref="W455">IF('01_Input_Raw_Products'!G455&lt;&gt;"",'01_Input_Raw_Products'!G455,IFERROR(_xlfn.XLOOKUP('01_Input_Raw_Products'!F455,'10_Master_Gem_Types'!A:A,'10_Master_Gem_Types'!L:L),""))</f>
        <v>0</v>
      </c>
      <c r="X455" s="9" cm="1">
        <f t="array" ref="X455">IFERROR(_xlfn.XLOOKUP('01_Input_Raw_Products'!F455,'10_Master_Gem_Types'!A:A,'10_Master_Gem_Types'!J:J),"")</f>
        <v>0</v>
      </c>
      <c r="Y455" s="9" cm="1">
        <f t="array" ref="Y455">IFERROR(_xlfn.XLOOKUP('01_Input_Raw_Products'!F455,'10_Master_Gem_Types'!A:A,'10_Master_Gem_Types'!I:I),"")</f>
        <v>0</v>
      </c>
      <c r="Z455" s="9" cm="1">
        <f t="array" ref="Z455">IFERROR(_xlfn.XLOOKUP('01_Input_Raw_Products'!L455,'13_Certification_Stickers'!A:A,'13_Certification_Stickers'!C:C),"")</f>
        <v>0</v>
      </c>
      <c r="AA455" s="9" cm="1">
        <f t="array" ref="AA455">IFERROR(_xlfn.XLOOKUP('01_Input_Raw_Products'!S455,'14_Shipping_Rules'!A:A,'14_Shipping_Rules'!B:B),"")</f>
        <v>0</v>
      </c>
      <c r="AB455" s="9" cm="1">
        <f t="array" ref="AB455">IFERROR(_xlfn.XLOOKUP('01_Input_Raw_Products'!D455,'16_Astro_Flags'!A:A,'16_Astro_Flags'!B:B),"")</f>
        <v>0</v>
      </c>
      <c r="AC455" s="9">
        <f>IF(C455="","","Catalog, Search")</f>
        <v>0</v>
      </c>
      <c r="AD455" s="9">
        <f>IF(C455="","",IF(OR(F455="",J455="",M455="",S455="",Y455=""),"Manual Review","Ready"))</f>
        <v>0</v>
      </c>
      <c r="AE455" s="9">
        <f>IF(C455="","",TEXTJOIN("; ",TRUE,IF(F455="","Missing url_key",""),IF(J455="","Missing classification",""),IF(M455="","Missing j_colour",""),IF(S455="","Missing hsn_code",""),IF(Y455="","Missing tax_class_id","")))</f>
        <v>0</v>
      </c>
    </row>
    <row r="456" spans="1:31">
      <c r="A456" s="9">
        <f>IF('01_Input_Raw_Products'!B456&lt;&gt;"",20,"")</f>
        <v>0</v>
      </c>
      <c r="B456" s="9" cm="1">
        <f t="array" ref="B456">IF('01_Input_Raw_Products'!M456&lt;&gt;"",'01_Input_Raw_Products'!M456,IFERROR(_xlfn.XLOOKUP('01_Input_Raw_Products'!F456,'10_Master_Gem_Types'!A:A,'10_Master_Gem_Types'!K:K),""))</f>
        <v>0</v>
      </c>
      <c r="C456" s="9">
        <f>'01_Input_Raw_Products'!B456</f>
        <v>0</v>
      </c>
      <c r="D456" s="9">
        <f>IF(C456="","",TEXT(I456,"0.00")&amp;" Ct "&amp;IF('01_Input_Raw_Products'!F456&lt;&gt;"",'01_Input_Raw_Products'!F456,'01_Input_Raw_Products'!D456)&amp;" "&amp;'01_Input_Raw_Products'!I456)</f>
        <v>0</v>
      </c>
      <c r="E456" s="9">
        <f>IF(C456="","",D456&amp;" | GemPundit")</f>
        <v>0</v>
      </c>
      <c r="F456" s="9" cm="1">
        <f t="array" ref="F456">IF('01_Input_Raw_Products'!X456&lt;&gt;"",'01_Input_Raw_Products'!X456,IFERROR(_xlfn.XLOOKUP('01_Input_Raw_Products'!F456,'10_Master_Gem_Types'!A:A,'10_Master_Gem_Types'!O:O),LOWER(SUBSTITUTE(IF('01_Input_Raw_Products'!F456&lt;&gt;"",'01_Input_Raw_Products'!F456,'01_Input_Raw_Products'!D456)," ","-"))))</f>
        <v>0</v>
      </c>
      <c r="G456" s="9">
        <f>'01_Input_Raw_Products'!C456</f>
        <v>0</v>
      </c>
      <c r="H456" s="9" cm="1">
        <f t="array" ref="H456">IF('01_Input_Raw_Products'!H456&lt;&gt;"",'01_Input_Raw_Products'!H456,IFERROR(_xlfn.XLOOKUP('01_Input_Raw_Products'!F456,'10_Master_Gem_Types'!A:A,'10_Master_Gem_Types'!D:D),""))</f>
        <v>0</v>
      </c>
      <c r="I456" s="7">
        <f>IF('01_Input_Raw_Products'!N456&lt;&gt;"",'01_Input_Raw_Products'!N456,IF('01_Input_Raw_Products'!O456&lt;&gt;"",'01_Input_Raw_Products'!O456*0.91,""))</f>
        <v>0</v>
      </c>
      <c r="J456" s="9" cm="1">
        <f t="array" ref="J456">IFERROR(_xlfn.XLOOKUP('01_Input_Raw_Products'!F456,'10_Master_Gem_Types'!A:A,'10_Master_Gem_Types'!N:N),"")</f>
        <v>0</v>
      </c>
      <c r="K456" s="9" cm="1">
        <f t="array" ref="K456">IF('01_Input_Raw_Products'!J456&lt;&gt;"",'01_Input_Raw_Products'!J456,IFERROR(_xlfn.XLOOKUP('01_Input_Raw_Products'!F456,'10_Master_Gem_Types'!A:A,'10_Master_Gem_Types'!E:E),""))</f>
        <v>0</v>
      </c>
      <c r="L456" s="9">
        <f>'01_Input_Raw_Products'!P456</f>
        <v>0</v>
      </c>
      <c r="M456" s="9" cm="1">
        <f t="array" ref="M456">IFERROR(_xlfn.XLOOKUP('01_Input_Raw_Products'!K456,'12_Color_Mapping'!A:A,'12_Color_Mapping'!B:B),IFERROR(_xlfn.XLOOKUP('01_Input_Raw_Products'!F456,'10_Master_Gem_Types'!A:A,'10_Master_Gem_Types'!F:F),""))</f>
        <v>0</v>
      </c>
      <c r="N456" s="9">
        <f>IF(C456="","",IF('01_Input_Raw_Products'!F456&lt;&gt;"",'01_Input_Raw_Products'!F456,'01_Input_Raw_Products'!D456))</f>
        <v>0</v>
      </c>
      <c r="O456" s="9">
        <f>IF(C456="","","Catalog Automation")</f>
        <v>0</v>
      </c>
      <c r="P456" s="9">
        <f>'01_Input_Raw_Products'!U456</f>
        <v>0</v>
      </c>
      <c r="Q456" s="7">
        <f>IF('01_Input_Raw_Products'!O456&lt;&gt;"",'01_Input_Raw_Products'!O456,IF('01_Input_Raw_Products'!N456&lt;&gt;"",'01_Input_Raw_Products'!N456*1.1,""))</f>
        <v>0</v>
      </c>
      <c r="R456" s="9">
        <f>'01_Input_Raw_Products'!S456</f>
        <v>0</v>
      </c>
      <c r="S456" s="9" cm="1">
        <f t="array" ref="S456">IFERROR(_xlfn.XLOOKUP('01_Input_Raw_Products'!F456,'10_Master_Gem_Types'!A:A,'10_Master_Gem_Types'!H:H),"")</f>
        <v>0</v>
      </c>
      <c r="T456" s="8">
        <f>'01_Input_Raw_Products'!Q456</f>
        <v>0</v>
      </c>
      <c r="U456" s="8">
        <f>'01_Input_Raw_Products'!R456</f>
        <v>0</v>
      </c>
      <c r="V456" s="7">
        <f>I456</f>
        <v>0</v>
      </c>
      <c r="W456" s="9" cm="1">
        <f t="array" ref="W456">IF('01_Input_Raw_Products'!G456&lt;&gt;"",'01_Input_Raw_Products'!G456,IFERROR(_xlfn.XLOOKUP('01_Input_Raw_Products'!F456,'10_Master_Gem_Types'!A:A,'10_Master_Gem_Types'!L:L),""))</f>
        <v>0</v>
      </c>
      <c r="X456" s="9" cm="1">
        <f t="array" ref="X456">IFERROR(_xlfn.XLOOKUP('01_Input_Raw_Products'!F456,'10_Master_Gem_Types'!A:A,'10_Master_Gem_Types'!J:J),"")</f>
        <v>0</v>
      </c>
      <c r="Y456" s="9" cm="1">
        <f t="array" ref="Y456">IFERROR(_xlfn.XLOOKUP('01_Input_Raw_Products'!F456,'10_Master_Gem_Types'!A:A,'10_Master_Gem_Types'!I:I),"")</f>
        <v>0</v>
      </c>
      <c r="Z456" s="9" cm="1">
        <f t="array" ref="Z456">IFERROR(_xlfn.XLOOKUP('01_Input_Raw_Products'!L456,'13_Certification_Stickers'!A:A,'13_Certification_Stickers'!C:C),"")</f>
        <v>0</v>
      </c>
      <c r="AA456" s="9" cm="1">
        <f t="array" ref="AA456">IFERROR(_xlfn.XLOOKUP('01_Input_Raw_Products'!S456,'14_Shipping_Rules'!A:A,'14_Shipping_Rules'!B:B),"")</f>
        <v>0</v>
      </c>
      <c r="AB456" s="9" cm="1">
        <f t="array" ref="AB456">IFERROR(_xlfn.XLOOKUP('01_Input_Raw_Products'!D456,'16_Astro_Flags'!A:A,'16_Astro_Flags'!B:B),"")</f>
        <v>0</v>
      </c>
      <c r="AC456" s="9">
        <f>IF(C456="","","Catalog, Search")</f>
        <v>0</v>
      </c>
      <c r="AD456" s="9">
        <f>IF(C456="","",IF(OR(F456="",J456="",M456="",S456="",Y456=""),"Manual Review","Ready"))</f>
        <v>0</v>
      </c>
      <c r="AE456" s="9">
        <f>IF(C456="","",TEXTJOIN("; ",TRUE,IF(F456="","Missing url_key",""),IF(J456="","Missing classification",""),IF(M456="","Missing j_colour",""),IF(S456="","Missing hsn_code",""),IF(Y456="","Missing tax_class_id","")))</f>
        <v>0</v>
      </c>
    </row>
    <row r="457" spans="1:31">
      <c r="A457" s="9">
        <f>IF('01_Input_Raw_Products'!B457&lt;&gt;"",20,"")</f>
        <v>0</v>
      </c>
      <c r="B457" s="9" cm="1">
        <f t="array" ref="B457">IF('01_Input_Raw_Products'!M457&lt;&gt;"",'01_Input_Raw_Products'!M457,IFERROR(_xlfn.XLOOKUP('01_Input_Raw_Products'!F457,'10_Master_Gem_Types'!A:A,'10_Master_Gem_Types'!K:K),""))</f>
        <v>0</v>
      </c>
      <c r="C457" s="9">
        <f>'01_Input_Raw_Products'!B457</f>
        <v>0</v>
      </c>
      <c r="D457" s="9">
        <f>IF(C457="","",TEXT(I457,"0.00")&amp;" Ct "&amp;IF('01_Input_Raw_Products'!F457&lt;&gt;"",'01_Input_Raw_Products'!F457,'01_Input_Raw_Products'!D457)&amp;" "&amp;'01_Input_Raw_Products'!I457)</f>
        <v>0</v>
      </c>
      <c r="E457" s="9">
        <f>IF(C457="","",D457&amp;" | GemPundit")</f>
        <v>0</v>
      </c>
      <c r="F457" s="9" cm="1">
        <f t="array" ref="F457">IF('01_Input_Raw_Products'!X457&lt;&gt;"",'01_Input_Raw_Products'!X457,IFERROR(_xlfn.XLOOKUP('01_Input_Raw_Products'!F457,'10_Master_Gem_Types'!A:A,'10_Master_Gem_Types'!O:O),LOWER(SUBSTITUTE(IF('01_Input_Raw_Products'!F457&lt;&gt;"",'01_Input_Raw_Products'!F457,'01_Input_Raw_Products'!D457)," ","-"))))</f>
        <v>0</v>
      </c>
      <c r="G457" s="9">
        <f>'01_Input_Raw_Products'!C457</f>
        <v>0</v>
      </c>
      <c r="H457" s="9" cm="1">
        <f t="array" ref="H457">IF('01_Input_Raw_Products'!H457&lt;&gt;"",'01_Input_Raw_Products'!H457,IFERROR(_xlfn.XLOOKUP('01_Input_Raw_Products'!F457,'10_Master_Gem_Types'!A:A,'10_Master_Gem_Types'!D:D),""))</f>
        <v>0</v>
      </c>
      <c r="I457" s="7">
        <f>IF('01_Input_Raw_Products'!N457&lt;&gt;"",'01_Input_Raw_Products'!N457,IF('01_Input_Raw_Products'!O457&lt;&gt;"",'01_Input_Raw_Products'!O457*0.91,""))</f>
        <v>0</v>
      </c>
      <c r="J457" s="9" cm="1">
        <f t="array" ref="J457">IFERROR(_xlfn.XLOOKUP('01_Input_Raw_Products'!F457,'10_Master_Gem_Types'!A:A,'10_Master_Gem_Types'!N:N),"")</f>
        <v>0</v>
      </c>
      <c r="K457" s="9" cm="1">
        <f t="array" ref="K457">IF('01_Input_Raw_Products'!J457&lt;&gt;"",'01_Input_Raw_Products'!J457,IFERROR(_xlfn.XLOOKUP('01_Input_Raw_Products'!F457,'10_Master_Gem_Types'!A:A,'10_Master_Gem_Types'!E:E),""))</f>
        <v>0</v>
      </c>
      <c r="L457" s="9">
        <f>'01_Input_Raw_Products'!P457</f>
        <v>0</v>
      </c>
      <c r="M457" s="9" cm="1">
        <f t="array" ref="M457">IFERROR(_xlfn.XLOOKUP('01_Input_Raw_Products'!K457,'12_Color_Mapping'!A:A,'12_Color_Mapping'!B:B),IFERROR(_xlfn.XLOOKUP('01_Input_Raw_Products'!F457,'10_Master_Gem_Types'!A:A,'10_Master_Gem_Types'!F:F),""))</f>
        <v>0</v>
      </c>
      <c r="N457" s="9">
        <f>IF(C457="","",IF('01_Input_Raw_Products'!F457&lt;&gt;"",'01_Input_Raw_Products'!F457,'01_Input_Raw_Products'!D457))</f>
        <v>0</v>
      </c>
      <c r="O457" s="9">
        <f>IF(C457="","","Catalog Automation")</f>
        <v>0</v>
      </c>
      <c r="P457" s="9">
        <f>'01_Input_Raw_Products'!U457</f>
        <v>0</v>
      </c>
      <c r="Q457" s="7">
        <f>IF('01_Input_Raw_Products'!O457&lt;&gt;"",'01_Input_Raw_Products'!O457,IF('01_Input_Raw_Products'!N457&lt;&gt;"",'01_Input_Raw_Products'!N457*1.1,""))</f>
        <v>0</v>
      </c>
      <c r="R457" s="9">
        <f>'01_Input_Raw_Products'!S457</f>
        <v>0</v>
      </c>
      <c r="S457" s="9" cm="1">
        <f t="array" ref="S457">IFERROR(_xlfn.XLOOKUP('01_Input_Raw_Products'!F457,'10_Master_Gem_Types'!A:A,'10_Master_Gem_Types'!H:H),"")</f>
        <v>0</v>
      </c>
      <c r="T457" s="8">
        <f>'01_Input_Raw_Products'!Q457</f>
        <v>0</v>
      </c>
      <c r="U457" s="8">
        <f>'01_Input_Raw_Products'!R457</f>
        <v>0</v>
      </c>
      <c r="V457" s="7">
        <f>I457</f>
        <v>0</v>
      </c>
      <c r="W457" s="9" cm="1">
        <f t="array" ref="W457">IF('01_Input_Raw_Products'!G457&lt;&gt;"",'01_Input_Raw_Products'!G457,IFERROR(_xlfn.XLOOKUP('01_Input_Raw_Products'!F457,'10_Master_Gem_Types'!A:A,'10_Master_Gem_Types'!L:L),""))</f>
        <v>0</v>
      </c>
      <c r="X457" s="9" cm="1">
        <f t="array" ref="X457">IFERROR(_xlfn.XLOOKUP('01_Input_Raw_Products'!F457,'10_Master_Gem_Types'!A:A,'10_Master_Gem_Types'!J:J),"")</f>
        <v>0</v>
      </c>
      <c r="Y457" s="9" cm="1">
        <f t="array" ref="Y457">IFERROR(_xlfn.XLOOKUP('01_Input_Raw_Products'!F457,'10_Master_Gem_Types'!A:A,'10_Master_Gem_Types'!I:I),"")</f>
        <v>0</v>
      </c>
      <c r="Z457" s="9" cm="1">
        <f t="array" ref="Z457">IFERROR(_xlfn.XLOOKUP('01_Input_Raw_Products'!L457,'13_Certification_Stickers'!A:A,'13_Certification_Stickers'!C:C),"")</f>
        <v>0</v>
      </c>
      <c r="AA457" s="9" cm="1">
        <f t="array" ref="AA457">IFERROR(_xlfn.XLOOKUP('01_Input_Raw_Products'!S457,'14_Shipping_Rules'!A:A,'14_Shipping_Rules'!B:B),"")</f>
        <v>0</v>
      </c>
      <c r="AB457" s="9" cm="1">
        <f t="array" ref="AB457">IFERROR(_xlfn.XLOOKUP('01_Input_Raw_Products'!D457,'16_Astro_Flags'!A:A,'16_Astro_Flags'!B:B),"")</f>
        <v>0</v>
      </c>
      <c r="AC457" s="9">
        <f>IF(C457="","","Catalog, Search")</f>
        <v>0</v>
      </c>
      <c r="AD457" s="9">
        <f>IF(C457="","",IF(OR(F457="",J457="",M457="",S457="",Y457=""),"Manual Review","Ready"))</f>
        <v>0</v>
      </c>
      <c r="AE457" s="9">
        <f>IF(C457="","",TEXTJOIN("; ",TRUE,IF(F457="","Missing url_key",""),IF(J457="","Missing classification",""),IF(M457="","Missing j_colour",""),IF(S457="","Missing hsn_code",""),IF(Y457="","Missing tax_class_id","")))</f>
        <v>0</v>
      </c>
    </row>
    <row r="458" spans="1:31">
      <c r="A458" s="9">
        <f>IF('01_Input_Raw_Products'!B458&lt;&gt;"",20,"")</f>
        <v>0</v>
      </c>
      <c r="B458" s="9" cm="1">
        <f t="array" ref="B458">IF('01_Input_Raw_Products'!M458&lt;&gt;"",'01_Input_Raw_Products'!M458,IFERROR(_xlfn.XLOOKUP('01_Input_Raw_Products'!F458,'10_Master_Gem_Types'!A:A,'10_Master_Gem_Types'!K:K),""))</f>
        <v>0</v>
      </c>
      <c r="C458" s="9">
        <f>'01_Input_Raw_Products'!B458</f>
        <v>0</v>
      </c>
      <c r="D458" s="9">
        <f>IF(C458="","",TEXT(I458,"0.00")&amp;" Ct "&amp;IF('01_Input_Raw_Products'!F458&lt;&gt;"",'01_Input_Raw_Products'!F458,'01_Input_Raw_Products'!D458)&amp;" "&amp;'01_Input_Raw_Products'!I458)</f>
        <v>0</v>
      </c>
      <c r="E458" s="9">
        <f>IF(C458="","",D458&amp;" | GemPundit")</f>
        <v>0</v>
      </c>
      <c r="F458" s="9" cm="1">
        <f t="array" ref="F458">IF('01_Input_Raw_Products'!X458&lt;&gt;"",'01_Input_Raw_Products'!X458,IFERROR(_xlfn.XLOOKUP('01_Input_Raw_Products'!F458,'10_Master_Gem_Types'!A:A,'10_Master_Gem_Types'!O:O),LOWER(SUBSTITUTE(IF('01_Input_Raw_Products'!F458&lt;&gt;"",'01_Input_Raw_Products'!F458,'01_Input_Raw_Products'!D458)," ","-"))))</f>
        <v>0</v>
      </c>
      <c r="G458" s="9">
        <f>'01_Input_Raw_Products'!C458</f>
        <v>0</v>
      </c>
      <c r="H458" s="9" cm="1">
        <f t="array" ref="H458">IF('01_Input_Raw_Products'!H458&lt;&gt;"",'01_Input_Raw_Products'!H458,IFERROR(_xlfn.XLOOKUP('01_Input_Raw_Products'!F458,'10_Master_Gem_Types'!A:A,'10_Master_Gem_Types'!D:D),""))</f>
        <v>0</v>
      </c>
      <c r="I458" s="7">
        <f>IF('01_Input_Raw_Products'!N458&lt;&gt;"",'01_Input_Raw_Products'!N458,IF('01_Input_Raw_Products'!O458&lt;&gt;"",'01_Input_Raw_Products'!O458*0.91,""))</f>
        <v>0</v>
      </c>
      <c r="J458" s="9" cm="1">
        <f t="array" ref="J458">IFERROR(_xlfn.XLOOKUP('01_Input_Raw_Products'!F458,'10_Master_Gem_Types'!A:A,'10_Master_Gem_Types'!N:N),"")</f>
        <v>0</v>
      </c>
      <c r="K458" s="9" cm="1">
        <f t="array" ref="K458">IF('01_Input_Raw_Products'!J458&lt;&gt;"",'01_Input_Raw_Products'!J458,IFERROR(_xlfn.XLOOKUP('01_Input_Raw_Products'!F458,'10_Master_Gem_Types'!A:A,'10_Master_Gem_Types'!E:E),""))</f>
        <v>0</v>
      </c>
      <c r="L458" s="9">
        <f>'01_Input_Raw_Products'!P458</f>
        <v>0</v>
      </c>
      <c r="M458" s="9" cm="1">
        <f t="array" ref="M458">IFERROR(_xlfn.XLOOKUP('01_Input_Raw_Products'!K458,'12_Color_Mapping'!A:A,'12_Color_Mapping'!B:B),IFERROR(_xlfn.XLOOKUP('01_Input_Raw_Products'!F458,'10_Master_Gem_Types'!A:A,'10_Master_Gem_Types'!F:F),""))</f>
        <v>0</v>
      </c>
      <c r="N458" s="9">
        <f>IF(C458="","",IF('01_Input_Raw_Products'!F458&lt;&gt;"",'01_Input_Raw_Products'!F458,'01_Input_Raw_Products'!D458))</f>
        <v>0</v>
      </c>
      <c r="O458" s="9">
        <f>IF(C458="","","Catalog Automation")</f>
        <v>0</v>
      </c>
      <c r="P458" s="9">
        <f>'01_Input_Raw_Products'!U458</f>
        <v>0</v>
      </c>
      <c r="Q458" s="7">
        <f>IF('01_Input_Raw_Products'!O458&lt;&gt;"",'01_Input_Raw_Products'!O458,IF('01_Input_Raw_Products'!N458&lt;&gt;"",'01_Input_Raw_Products'!N458*1.1,""))</f>
        <v>0</v>
      </c>
      <c r="R458" s="9">
        <f>'01_Input_Raw_Products'!S458</f>
        <v>0</v>
      </c>
      <c r="S458" s="9" cm="1">
        <f t="array" ref="S458">IFERROR(_xlfn.XLOOKUP('01_Input_Raw_Products'!F458,'10_Master_Gem_Types'!A:A,'10_Master_Gem_Types'!H:H),"")</f>
        <v>0</v>
      </c>
      <c r="T458" s="8">
        <f>'01_Input_Raw_Products'!Q458</f>
        <v>0</v>
      </c>
      <c r="U458" s="8">
        <f>'01_Input_Raw_Products'!R458</f>
        <v>0</v>
      </c>
      <c r="V458" s="7">
        <f>I458</f>
        <v>0</v>
      </c>
      <c r="W458" s="9" cm="1">
        <f t="array" ref="W458">IF('01_Input_Raw_Products'!G458&lt;&gt;"",'01_Input_Raw_Products'!G458,IFERROR(_xlfn.XLOOKUP('01_Input_Raw_Products'!F458,'10_Master_Gem_Types'!A:A,'10_Master_Gem_Types'!L:L),""))</f>
        <v>0</v>
      </c>
      <c r="X458" s="9" cm="1">
        <f t="array" ref="X458">IFERROR(_xlfn.XLOOKUP('01_Input_Raw_Products'!F458,'10_Master_Gem_Types'!A:A,'10_Master_Gem_Types'!J:J),"")</f>
        <v>0</v>
      </c>
      <c r="Y458" s="9" cm="1">
        <f t="array" ref="Y458">IFERROR(_xlfn.XLOOKUP('01_Input_Raw_Products'!F458,'10_Master_Gem_Types'!A:A,'10_Master_Gem_Types'!I:I),"")</f>
        <v>0</v>
      </c>
      <c r="Z458" s="9" cm="1">
        <f t="array" ref="Z458">IFERROR(_xlfn.XLOOKUP('01_Input_Raw_Products'!L458,'13_Certification_Stickers'!A:A,'13_Certification_Stickers'!C:C),"")</f>
        <v>0</v>
      </c>
      <c r="AA458" s="9" cm="1">
        <f t="array" ref="AA458">IFERROR(_xlfn.XLOOKUP('01_Input_Raw_Products'!S458,'14_Shipping_Rules'!A:A,'14_Shipping_Rules'!B:B),"")</f>
        <v>0</v>
      </c>
      <c r="AB458" s="9" cm="1">
        <f t="array" ref="AB458">IFERROR(_xlfn.XLOOKUP('01_Input_Raw_Products'!D458,'16_Astro_Flags'!A:A,'16_Astro_Flags'!B:B),"")</f>
        <v>0</v>
      </c>
      <c r="AC458" s="9">
        <f>IF(C458="","","Catalog, Search")</f>
        <v>0</v>
      </c>
      <c r="AD458" s="9">
        <f>IF(C458="","",IF(OR(F458="",J458="",M458="",S458="",Y458=""),"Manual Review","Ready"))</f>
        <v>0</v>
      </c>
      <c r="AE458" s="9">
        <f>IF(C458="","",TEXTJOIN("; ",TRUE,IF(F458="","Missing url_key",""),IF(J458="","Missing classification",""),IF(M458="","Missing j_colour",""),IF(S458="","Missing hsn_code",""),IF(Y458="","Missing tax_class_id","")))</f>
        <v>0</v>
      </c>
    </row>
    <row r="459" spans="1:31">
      <c r="A459" s="9">
        <f>IF('01_Input_Raw_Products'!B459&lt;&gt;"",20,"")</f>
        <v>0</v>
      </c>
      <c r="B459" s="9" cm="1">
        <f t="array" ref="B459">IF('01_Input_Raw_Products'!M459&lt;&gt;"",'01_Input_Raw_Products'!M459,IFERROR(_xlfn.XLOOKUP('01_Input_Raw_Products'!F459,'10_Master_Gem_Types'!A:A,'10_Master_Gem_Types'!K:K),""))</f>
        <v>0</v>
      </c>
      <c r="C459" s="9">
        <f>'01_Input_Raw_Products'!B459</f>
        <v>0</v>
      </c>
      <c r="D459" s="9">
        <f>IF(C459="","",TEXT(I459,"0.00")&amp;" Ct "&amp;IF('01_Input_Raw_Products'!F459&lt;&gt;"",'01_Input_Raw_Products'!F459,'01_Input_Raw_Products'!D459)&amp;" "&amp;'01_Input_Raw_Products'!I459)</f>
        <v>0</v>
      </c>
      <c r="E459" s="9">
        <f>IF(C459="","",D459&amp;" | GemPundit")</f>
        <v>0</v>
      </c>
      <c r="F459" s="9" cm="1">
        <f t="array" ref="F459">IF('01_Input_Raw_Products'!X459&lt;&gt;"",'01_Input_Raw_Products'!X459,IFERROR(_xlfn.XLOOKUP('01_Input_Raw_Products'!F459,'10_Master_Gem_Types'!A:A,'10_Master_Gem_Types'!O:O),LOWER(SUBSTITUTE(IF('01_Input_Raw_Products'!F459&lt;&gt;"",'01_Input_Raw_Products'!F459,'01_Input_Raw_Products'!D459)," ","-"))))</f>
        <v>0</v>
      </c>
      <c r="G459" s="9">
        <f>'01_Input_Raw_Products'!C459</f>
        <v>0</v>
      </c>
      <c r="H459" s="9" cm="1">
        <f t="array" ref="H459">IF('01_Input_Raw_Products'!H459&lt;&gt;"",'01_Input_Raw_Products'!H459,IFERROR(_xlfn.XLOOKUP('01_Input_Raw_Products'!F459,'10_Master_Gem_Types'!A:A,'10_Master_Gem_Types'!D:D),""))</f>
        <v>0</v>
      </c>
      <c r="I459" s="7">
        <f>IF('01_Input_Raw_Products'!N459&lt;&gt;"",'01_Input_Raw_Products'!N459,IF('01_Input_Raw_Products'!O459&lt;&gt;"",'01_Input_Raw_Products'!O459*0.91,""))</f>
        <v>0</v>
      </c>
      <c r="J459" s="9" cm="1">
        <f t="array" ref="J459">IFERROR(_xlfn.XLOOKUP('01_Input_Raw_Products'!F459,'10_Master_Gem_Types'!A:A,'10_Master_Gem_Types'!N:N),"")</f>
        <v>0</v>
      </c>
      <c r="K459" s="9" cm="1">
        <f t="array" ref="K459">IF('01_Input_Raw_Products'!J459&lt;&gt;"",'01_Input_Raw_Products'!J459,IFERROR(_xlfn.XLOOKUP('01_Input_Raw_Products'!F459,'10_Master_Gem_Types'!A:A,'10_Master_Gem_Types'!E:E),""))</f>
        <v>0</v>
      </c>
      <c r="L459" s="9">
        <f>'01_Input_Raw_Products'!P459</f>
        <v>0</v>
      </c>
      <c r="M459" s="9" cm="1">
        <f t="array" ref="M459">IFERROR(_xlfn.XLOOKUP('01_Input_Raw_Products'!K459,'12_Color_Mapping'!A:A,'12_Color_Mapping'!B:B),IFERROR(_xlfn.XLOOKUP('01_Input_Raw_Products'!F459,'10_Master_Gem_Types'!A:A,'10_Master_Gem_Types'!F:F),""))</f>
        <v>0</v>
      </c>
      <c r="N459" s="9">
        <f>IF(C459="","",IF('01_Input_Raw_Products'!F459&lt;&gt;"",'01_Input_Raw_Products'!F459,'01_Input_Raw_Products'!D459))</f>
        <v>0</v>
      </c>
      <c r="O459" s="9">
        <f>IF(C459="","","Catalog Automation")</f>
        <v>0</v>
      </c>
      <c r="P459" s="9">
        <f>'01_Input_Raw_Products'!U459</f>
        <v>0</v>
      </c>
      <c r="Q459" s="7">
        <f>IF('01_Input_Raw_Products'!O459&lt;&gt;"",'01_Input_Raw_Products'!O459,IF('01_Input_Raw_Products'!N459&lt;&gt;"",'01_Input_Raw_Products'!N459*1.1,""))</f>
        <v>0</v>
      </c>
      <c r="R459" s="9">
        <f>'01_Input_Raw_Products'!S459</f>
        <v>0</v>
      </c>
      <c r="S459" s="9" cm="1">
        <f t="array" ref="S459">IFERROR(_xlfn.XLOOKUP('01_Input_Raw_Products'!F459,'10_Master_Gem_Types'!A:A,'10_Master_Gem_Types'!H:H),"")</f>
        <v>0</v>
      </c>
      <c r="T459" s="8">
        <f>'01_Input_Raw_Products'!Q459</f>
        <v>0</v>
      </c>
      <c r="U459" s="8">
        <f>'01_Input_Raw_Products'!R459</f>
        <v>0</v>
      </c>
      <c r="V459" s="7">
        <f>I459</f>
        <v>0</v>
      </c>
      <c r="W459" s="9" cm="1">
        <f t="array" ref="W459">IF('01_Input_Raw_Products'!G459&lt;&gt;"",'01_Input_Raw_Products'!G459,IFERROR(_xlfn.XLOOKUP('01_Input_Raw_Products'!F459,'10_Master_Gem_Types'!A:A,'10_Master_Gem_Types'!L:L),""))</f>
        <v>0</v>
      </c>
      <c r="X459" s="9" cm="1">
        <f t="array" ref="X459">IFERROR(_xlfn.XLOOKUP('01_Input_Raw_Products'!F459,'10_Master_Gem_Types'!A:A,'10_Master_Gem_Types'!J:J),"")</f>
        <v>0</v>
      </c>
      <c r="Y459" s="9" cm="1">
        <f t="array" ref="Y459">IFERROR(_xlfn.XLOOKUP('01_Input_Raw_Products'!F459,'10_Master_Gem_Types'!A:A,'10_Master_Gem_Types'!I:I),"")</f>
        <v>0</v>
      </c>
      <c r="Z459" s="9" cm="1">
        <f t="array" ref="Z459">IFERROR(_xlfn.XLOOKUP('01_Input_Raw_Products'!L459,'13_Certification_Stickers'!A:A,'13_Certification_Stickers'!C:C),"")</f>
        <v>0</v>
      </c>
      <c r="AA459" s="9" cm="1">
        <f t="array" ref="AA459">IFERROR(_xlfn.XLOOKUP('01_Input_Raw_Products'!S459,'14_Shipping_Rules'!A:A,'14_Shipping_Rules'!B:B),"")</f>
        <v>0</v>
      </c>
      <c r="AB459" s="9" cm="1">
        <f t="array" ref="AB459">IFERROR(_xlfn.XLOOKUP('01_Input_Raw_Products'!D459,'16_Astro_Flags'!A:A,'16_Astro_Flags'!B:B),"")</f>
        <v>0</v>
      </c>
      <c r="AC459" s="9">
        <f>IF(C459="","","Catalog, Search")</f>
        <v>0</v>
      </c>
      <c r="AD459" s="9">
        <f>IF(C459="","",IF(OR(F459="",J459="",M459="",S459="",Y459=""),"Manual Review","Ready"))</f>
        <v>0</v>
      </c>
      <c r="AE459" s="9">
        <f>IF(C459="","",TEXTJOIN("; ",TRUE,IF(F459="","Missing url_key",""),IF(J459="","Missing classification",""),IF(M459="","Missing j_colour",""),IF(S459="","Missing hsn_code",""),IF(Y459="","Missing tax_class_id","")))</f>
        <v>0</v>
      </c>
    </row>
    <row r="460" spans="1:31">
      <c r="A460" s="9">
        <f>IF('01_Input_Raw_Products'!B460&lt;&gt;"",20,"")</f>
        <v>0</v>
      </c>
      <c r="B460" s="9" cm="1">
        <f t="array" ref="B460">IF('01_Input_Raw_Products'!M460&lt;&gt;"",'01_Input_Raw_Products'!M460,IFERROR(_xlfn.XLOOKUP('01_Input_Raw_Products'!F460,'10_Master_Gem_Types'!A:A,'10_Master_Gem_Types'!K:K),""))</f>
        <v>0</v>
      </c>
      <c r="C460" s="9">
        <f>'01_Input_Raw_Products'!B460</f>
        <v>0</v>
      </c>
      <c r="D460" s="9">
        <f>IF(C460="","",TEXT(I460,"0.00")&amp;" Ct "&amp;IF('01_Input_Raw_Products'!F460&lt;&gt;"",'01_Input_Raw_Products'!F460,'01_Input_Raw_Products'!D460)&amp;" "&amp;'01_Input_Raw_Products'!I460)</f>
        <v>0</v>
      </c>
      <c r="E460" s="9">
        <f>IF(C460="","",D460&amp;" | GemPundit")</f>
        <v>0</v>
      </c>
      <c r="F460" s="9" cm="1">
        <f t="array" ref="F460">IF('01_Input_Raw_Products'!X460&lt;&gt;"",'01_Input_Raw_Products'!X460,IFERROR(_xlfn.XLOOKUP('01_Input_Raw_Products'!F460,'10_Master_Gem_Types'!A:A,'10_Master_Gem_Types'!O:O),LOWER(SUBSTITUTE(IF('01_Input_Raw_Products'!F460&lt;&gt;"",'01_Input_Raw_Products'!F460,'01_Input_Raw_Products'!D460)," ","-"))))</f>
        <v>0</v>
      </c>
      <c r="G460" s="9">
        <f>'01_Input_Raw_Products'!C460</f>
        <v>0</v>
      </c>
      <c r="H460" s="9" cm="1">
        <f t="array" ref="H460">IF('01_Input_Raw_Products'!H460&lt;&gt;"",'01_Input_Raw_Products'!H460,IFERROR(_xlfn.XLOOKUP('01_Input_Raw_Products'!F460,'10_Master_Gem_Types'!A:A,'10_Master_Gem_Types'!D:D),""))</f>
        <v>0</v>
      </c>
      <c r="I460" s="7">
        <f>IF('01_Input_Raw_Products'!N460&lt;&gt;"",'01_Input_Raw_Products'!N460,IF('01_Input_Raw_Products'!O460&lt;&gt;"",'01_Input_Raw_Products'!O460*0.91,""))</f>
        <v>0</v>
      </c>
      <c r="J460" s="9" cm="1">
        <f t="array" ref="J460">IFERROR(_xlfn.XLOOKUP('01_Input_Raw_Products'!F460,'10_Master_Gem_Types'!A:A,'10_Master_Gem_Types'!N:N),"")</f>
        <v>0</v>
      </c>
      <c r="K460" s="9" cm="1">
        <f t="array" ref="K460">IF('01_Input_Raw_Products'!J460&lt;&gt;"",'01_Input_Raw_Products'!J460,IFERROR(_xlfn.XLOOKUP('01_Input_Raw_Products'!F460,'10_Master_Gem_Types'!A:A,'10_Master_Gem_Types'!E:E),""))</f>
        <v>0</v>
      </c>
      <c r="L460" s="9">
        <f>'01_Input_Raw_Products'!P460</f>
        <v>0</v>
      </c>
      <c r="M460" s="9" cm="1">
        <f t="array" ref="M460">IFERROR(_xlfn.XLOOKUP('01_Input_Raw_Products'!K460,'12_Color_Mapping'!A:A,'12_Color_Mapping'!B:B),IFERROR(_xlfn.XLOOKUP('01_Input_Raw_Products'!F460,'10_Master_Gem_Types'!A:A,'10_Master_Gem_Types'!F:F),""))</f>
        <v>0</v>
      </c>
      <c r="N460" s="9">
        <f>IF(C460="","",IF('01_Input_Raw_Products'!F460&lt;&gt;"",'01_Input_Raw_Products'!F460,'01_Input_Raw_Products'!D460))</f>
        <v>0</v>
      </c>
      <c r="O460" s="9">
        <f>IF(C460="","","Catalog Automation")</f>
        <v>0</v>
      </c>
      <c r="P460" s="9">
        <f>'01_Input_Raw_Products'!U460</f>
        <v>0</v>
      </c>
      <c r="Q460" s="7">
        <f>IF('01_Input_Raw_Products'!O460&lt;&gt;"",'01_Input_Raw_Products'!O460,IF('01_Input_Raw_Products'!N460&lt;&gt;"",'01_Input_Raw_Products'!N460*1.1,""))</f>
        <v>0</v>
      </c>
      <c r="R460" s="9">
        <f>'01_Input_Raw_Products'!S460</f>
        <v>0</v>
      </c>
      <c r="S460" s="9" cm="1">
        <f t="array" ref="S460">IFERROR(_xlfn.XLOOKUP('01_Input_Raw_Products'!F460,'10_Master_Gem_Types'!A:A,'10_Master_Gem_Types'!H:H),"")</f>
        <v>0</v>
      </c>
      <c r="T460" s="8">
        <f>'01_Input_Raw_Products'!Q460</f>
        <v>0</v>
      </c>
      <c r="U460" s="8">
        <f>'01_Input_Raw_Products'!R460</f>
        <v>0</v>
      </c>
      <c r="V460" s="7">
        <f>I460</f>
        <v>0</v>
      </c>
      <c r="W460" s="9" cm="1">
        <f t="array" ref="W460">IF('01_Input_Raw_Products'!G460&lt;&gt;"",'01_Input_Raw_Products'!G460,IFERROR(_xlfn.XLOOKUP('01_Input_Raw_Products'!F460,'10_Master_Gem_Types'!A:A,'10_Master_Gem_Types'!L:L),""))</f>
        <v>0</v>
      </c>
      <c r="X460" s="9" cm="1">
        <f t="array" ref="X460">IFERROR(_xlfn.XLOOKUP('01_Input_Raw_Products'!F460,'10_Master_Gem_Types'!A:A,'10_Master_Gem_Types'!J:J),"")</f>
        <v>0</v>
      </c>
      <c r="Y460" s="9" cm="1">
        <f t="array" ref="Y460">IFERROR(_xlfn.XLOOKUP('01_Input_Raw_Products'!F460,'10_Master_Gem_Types'!A:A,'10_Master_Gem_Types'!I:I),"")</f>
        <v>0</v>
      </c>
      <c r="Z460" s="9" cm="1">
        <f t="array" ref="Z460">IFERROR(_xlfn.XLOOKUP('01_Input_Raw_Products'!L460,'13_Certification_Stickers'!A:A,'13_Certification_Stickers'!C:C),"")</f>
        <v>0</v>
      </c>
      <c r="AA460" s="9" cm="1">
        <f t="array" ref="AA460">IFERROR(_xlfn.XLOOKUP('01_Input_Raw_Products'!S460,'14_Shipping_Rules'!A:A,'14_Shipping_Rules'!B:B),"")</f>
        <v>0</v>
      </c>
      <c r="AB460" s="9" cm="1">
        <f t="array" ref="AB460">IFERROR(_xlfn.XLOOKUP('01_Input_Raw_Products'!D460,'16_Astro_Flags'!A:A,'16_Astro_Flags'!B:B),"")</f>
        <v>0</v>
      </c>
      <c r="AC460" s="9">
        <f>IF(C460="","","Catalog, Search")</f>
        <v>0</v>
      </c>
      <c r="AD460" s="9">
        <f>IF(C460="","",IF(OR(F460="",J460="",M460="",S460="",Y460=""),"Manual Review","Ready"))</f>
        <v>0</v>
      </c>
      <c r="AE460" s="9">
        <f>IF(C460="","",TEXTJOIN("; ",TRUE,IF(F460="","Missing url_key",""),IF(J460="","Missing classification",""),IF(M460="","Missing j_colour",""),IF(S460="","Missing hsn_code",""),IF(Y460="","Missing tax_class_id","")))</f>
        <v>0</v>
      </c>
    </row>
    <row r="461" spans="1:31">
      <c r="A461" s="9">
        <f>IF('01_Input_Raw_Products'!B461&lt;&gt;"",20,"")</f>
        <v>0</v>
      </c>
      <c r="B461" s="9" cm="1">
        <f t="array" ref="B461">IF('01_Input_Raw_Products'!M461&lt;&gt;"",'01_Input_Raw_Products'!M461,IFERROR(_xlfn.XLOOKUP('01_Input_Raw_Products'!F461,'10_Master_Gem_Types'!A:A,'10_Master_Gem_Types'!K:K),""))</f>
        <v>0</v>
      </c>
      <c r="C461" s="9">
        <f>'01_Input_Raw_Products'!B461</f>
        <v>0</v>
      </c>
      <c r="D461" s="9">
        <f>IF(C461="","",TEXT(I461,"0.00")&amp;" Ct "&amp;IF('01_Input_Raw_Products'!F461&lt;&gt;"",'01_Input_Raw_Products'!F461,'01_Input_Raw_Products'!D461)&amp;" "&amp;'01_Input_Raw_Products'!I461)</f>
        <v>0</v>
      </c>
      <c r="E461" s="9">
        <f>IF(C461="","",D461&amp;" | GemPundit")</f>
        <v>0</v>
      </c>
      <c r="F461" s="9" cm="1">
        <f t="array" ref="F461">IF('01_Input_Raw_Products'!X461&lt;&gt;"",'01_Input_Raw_Products'!X461,IFERROR(_xlfn.XLOOKUP('01_Input_Raw_Products'!F461,'10_Master_Gem_Types'!A:A,'10_Master_Gem_Types'!O:O),LOWER(SUBSTITUTE(IF('01_Input_Raw_Products'!F461&lt;&gt;"",'01_Input_Raw_Products'!F461,'01_Input_Raw_Products'!D461)," ","-"))))</f>
        <v>0</v>
      </c>
      <c r="G461" s="9">
        <f>'01_Input_Raw_Products'!C461</f>
        <v>0</v>
      </c>
      <c r="H461" s="9" cm="1">
        <f t="array" ref="H461">IF('01_Input_Raw_Products'!H461&lt;&gt;"",'01_Input_Raw_Products'!H461,IFERROR(_xlfn.XLOOKUP('01_Input_Raw_Products'!F461,'10_Master_Gem_Types'!A:A,'10_Master_Gem_Types'!D:D),""))</f>
        <v>0</v>
      </c>
      <c r="I461" s="7">
        <f>IF('01_Input_Raw_Products'!N461&lt;&gt;"",'01_Input_Raw_Products'!N461,IF('01_Input_Raw_Products'!O461&lt;&gt;"",'01_Input_Raw_Products'!O461*0.91,""))</f>
        <v>0</v>
      </c>
      <c r="J461" s="9" cm="1">
        <f t="array" ref="J461">IFERROR(_xlfn.XLOOKUP('01_Input_Raw_Products'!F461,'10_Master_Gem_Types'!A:A,'10_Master_Gem_Types'!N:N),"")</f>
        <v>0</v>
      </c>
      <c r="K461" s="9" cm="1">
        <f t="array" ref="K461">IF('01_Input_Raw_Products'!J461&lt;&gt;"",'01_Input_Raw_Products'!J461,IFERROR(_xlfn.XLOOKUP('01_Input_Raw_Products'!F461,'10_Master_Gem_Types'!A:A,'10_Master_Gem_Types'!E:E),""))</f>
        <v>0</v>
      </c>
      <c r="L461" s="9">
        <f>'01_Input_Raw_Products'!P461</f>
        <v>0</v>
      </c>
      <c r="M461" s="9" cm="1">
        <f t="array" ref="M461">IFERROR(_xlfn.XLOOKUP('01_Input_Raw_Products'!K461,'12_Color_Mapping'!A:A,'12_Color_Mapping'!B:B),IFERROR(_xlfn.XLOOKUP('01_Input_Raw_Products'!F461,'10_Master_Gem_Types'!A:A,'10_Master_Gem_Types'!F:F),""))</f>
        <v>0</v>
      </c>
      <c r="N461" s="9">
        <f>IF(C461="","",IF('01_Input_Raw_Products'!F461&lt;&gt;"",'01_Input_Raw_Products'!F461,'01_Input_Raw_Products'!D461))</f>
        <v>0</v>
      </c>
      <c r="O461" s="9">
        <f>IF(C461="","","Catalog Automation")</f>
        <v>0</v>
      </c>
      <c r="P461" s="9">
        <f>'01_Input_Raw_Products'!U461</f>
        <v>0</v>
      </c>
      <c r="Q461" s="7">
        <f>IF('01_Input_Raw_Products'!O461&lt;&gt;"",'01_Input_Raw_Products'!O461,IF('01_Input_Raw_Products'!N461&lt;&gt;"",'01_Input_Raw_Products'!N461*1.1,""))</f>
        <v>0</v>
      </c>
      <c r="R461" s="9">
        <f>'01_Input_Raw_Products'!S461</f>
        <v>0</v>
      </c>
      <c r="S461" s="9" cm="1">
        <f t="array" ref="S461">IFERROR(_xlfn.XLOOKUP('01_Input_Raw_Products'!F461,'10_Master_Gem_Types'!A:A,'10_Master_Gem_Types'!H:H),"")</f>
        <v>0</v>
      </c>
      <c r="T461" s="8">
        <f>'01_Input_Raw_Products'!Q461</f>
        <v>0</v>
      </c>
      <c r="U461" s="8">
        <f>'01_Input_Raw_Products'!R461</f>
        <v>0</v>
      </c>
      <c r="V461" s="7">
        <f>I461</f>
        <v>0</v>
      </c>
      <c r="W461" s="9" cm="1">
        <f t="array" ref="W461">IF('01_Input_Raw_Products'!G461&lt;&gt;"",'01_Input_Raw_Products'!G461,IFERROR(_xlfn.XLOOKUP('01_Input_Raw_Products'!F461,'10_Master_Gem_Types'!A:A,'10_Master_Gem_Types'!L:L),""))</f>
        <v>0</v>
      </c>
      <c r="X461" s="9" cm="1">
        <f t="array" ref="X461">IFERROR(_xlfn.XLOOKUP('01_Input_Raw_Products'!F461,'10_Master_Gem_Types'!A:A,'10_Master_Gem_Types'!J:J),"")</f>
        <v>0</v>
      </c>
      <c r="Y461" s="9" cm="1">
        <f t="array" ref="Y461">IFERROR(_xlfn.XLOOKUP('01_Input_Raw_Products'!F461,'10_Master_Gem_Types'!A:A,'10_Master_Gem_Types'!I:I),"")</f>
        <v>0</v>
      </c>
      <c r="Z461" s="9" cm="1">
        <f t="array" ref="Z461">IFERROR(_xlfn.XLOOKUP('01_Input_Raw_Products'!L461,'13_Certification_Stickers'!A:A,'13_Certification_Stickers'!C:C),"")</f>
        <v>0</v>
      </c>
      <c r="AA461" s="9" cm="1">
        <f t="array" ref="AA461">IFERROR(_xlfn.XLOOKUP('01_Input_Raw_Products'!S461,'14_Shipping_Rules'!A:A,'14_Shipping_Rules'!B:B),"")</f>
        <v>0</v>
      </c>
      <c r="AB461" s="9" cm="1">
        <f t="array" ref="AB461">IFERROR(_xlfn.XLOOKUP('01_Input_Raw_Products'!D461,'16_Astro_Flags'!A:A,'16_Astro_Flags'!B:B),"")</f>
        <v>0</v>
      </c>
      <c r="AC461" s="9">
        <f>IF(C461="","","Catalog, Search")</f>
        <v>0</v>
      </c>
      <c r="AD461" s="9">
        <f>IF(C461="","",IF(OR(F461="",J461="",M461="",S461="",Y461=""),"Manual Review","Ready"))</f>
        <v>0</v>
      </c>
      <c r="AE461" s="9">
        <f>IF(C461="","",TEXTJOIN("; ",TRUE,IF(F461="","Missing url_key",""),IF(J461="","Missing classification",""),IF(M461="","Missing j_colour",""),IF(S461="","Missing hsn_code",""),IF(Y461="","Missing tax_class_id","")))</f>
        <v>0</v>
      </c>
    </row>
    <row r="462" spans="1:31">
      <c r="A462" s="9">
        <f>IF('01_Input_Raw_Products'!B462&lt;&gt;"",20,"")</f>
        <v>0</v>
      </c>
      <c r="B462" s="9" cm="1">
        <f t="array" ref="B462">IF('01_Input_Raw_Products'!M462&lt;&gt;"",'01_Input_Raw_Products'!M462,IFERROR(_xlfn.XLOOKUP('01_Input_Raw_Products'!F462,'10_Master_Gem_Types'!A:A,'10_Master_Gem_Types'!K:K),""))</f>
        <v>0</v>
      </c>
      <c r="C462" s="9">
        <f>'01_Input_Raw_Products'!B462</f>
        <v>0</v>
      </c>
      <c r="D462" s="9">
        <f>IF(C462="","",TEXT(I462,"0.00")&amp;" Ct "&amp;IF('01_Input_Raw_Products'!F462&lt;&gt;"",'01_Input_Raw_Products'!F462,'01_Input_Raw_Products'!D462)&amp;" "&amp;'01_Input_Raw_Products'!I462)</f>
        <v>0</v>
      </c>
      <c r="E462" s="9">
        <f>IF(C462="","",D462&amp;" | GemPundit")</f>
        <v>0</v>
      </c>
      <c r="F462" s="9" cm="1">
        <f t="array" ref="F462">IF('01_Input_Raw_Products'!X462&lt;&gt;"",'01_Input_Raw_Products'!X462,IFERROR(_xlfn.XLOOKUP('01_Input_Raw_Products'!F462,'10_Master_Gem_Types'!A:A,'10_Master_Gem_Types'!O:O),LOWER(SUBSTITUTE(IF('01_Input_Raw_Products'!F462&lt;&gt;"",'01_Input_Raw_Products'!F462,'01_Input_Raw_Products'!D462)," ","-"))))</f>
        <v>0</v>
      </c>
      <c r="G462" s="9">
        <f>'01_Input_Raw_Products'!C462</f>
        <v>0</v>
      </c>
      <c r="H462" s="9" cm="1">
        <f t="array" ref="H462">IF('01_Input_Raw_Products'!H462&lt;&gt;"",'01_Input_Raw_Products'!H462,IFERROR(_xlfn.XLOOKUP('01_Input_Raw_Products'!F462,'10_Master_Gem_Types'!A:A,'10_Master_Gem_Types'!D:D),""))</f>
        <v>0</v>
      </c>
      <c r="I462" s="7">
        <f>IF('01_Input_Raw_Products'!N462&lt;&gt;"",'01_Input_Raw_Products'!N462,IF('01_Input_Raw_Products'!O462&lt;&gt;"",'01_Input_Raw_Products'!O462*0.91,""))</f>
        <v>0</v>
      </c>
      <c r="J462" s="9" cm="1">
        <f t="array" ref="J462">IFERROR(_xlfn.XLOOKUP('01_Input_Raw_Products'!F462,'10_Master_Gem_Types'!A:A,'10_Master_Gem_Types'!N:N),"")</f>
        <v>0</v>
      </c>
      <c r="K462" s="9" cm="1">
        <f t="array" ref="K462">IF('01_Input_Raw_Products'!J462&lt;&gt;"",'01_Input_Raw_Products'!J462,IFERROR(_xlfn.XLOOKUP('01_Input_Raw_Products'!F462,'10_Master_Gem_Types'!A:A,'10_Master_Gem_Types'!E:E),""))</f>
        <v>0</v>
      </c>
      <c r="L462" s="9">
        <f>'01_Input_Raw_Products'!P462</f>
        <v>0</v>
      </c>
      <c r="M462" s="9" cm="1">
        <f t="array" ref="M462">IFERROR(_xlfn.XLOOKUP('01_Input_Raw_Products'!K462,'12_Color_Mapping'!A:A,'12_Color_Mapping'!B:B),IFERROR(_xlfn.XLOOKUP('01_Input_Raw_Products'!F462,'10_Master_Gem_Types'!A:A,'10_Master_Gem_Types'!F:F),""))</f>
        <v>0</v>
      </c>
      <c r="N462" s="9">
        <f>IF(C462="","",IF('01_Input_Raw_Products'!F462&lt;&gt;"",'01_Input_Raw_Products'!F462,'01_Input_Raw_Products'!D462))</f>
        <v>0</v>
      </c>
      <c r="O462" s="9">
        <f>IF(C462="","","Catalog Automation")</f>
        <v>0</v>
      </c>
      <c r="P462" s="9">
        <f>'01_Input_Raw_Products'!U462</f>
        <v>0</v>
      </c>
      <c r="Q462" s="7">
        <f>IF('01_Input_Raw_Products'!O462&lt;&gt;"",'01_Input_Raw_Products'!O462,IF('01_Input_Raw_Products'!N462&lt;&gt;"",'01_Input_Raw_Products'!N462*1.1,""))</f>
        <v>0</v>
      </c>
      <c r="R462" s="9">
        <f>'01_Input_Raw_Products'!S462</f>
        <v>0</v>
      </c>
      <c r="S462" s="9" cm="1">
        <f t="array" ref="S462">IFERROR(_xlfn.XLOOKUP('01_Input_Raw_Products'!F462,'10_Master_Gem_Types'!A:A,'10_Master_Gem_Types'!H:H),"")</f>
        <v>0</v>
      </c>
      <c r="T462" s="8">
        <f>'01_Input_Raw_Products'!Q462</f>
        <v>0</v>
      </c>
      <c r="U462" s="8">
        <f>'01_Input_Raw_Products'!R462</f>
        <v>0</v>
      </c>
      <c r="V462" s="7">
        <f>I462</f>
        <v>0</v>
      </c>
      <c r="W462" s="9" cm="1">
        <f t="array" ref="W462">IF('01_Input_Raw_Products'!G462&lt;&gt;"",'01_Input_Raw_Products'!G462,IFERROR(_xlfn.XLOOKUP('01_Input_Raw_Products'!F462,'10_Master_Gem_Types'!A:A,'10_Master_Gem_Types'!L:L),""))</f>
        <v>0</v>
      </c>
      <c r="X462" s="9" cm="1">
        <f t="array" ref="X462">IFERROR(_xlfn.XLOOKUP('01_Input_Raw_Products'!F462,'10_Master_Gem_Types'!A:A,'10_Master_Gem_Types'!J:J),"")</f>
        <v>0</v>
      </c>
      <c r="Y462" s="9" cm="1">
        <f t="array" ref="Y462">IFERROR(_xlfn.XLOOKUP('01_Input_Raw_Products'!F462,'10_Master_Gem_Types'!A:A,'10_Master_Gem_Types'!I:I),"")</f>
        <v>0</v>
      </c>
      <c r="Z462" s="9" cm="1">
        <f t="array" ref="Z462">IFERROR(_xlfn.XLOOKUP('01_Input_Raw_Products'!L462,'13_Certification_Stickers'!A:A,'13_Certification_Stickers'!C:C),"")</f>
        <v>0</v>
      </c>
      <c r="AA462" s="9" cm="1">
        <f t="array" ref="AA462">IFERROR(_xlfn.XLOOKUP('01_Input_Raw_Products'!S462,'14_Shipping_Rules'!A:A,'14_Shipping_Rules'!B:B),"")</f>
        <v>0</v>
      </c>
      <c r="AB462" s="9" cm="1">
        <f t="array" ref="AB462">IFERROR(_xlfn.XLOOKUP('01_Input_Raw_Products'!D462,'16_Astro_Flags'!A:A,'16_Astro_Flags'!B:B),"")</f>
        <v>0</v>
      </c>
      <c r="AC462" s="9">
        <f>IF(C462="","","Catalog, Search")</f>
        <v>0</v>
      </c>
      <c r="AD462" s="9">
        <f>IF(C462="","",IF(OR(F462="",J462="",M462="",S462="",Y462=""),"Manual Review","Ready"))</f>
        <v>0</v>
      </c>
      <c r="AE462" s="9">
        <f>IF(C462="","",TEXTJOIN("; ",TRUE,IF(F462="","Missing url_key",""),IF(J462="","Missing classification",""),IF(M462="","Missing j_colour",""),IF(S462="","Missing hsn_code",""),IF(Y462="","Missing tax_class_id","")))</f>
        <v>0</v>
      </c>
    </row>
    <row r="463" spans="1:31">
      <c r="A463" s="9">
        <f>IF('01_Input_Raw_Products'!B463&lt;&gt;"",20,"")</f>
        <v>0</v>
      </c>
      <c r="B463" s="9" cm="1">
        <f t="array" ref="B463">IF('01_Input_Raw_Products'!M463&lt;&gt;"",'01_Input_Raw_Products'!M463,IFERROR(_xlfn.XLOOKUP('01_Input_Raw_Products'!F463,'10_Master_Gem_Types'!A:A,'10_Master_Gem_Types'!K:K),""))</f>
        <v>0</v>
      </c>
      <c r="C463" s="9">
        <f>'01_Input_Raw_Products'!B463</f>
        <v>0</v>
      </c>
      <c r="D463" s="9">
        <f>IF(C463="","",TEXT(I463,"0.00")&amp;" Ct "&amp;IF('01_Input_Raw_Products'!F463&lt;&gt;"",'01_Input_Raw_Products'!F463,'01_Input_Raw_Products'!D463)&amp;" "&amp;'01_Input_Raw_Products'!I463)</f>
        <v>0</v>
      </c>
      <c r="E463" s="9">
        <f>IF(C463="","",D463&amp;" | GemPundit")</f>
        <v>0</v>
      </c>
      <c r="F463" s="9" cm="1">
        <f t="array" ref="F463">IF('01_Input_Raw_Products'!X463&lt;&gt;"",'01_Input_Raw_Products'!X463,IFERROR(_xlfn.XLOOKUP('01_Input_Raw_Products'!F463,'10_Master_Gem_Types'!A:A,'10_Master_Gem_Types'!O:O),LOWER(SUBSTITUTE(IF('01_Input_Raw_Products'!F463&lt;&gt;"",'01_Input_Raw_Products'!F463,'01_Input_Raw_Products'!D463)," ","-"))))</f>
        <v>0</v>
      </c>
      <c r="G463" s="9">
        <f>'01_Input_Raw_Products'!C463</f>
        <v>0</v>
      </c>
      <c r="H463" s="9" cm="1">
        <f t="array" ref="H463">IF('01_Input_Raw_Products'!H463&lt;&gt;"",'01_Input_Raw_Products'!H463,IFERROR(_xlfn.XLOOKUP('01_Input_Raw_Products'!F463,'10_Master_Gem_Types'!A:A,'10_Master_Gem_Types'!D:D),""))</f>
        <v>0</v>
      </c>
      <c r="I463" s="7">
        <f>IF('01_Input_Raw_Products'!N463&lt;&gt;"",'01_Input_Raw_Products'!N463,IF('01_Input_Raw_Products'!O463&lt;&gt;"",'01_Input_Raw_Products'!O463*0.91,""))</f>
        <v>0</v>
      </c>
      <c r="J463" s="9" cm="1">
        <f t="array" ref="J463">IFERROR(_xlfn.XLOOKUP('01_Input_Raw_Products'!F463,'10_Master_Gem_Types'!A:A,'10_Master_Gem_Types'!N:N),"")</f>
        <v>0</v>
      </c>
      <c r="K463" s="9" cm="1">
        <f t="array" ref="K463">IF('01_Input_Raw_Products'!J463&lt;&gt;"",'01_Input_Raw_Products'!J463,IFERROR(_xlfn.XLOOKUP('01_Input_Raw_Products'!F463,'10_Master_Gem_Types'!A:A,'10_Master_Gem_Types'!E:E),""))</f>
        <v>0</v>
      </c>
      <c r="L463" s="9">
        <f>'01_Input_Raw_Products'!P463</f>
        <v>0</v>
      </c>
      <c r="M463" s="9" cm="1">
        <f t="array" ref="M463">IFERROR(_xlfn.XLOOKUP('01_Input_Raw_Products'!K463,'12_Color_Mapping'!A:A,'12_Color_Mapping'!B:B),IFERROR(_xlfn.XLOOKUP('01_Input_Raw_Products'!F463,'10_Master_Gem_Types'!A:A,'10_Master_Gem_Types'!F:F),""))</f>
        <v>0</v>
      </c>
      <c r="N463" s="9">
        <f>IF(C463="","",IF('01_Input_Raw_Products'!F463&lt;&gt;"",'01_Input_Raw_Products'!F463,'01_Input_Raw_Products'!D463))</f>
        <v>0</v>
      </c>
      <c r="O463" s="9">
        <f>IF(C463="","","Catalog Automation")</f>
        <v>0</v>
      </c>
      <c r="P463" s="9">
        <f>'01_Input_Raw_Products'!U463</f>
        <v>0</v>
      </c>
      <c r="Q463" s="7">
        <f>IF('01_Input_Raw_Products'!O463&lt;&gt;"",'01_Input_Raw_Products'!O463,IF('01_Input_Raw_Products'!N463&lt;&gt;"",'01_Input_Raw_Products'!N463*1.1,""))</f>
        <v>0</v>
      </c>
      <c r="R463" s="9">
        <f>'01_Input_Raw_Products'!S463</f>
        <v>0</v>
      </c>
      <c r="S463" s="9" cm="1">
        <f t="array" ref="S463">IFERROR(_xlfn.XLOOKUP('01_Input_Raw_Products'!F463,'10_Master_Gem_Types'!A:A,'10_Master_Gem_Types'!H:H),"")</f>
        <v>0</v>
      </c>
      <c r="T463" s="8">
        <f>'01_Input_Raw_Products'!Q463</f>
        <v>0</v>
      </c>
      <c r="U463" s="8">
        <f>'01_Input_Raw_Products'!R463</f>
        <v>0</v>
      </c>
      <c r="V463" s="7">
        <f>I463</f>
        <v>0</v>
      </c>
      <c r="W463" s="9" cm="1">
        <f t="array" ref="W463">IF('01_Input_Raw_Products'!G463&lt;&gt;"",'01_Input_Raw_Products'!G463,IFERROR(_xlfn.XLOOKUP('01_Input_Raw_Products'!F463,'10_Master_Gem_Types'!A:A,'10_Master_Gem_Types'!L:L),""))</f>
        <v>0</v>
      </c>
      <c r="X463" s="9" cm="1">
        <f t="array" ref="X463">IFERROR(_xlfn.XLOOKUP('01_Input_Raw_Products'!F463,'10_Master_Gem_Types'!A:A,'10_Master_Gem_Types'!J:J),"")</f>
        <v>0</v>
      </c>
      <c r="Y463" s="9" cm="1">
        <f t="array" ref="Y463">IFERROR(_xlfn.XLOOKUP('01_Input_Raw_Products'!F463,'10_Master_Gem_Types'!A:A,'10_Master_Gem_Types'!I:I),"")</f>
        <v>0</v>
      </c>
      <c r="Z463" s="9" cm="1">
        <f t="array" ref="Z463">IFERROR(_xlfn.XLOOKUP('01_Input_Raw_Products'!L463,'13_Certification_Stickers'!A:A,'13_Certification_Stickers'!C:C),"")</f>
        <v>0</v>
      </c>
      <c r="AA463" s="9" cm="1">
        <f t="array" ref="AA463">IFERROR(_xlfn.XLOOKUP('01_Input_Raw_Products'!S463,'14_Shipping_Rules'!A:A,'14_Shipping_Rules'!B:B),"")</f>
        <v>0</v>
      </c>
      <c r="AB463" s="9" cm="1">
        <f t="array" ref="AB463">IFERROR(_xlfn.XLOOKUP('01_Input_Raw_Products'!D463,'16_Astro_Flags'!A:A,'16_Astro_Flags'!B:B),"")</f>
        <v>0</v>
      </c>
      <c r="AC463" s="9">
        <f>IF(C463="","","Catalog, Search")</f>
        <v>0</v>
      </c>
      <c r="AD463" s="9">
        <f>IF(C463="","",IF(OR(F463="",J463="",M463="",S463="",Y463=""),"Manual Review","Ready"))</f>
        <v>0</v>
      </c>
      <c r="AE463" s="9">
        <f>IF(C463="","",TEXTJOIN("; ",TRUE,IF(F463="","Missing url_key",""),IF(J463="","Missing classification",""),IF(M463="","Missing j_colour",""),IF(S463="","Missing hsn_code",""),IF(Y463="","Missing tax_class_id","")))</f>
        <v>0</v>
      </c>
    </row>
    <row r="464" spans="1:31">
      <c r="A464" s="9">
        <f>IF('01_Input_Raw_Products'!B464&lt;&gt;"",20,"")</f>
        <v>0</v>
      </c>
      <c r="B464" s="9" cm="1">
        <f t="array" ref="B464">IF('01_Input_Raw_Products'!M464&lt;&gt;"",'01_Input_Raw_Products'!M464,IFERROR(_xlfn.XLOOKUP('01_Input_Raw_Products'!F464,'10_Master_Gem_Types'!A:A,'10_Master_Gem_Types'!K:K),""))</f>
        <v>0</v>
      </c>
      <c r="C464" s="9">
        <f>'01_Input_Raw_Products'!B464</f>
        <v>0</v>
      </c>
      <c r="D464" s="9">
        <f>IF(C464="","",TEXT(I464,"0.00")&amp;" Ct "&amp;IF('01_Input_Raw_Products'!F464&lt;&gt;"",'01_Input_Raw_Products'!F464,'01_Input_Raw_Products'!D464)&amp;" "&amp;'01_Input_Raw_Products'!I464)</f>
        <v>0</v>
      </c>
      <c r="E464" s="9">
        <f>IF(C464="","",D464&amp;" | GemPundit")</f>
        <v>0</v>
      </c>
      <c r="F464" s="9" cm="1">
        <f t="array" ref="F464">IF('01_Input_Raw_Products'!X464&lt;&gt;"",'01_Input_Raw_Products'!X464,IFERROR(_xlfn.XLOOKUP('01_Input_Raw_Products'!F464,'10_Master_Gem_Types'!A:A,'10_Master_Gem_Types'!O:O),LOWER(SUBSTITUTE(IF('01_Input_Raw_Products'!F464&lt;&gt;"",'01_Input_Raw_Products'!F464,'01_Input_Raw_Products'!D464)," ","-"))))</f>
        <v>0</v>
      </c>
      <c r="G464" s="9">
        <f>'01_Input_Raw_Products'!C464</f>
        <v>0</v>
      </c>
      <c r="H464" s="9" cm="1">
        <f t="array" ref="H464">IF('01_Input_Raw_Products'!H464&lt;&gt;"",'01_Input_Raw_Products'!H464,IFERROR(_xlfn.XLOOKUP('01_Input_Raw_Products'!F464,'10_Master_Gem_Types'!A:A,'10_Master_Gem_Types'!D:D),""))</f>
        <v>0</v>
      </c>
      <c r="I464" s="7">
        <f>IF('01_Input_Raw_Products'!N464&lt;&gt;"",'01_Input_Raw_Products'!N464,IF('01_Input_Raw_Products'!O464&lt;&gt;"",'01_Input_Raw_Products'!O464*0.91,""))</f>
        <v>0</v>
      </c>
      <c r="J464" s="9" cm="1">
        <f t="array" ref="J464">IFERROR(_xlfn.XLOOKUP('01_Input_Raw_Products'!F464,'10_Master_Gem_Types'!A:A,'10_Master_Gem_Types'!N:N),"")</f>
        <v>0</v>
      </c>
      <c r="K464" s="9" cm="1">
        <f t="array" ref="K464">IF('01_Input_Raw_Products'!J464&lt;&gt;"",'01_Input_Raw_Products'!J464,IFERROR(_xlfn.XLOOKUP('01_Input_Raw_Products'!F464,'10_Master_Gem_Types'!A:A,'10_Master_Gem_Types'!E:E),""))</f>
        <v>0</v>
      </c>
      <c r="L464" s="9">
        <f>'01_Input_Raw_Products'!P464</f>
        <v>0</v>
      </c>
      <c r="M464" s="9" cm="1">
        <f t="array" ref="M464">IFERROR(_xlfn.XLOOKUP('01_Input_Raw_Products'!K464,'12_Color_Mapping'!A:A,'12_Color_Mapping'!B:B),IFERROR(_xlfn.XLOOKUP('01_Input_Raw_Products'!F464,'10_Master_Gem_Types'!A:A,'10_Master_Gem_Types'!F:F),""))</f>
        <v>0</v>
      </c>
      <c r="N464" s="9">
        <f>IF(C464="","",IF('01_Input_Raw_Products'!F464&lt;&gt;"",'01_Input_Raw_Products'!F464,'01_Input_Raw_Products'!D464))</f>
        <v>0</v>
      </c>
      <c r="O464" s="9">
        <f>IF(C464="","","Catalog Automation")</f>
        <v>0</v>
      </c>
      <c r="P464" s="9">
        <f>'01_Input_Raw_Products'!U464</f>
        <v>0</v>
      </c>
      <c r="Q464" s="7">
        <f>IF('01_Input_Raw_Products'!O464&lt;&gt;"",'01_Input_Raw_Products'!O464,IF('01_Input_Raw_Products'!N464&lt;&gt;"",'01_Input_Raw_Products'!N464*1.1,""))</f>
        <v>0</v>
      </c>
      <c r="R464" s="9">
        <f>'01_Input_Raw_Products'!S464</f>
        <v>0</v>
      </c>
      <c r="S464" s="9" cm="1">
        <f t="array" ref="S464">IFERROR(_xlfn.XLOOKUP('01_Input_Raw_Products'!F464,'10_Master_Gem_Types'!A:A,'10_Master_Gem_Types'!H:H),"")</f>
        <v>0</v>
      </c>
      <c r="T464" s="8">
        <f>'01_Input_Raw_Products'!Q464</f>
        <v>0</v>
      </c>
      <c r="U464" s="8">
        <f>'01_Input_Raw_Products'!R464</f>
        <v>0</v>
      </c>
      <c r="V464" s="7">
        <f>I464</f>
        <v>0</v>
      </c>
      <c r="W464" s="9" cm="1">
        <f t="array" ref="W464">IF('01_Input_Raw_Products'!G464&lt;&gt;"",'01_Input_Raw_Products'!G464,IFERROR(_xlfn.XLOOKUP('01_Input_Raw_Products'!F464,'10_Master_Gem_Types'!A:A,'10_Master_Gem_Types'!L:L),""))</f>
        <v>0</v>
      </c>
      <c r="X464" s="9" cm="1">
        <f t="array" ref="X464">IFERROR(_xlfn.XLOOKUP('01_Input_Raw_Products'!F464,'10_Master_Gem_Types'!A:A,'10_Master_Gem_Types'!J:J),"")</f>
        <v>0</v>
      </c>
      <c r="Y464" s="9" cm="1">
        <f t="array" ref="Y464">IFERROR(_xlfn.XLOOKUP('01_Input_Raw_Products'!F464,'10_Master_Gem_Types'!A:A,'10_Master_Gem_Types'!I:I),"")</f>
        <v>0</v>
      </c>
      <c r="Z464" s="9" cm="1">
        <f t="array" ref="Z464">IFERROR(_xlfn.XLOOKUP('01_Input_Raw_Products'!L464,'13_Certification_Stickers'!A:A,'13_Certification_Stickers'!C:C),"")</f>
        <v>0</v>
      </c>
      <c r="AA464" s="9" cm="1">
        <f t="array" ref="AA464">IFERROR(_xlfn.XLOOKUP('01_Input_Raw_Products'!S464,'14_Shipping_Rules'!A:A,'14_Shipping_Rules'!B:B),"")</f>
        <v>0</v>
      </c>
      <c r="AB464" s="9" cm="1">
        <f t="array" ref="AB464">IFERROR(_xlfn.XLOOKUP('01_Input_Raw_Products'!D464,'16_Astro_Flags'!A:A,'16_Astro_Flags'!B:B),"")</f>
        <v>0</v>
      </c>
      <c r="AC464" s="9">
        <f>IF(C464="","","Catalog, Search")</f>
        <v>0</v>
      </c>
      <c r="AD464" s="9">
        <f>IF(C464="","",IF(OR(F464="",J464="",M464="",S464="",Y464=""),"Manual Review","Ready"))</f>
        <v>0</v>
      </c>
      <c r="AE464" s="9">
        <f>IF(C464="","",TEXTJOIN("; ",TRUE,IF(F464="","Missing url_key",""),IF(J464="","Missing classification",""),IF(M464="","Missing j_colour",""),IF(S464="","Missing hsn_code",""),IF(Y464="","Missing tax_class_id","")))</f>
        <v>0</v>
      </c>
    </row>
    <row r="465" spans="1:31">
      <c r="A465" s="9">
        <f>IF('01_Input_Raw_Products'!B465&lt;&gt;"",20,"")</f>
        <v>0</v>
      </c>
      <c r="B465" s="9" cm="1">
        <f t="array" ref="B465">IF('01_Input_Raw_Products'!M465&lt;&gt;"",'01_Input_Raw_Products'!M465,IFERROR(_xlfn.XLOOKUP('01_Input_Raw_Products'!F465,'10_Master_Gem_Types'!A:A,'10_Master_Gem_Types'!K:K),""))</f>
        <v>0</v>
      </c>
      <c r="C465" s="9">
        <f>'01_Input_Raw_Products'!B465</f>
        <v>0</v>
      </c>
      <c r="D465" s="9">
        <f>IF(C465="","",TEXT(I465,"0.00")&amp;" Ct "&amp;IF('01_Input_Raw_Products'!F465&lt;&gt;"",'01_Input_Raw_Products'!F465,'01_Input_Raw_Products'!D465)&amp;" "&amp;'01_Input_Raw_Products'!I465)</f>
        <v>0</v>
      </c>
      <c r="E465" s="9">
        <f>IF(C465="","",D465&amp;" | GemPundit")</f>
        <v>0</v>
      </c>
      <c r="F465" s="9" cm="1">
        <f t="array" ref="F465">IF('01_Input_Raw_Products'!X465&lt;&gt;"",'01_Input_Raw_Products'!X465,IFERROR(_xlfn.XLOOKUP('01_Input_Raw_Products'!F465,'10_Master_Gem_Types'!A:A,'10_Master_Gem_Types'!O:O),LOWER(SUBSTITUTE(IF('01_Input_Raw_Products'!F465&lt;&gt;"",'01_Input_Raw_Products'!F465,'01_Input_Raw_Products'!D465)," ","-"))))</f>
        <v>0</v>
      </c>
      <c r="G465" s="9">
        <f>'01_Input_Raw_Products'!C465</f>
        <v>0</v>
      </c>
      <c r="H465" s="9" cm="1">
        <f t="array" ref="H465">IF('01_Input_Raw_Products'!H465&lt;&gt;"",'01_Input_Raw_Products'!H465,IFERROR(_xlfn.XLOOKUP('01_Input_Raw_Products'!F465,'10_Master_Gem_Types'!A:A,'10_Master_Gem_Types'!D:D),""))</f>
        <v>0</v>
      </c>
      <c r="I465" s="7">
        <f>IF('01_Input_Raw_Products'!N465&lt;&gt;"",'01_Input_Raw_Products'!N465,IF('01_Input_Raw_Products'!O465&lt;&gt;"",'01_Input_Raw_Products'!O465*0.91,""))</f>
        <v>0</v>
      </c>
      <c r="J465" s="9" cm="1">
        <f t="array" ref="J465">IFERROR(_xlfn.XLOOKUP('01_Input_Raw_Products'!F465,'10_Master_Gem_Types'!A:A,'10_Master_Gem_Types'!N:N),"")</f>
        <v>0</v>
      </c>
      <c r="K465" s="9" cm="1">
        <f t="array" ref="K465">IF('01_Input_Raw_Products'!J465&lt;&gt;"",'01_Input_Raw_Products'!J465,IFERROR(_xlfn.XLOOKUP('01_Input_Raw_Products'!F465,'10_Master_Gem_Types'!A:A,'10_Master_Gem_Types'!E:E),""))</f>
        <v>0</v>
      </c>
      <c r="L465" s="9">
        <f>'01_Input_Raw_Products'!P465</f>
        <v>0</v>
      </c>
      <c r="M465" s="9" cm="1">
        <f t="array" ref="M465">IFERROR(_xlfn.XLOOKUP('01_Input_Raw_Products'!K465,'12_Color_Mapping'!A:A,'12_Color_Mapping'!B:B),IFERROR(_xlfn.XLOOKUP('01_Input_Raw_Products'!F465,'10_Master_Gem_Types'!A:A,'10_Master_Gem_Types'!F:F),""))</f>
        <v>0</v>
      </c>
      <c r="N465" s="9">
        <f>IF(C465="","",IF('01_Input_Raw_Products'!F465&lt;&gt;"",'01_Input_Raw_Products'!F465,'01_Input_Raw_Products'!D465))</f>
        <v>0</v>
      </c>
      <c r="O465" s="9">
        <f>IF(C465="","","Catalog Automation")</f>
        <v>0</v>
      </c>
      <c r="P465" s="9">
        <f>'01_Input_Raw_Products'!U465</f>
        <v>0</v>
      </c>
      <c r="Q465" s="7">
        <f>IF('01_Input_Raw_Products'!O465&lt;&gt;"",'01_Input_Raw_Products'!O465,IF('01_Input_Raw_Products'!N465&lt;&gt;"",'01_Input_Raw_Products'!N465*1.1,""))</f>
        <v>0</v>
      </c>
      <c r="R465" s="9">
        <f>'01_Input_Raw_Products'!S465</f>
        <v>0</v>
      </c>
      <c r="S465" s="9" cm="1">
        <f t="array" ref="S465">IFERROR(_xlfn.XLOOKUP('01_Input_Raw_Products'!F465,'10_Master_Gem_Types'!A:A,'10_Master_Gem_Types'!H:H),"")</f>
        <v>0</v>
      </c>
      <c r="T465" s="8">
        <f>'01_Input_Raw_Products'!Q465</f>
        <v>0</v>
      </c>
      <c r="U465" s="8">
        <f>'01_Input_Raw_Products'!R465</f>
        <v>0</v>
      </c>
      <c r="V465" s="7">
        <f>I465</f>
        <v>0</v>
      </c>
      <c r="W465" s="9" cm="1">
        <f t="array" ref="W465">IF('01_Input_Raw_Products'!G465&lt;&gt;"",'01_Input_Raw_Products'!G465,IFERROR(_xlfn.XLOOKUP('01_Input_Raw_Products'!F465,'10_Master_Gem_Types'!A:A,'10_Master_Gem_Types'!L:L),""))</f>
        <v>0</v>
      </c>
      <c r="X465" s="9" cm="1">
        <f t="array" ref="X465">IFERROR(_xlfn.XLOOKUP('01_Input_Raw_Products'!F465,'10_Master_Gem_Types'!A:A,'10_Master_Gem_Types'!J:J),"")</f>
        <v>0</v>
      </c>
      <c r="Y465" s="9" cm="1">
        <f t="array" ref="Y465">IFERROR(_xlfn.XLOOKUP('01_Input_Raw_Products'!F465,'10_Master_Gem_Types'!A:A,'10_Master_Gem_Types'!I:I),"")</f>
        <v>0</v>
      </c>
      <c r="Z465" s="9" cm="1">
        <f t="array" ref="Z465">IFERROR(_xlfn.XLOOKUP('01_Input_Raw_Products'!L465,'13_Certification_Stickers'!A:A,'13_Certification_Stickers'!C:C),"")</f>
        <v>0</v>
      </c>
      <c r="AA465" s="9" cm="1">
        <f t="array" ref="AA465">IFERROR(_xlfn.XLOOKUP('01_Input_Raw_Products'!S465,'14_Shipping_Rules'!A:A,'14_Shipping_Rules'!B:B),"")</f>
        <v>0</v>
      </c>
      <c r="AB465" s="9" cm="1">
        <f t="array" ref="AB465">IFERROR(_xlfn.XLOOKUP('01_Input_Raw_Products'!D465,'16_Astro_Flags'!A:A,'16_Astro_Flags'!B:B),"")</f>
        <v>0</v>
      </c>
      <c r="AC465" s="9">
        <f>IF(C465="","","Catalog, Search")</f>
        <v>0</v>
      </c>
      <c r="AD465" s="9">
        <f>IF(C465="","",IF(OR(F465="",J465="",M465="",S465="",Y465=""),"Manual Review","Ready"))</f>
        <v>0</v>
      </c>
      <c r="AE465" s="9">
        <f>IF(C465="","",TEXTJOIN("; ",TRUE,IF(F465="","Missing url_key",""),IF(J465="","Missing classification",""),IF(M465="","Missing j_colour",""),IF(S465="","Missing hsn_code",""),IF(Y465="","Missing tax_class_id","")))</f>
        <v>0</v>
      </c>
    </row>
    <row r="466" spans="1:31">
      <c r="A466" s="9">
        <f>IF('01_Input_Raw_Products'!B466&lt;&gt;"",20,"")</f>
        <v>0</v>
      </c>
      <c r="B466" s="9" cm="1">
        <f t="array" ref="B466">IF('01_Input_Raw_Products'!M466&lt;&gt;"",'01_Input_Raw_Products'!M466,IFERROR(_xlfn.XLOOKUP('01_Input_Raw_Products'!F466,'10_Master_Gem_Types'!A:A,'10_Master_Gem_Types'!K:K),""))</f>
        <v>0</v>
      </c>
      <c r="C466" s="9">
        <f>'01_Input_Raw_Products'!B466</f>
        <v>0</v>
      </c>
      <c r="D466" s="9">
        <f>IF(C466="","",TEXT(I466,"0.00")&amp;" Ct "&amp;IF('01_Input_Raw_Products'!F466&lt;&gt;"",'01_Input_Raw_Products'!F466,'01_Input_Raw_Products'!D466)&amp;" "&amp;'01_Input_Raw_Products'!I466)</f>
        <v>0</v>
      </c>
      <c r="E466" s="9">
        <f>IF(C466="","",D466&amp;" | GemPundit")</f>
        <v>0</v>
      </c>
      <c r="F466" s="9" cm="1">
        <f t="array" ref="F466">IF('01_Input_Raw_Products'!X466&lt;&gt;"",'01_Input_Raw_Products'!X466,IFERROR(_xlfn.XLOOKUP('01_Input_Raw_Products'!F466,'10_Master_Gem_Types'!A:A,'10_Master_Gem_Types'!O:O),LOWER(SUBSTITUTE(IF('01_Input_Raw_Products'!F466&lt;&gt;"",'01_Input_Raw_Products'!F466,'01_Input_Raw_Products'!D466)," ","-"))))</f>
        <v>0</v>
      </c>
      <c r="G466" s="9">
        <f>'01_Input_Raw_Products'!C466</f>
        <v>0</v>
      </c>
      <c r="H466" s="9" cm="1">
        <f t="array" ref="H466">IF('01_Input_Raw_Products'!H466&lt;&gt;"",'01_Input_Raw_Products'!H466,IFERROR(_xlfn.XLOOKUP('01_Input_Raw_Products'!F466,'10_Master_Gem_Types'!A:A,'10_Master_Gem_Types'!D:D),""))</f>
        <v>0</v>
      </c>
      <c r="I466" s="7">
        <f>IF('01_Input_Raw_Products'!N466&lt;&gt;"",'01_Input_Raw_Products'!N466,IF('01_Input_Raw_Products'!O466&lt;&gt;"",'01_Input_Raw_Products'!O466*0.91,""))</f>
        <v>0</v>
      </c>
      <c r="J466" s="9" cm="1">
        <f t="array" ref="J466">IFERROR(_xlfn.XLOOKUP('01_Input_Raw_Products'!F466,'10_Master_Gem_Types'!A:A,'10_Master_Gem_Types'!N:N),"")</f>
        <v>0</v>
      </c>
      <c r="K466" s="9" cm="1">
        <f t="array" ref="K466">IF('01_Input_Raw_Products'!J466&lt;&gt;"",'01_Input_Raw_Products'!J466,IFERROR(_xlfn.XLOOKUP('01_Input_Raw_Products'!F466,'10_Master_Gem_Types'!A:A,'10_Master_Gem_Types'!E:E),""))</f>
        <v>0</v>
      </c>
      <c r="L466" s="9">
        <f>'01_Input_Raw_Products'!P466</f>
        <v>0</v>
      </c>
      <c r="M466" s="9" cm="1">
        <f t="array" ref="M466">IFERROR(_xlfn.XLOOKUP('01_Input_Raw_Products'!K466,'12_Color_Mapping'!A:A,'12_Color_Mapping'!B:B),IFERROR(_xlfn.XLOOKUP('01_Input_Raw_Products'!F466,'10_Master_Gem_Types'!A:A,'10_Master_Gem_Types'!F:F),""))</f>
        <v>0</v>
      </c>
      <c r="N466" s="9">
        <f>IF(C466="","",IF('01_Input_Raw_Products'!F466&lt;&gt;"",'01_Input_Raw_Products'!F466,'01_Input_Raw_Products'!D466))</f>
        <v>0</v>
      </c>
      <c r="O466" s="9">
        <f>IF(C466="","","Catalog Automation")</f>
        <v>0</v>
      </c>
      <c r="P466" s="9">
        <f>'01_Input_Raw_Products'!U466</f>
        <v>0</v>
      </c>
      <c r="Q466" s="7">
        <f>IF('01_Input_Raw_Products'!O466&lt;&gt;"",'01_Input_Raw_Products'!O466,IF('01_Input_Raw_Products'!N466&lt;&gt;"",'01_Input_Raw_Products'!N466*1.1,""))</f>
        <v>0</v>
      </c>
      <c r="R466" s="9">
        <f>'01_Input_Raw_Products'!S466</f>
        <v>0</v>
      </c>
      <c r="S466" s="9" cm="1">
        <f t="array" ref="S466">IFERROR(_xlfn.XLOOKUP('01_Input_Raw_Products'!F466,'10_Master_Gem_Types'!A:A,'10_Master_Gem_Types'!H:H),"")</f>
        <v>0</v>
      </c>
      <c r="T466" s="8">
        <f>'01_Input_Raw_Products'!Q466</f>
        <v>0</v>
      </c>
      <c r="U466" s="8">
        <f>'01_Input_Raw_Products'!R466</f>
        <v>0</v>
      </c>
      <c r="V466" s="7">
        <f>I466</f>
        <v>0</v>
      </c>
      <c r="W466" s="9" cm="1">
        <f t="array" ref="W466">IF('01_Input_Raw_Products'!G466&lt;&gt;"",'01_Input_Raw_Products'!G466,IFERROR(_xlfn.XLOOKUP('01_Input_Raw_Products'!F466,'10_Master_Gem_Types'!A:A,'10_Master_Gem_Types'!L:L),""))</f>
        <v>0</v>
      </c>
      <c r="X466" s="9" cm="1">
        <f t="array" ref="X466">IFERROR(_xlfn.XLOOKUP('01_Input_Raw_Products'!F466,'10_Master_Gem_Types'!A:A,'10_Master_Gem_Types'!J:J),"")</f>
        <v>0</v>
      </c>
      <c r="Y466" s="9" cm="1">
        <f t="array" ref="Y466">IFERROR(_xlfn.XLOOKUP('01_Input_Raw_Products'!F466,'10_Master_Gem_Types'!A:A,'10_Master_Gem_Types'!I:I),"")</f>
        <v>0</v>
      </c>
      <c r="Z466" s="9" cm="1">
        <f t="array" ref="Z466">IFERROR(_xlfn.XLOOKUP('01_Input_Raw_Products'!L466,'13_Certification_Stickers'!A:A,'13_Certification_Stickers'!C:C),"")</f>
        <v>0</v>
      </c>
      <c r="AA466" s="9" cm="1">
        <f t="array" ref="AA466">IFERROR(_xlfn.XLOOKUP('01_Input_Raw_Products'!S466,'14_Shipping_Rules'!A:A,'14_Shipping_Rules'!B:B),"")</f>
        <v>0</v>
      </c>
      <c r="AB466" s="9" cm="1">
        <f t="array" ref="AB466">IFERROR(_xlfn.XLOOKUP('01_Input_Raw_Products'!D466,'16_Astro_Flags'!A:A,'16_Astro_Flags'!B:B),"")</f>
        <v>0</v>
      </c>
      <c r="AC466" s="9">
        <f>IF(C466="","","Catalog, Search")</f>
        <v>0</v>
      </c>
      <c r="AD466" s="9">
        <f>IF(C466="","",IF(OR(F466="",J466="",M466="",S466="",Y466=""),"Manual Review","Ready"))</f>
        <v>0</v>
      </c>
      <c r="AE466" s="9">
        <f>IF(C466="","",TEXTJOIN("; ",TRUE,IF(F466="","Missing url_key",""),IF(J466="","Missing classification",""),IF(M466="","Missing j_colour",""),IF(S466="","Missing hsn_code",""),IF(Y466="","Missing tax_class_id","")))</f>
        <v>0</v>
      </c>
    </row>
    <row r="467" spans="1:31">
      <c r="A467" s="9">
        <f>IF('01_Input_Raw_Products'!B467&lt;&gt;"",20,"")</f>
        <v>0</v>
      </c>
      <c r="B467" s="9" cm="1">
        <f t="array" ref="B467">IF('01_Input_Raw_Products'!M467&lt;&gt;"",'01_Input_Raw_Products'!M467,IFERROR(_xlfn.XLOOKUP('01_Input_Raw_Products'!F467,'10_Master_Gem_Types'!A:A,'10_Master_Gem_Types'!K:K),""))</f>
        <v>0</v>
      </c>
      <c r="C467" s="9">
        <f>'01_Input_Raw_Products'!B467</f>
        <v>0</v>
      </c>
      <c r="D467" s="9">
        <f>IF(C467="","",TEXT(I467,"0.00")&amp;" Ct "&amp;IF('01_Input_Raw_Products'!F467&lt;&gt;"",'01_Input_Raw_Products'!F467,'01_Input_Raw_Products'!D467)&amp;" "&amp;'01_Input_Raw_Products'!I467)</f>
        <v>0</v>
      </c>
      <c r="E467" s="9">
        <f>IF(C467="","",D467&amp;" | GemPundit")</f>
        <v>0</v>
      </c>
      <c r="F467" s="9" cm="1">
        <f t="array" ref="F467">IF('01_Input_Raw_Products'!X467&lt;&gt;"",'01_Input_Raw_Products'!X467,IFERROR(_xlfn.XLOOKUP('01_Input_Raw_Products'!F467,'10_Master_Gem_Types'!A:A,'10_Master_Gem_Types'!O:O),LOWER(SUBSTITUTE(IF('01_Input_Raw_Products'!F467&lt;&gt;"",'01_Input_Raw_Products'!F467,'01_Input_Raw_Products'!D467)," ","-"))))</f>
        <v>0</v>
      </c>
      <c r="G467" s="9">
        <f>'01_Input_Raw_Products'!C467</f>
        <v>0</v>
      </c>
      <c r="H467" s="9" cm="1">
        <f t="array" ref="H467">IF('01_Input_Raw_Products'!H467&lt;&gt;"",'01_Input_Raw_Products'!H467,IFERROR(_xlfn.XLOOKUP('01_Input_Raw_Products'!F467,'10_Master_Gem_Types'!A:A,'10_Master_Gem_Types'!D:D),""))</f>
        <v>0</v>
      </c>
      <c r="I467" s="7">
        <f>IF('01_Input_Raw_Products'!N467&lt;&gt;"",'01_Input_Raw_Products'!N467,IF('01_Input_Raw_Products'!O467&lt;&gt;"",'01_Input_Raw_Products'!O467*0.91,""))</f>
        <v>0</v>
      </c>
      <c r="J467" s="9" cm="1">
        <f t="array" ref="J467">IFERROR(_xlfn.XLOOKUP('01_Input_Raw_Products'!F467,'10_Master_Gem_Types'!A:A,'10_Master_Gem_Types'!N:N),"")</f>
        <v>0</v>
      </c>
      <c r="K467" s="9" cm="1">
        <f t="array" ref="K467">IF('01_Input_Raw_Products'!J467&lt;&gt;"",'01_Input_Raw_Products'!J467,IFERROR(_xlfn.XLOOKUP('01_Input_Raw_Products'!F467,'10_Master_Gem_Types'!A:A,'10_Master_Gem_Types'!E:E),""))</f>
        <v>0</v>
      </c>
      <c r="L467" s="9">
        <f>'01_Input_Raw_Products'!P467</f>
        <v>0</v>
      </c>
      <c r="M467" s="9" cm="1">
        <f t="array" ref="M467">IFERROR(_xlfn.XLOOKUP('01_Input_Raw_Products'!K467,'12_Color_Mapping'!A:A,'12_Color_Mapping'!B:B),IFERROR(_xlfn.XLOOKUP('01_Input_Raw_Products'!F467,'10_Master_Gem_Types'!A:A,'10_Master_Gem_Types'!F:F),""))</f>
        <v>0</v>
      </c>
      <c r="N467" s="9">
        <f>IF(C467="","",IF('01_Input_Raw_Products'!F467&lt;&gt;"",'01_Input_Raw_Products'!F467,'01_Input_Raw_Products'!D467))</f>
        <v>0</v>
      </c>
      <c r="O467" s="9">
        <f>IF(C467="","","Catalog Automation")</f>
        <v>0</v>
      </c>
      <c r="P467" s="9">
        <f>'01_Input_Raw_Products'!U467</f>
        <v>0</v>
      </c>
      <c r="Q467" s="7">
        <f>IF('01_Input_Raw_Products'!O467&lt;&gt;"",'01_Input_Raw_Products'!O467,IF('01_Input_Raw_Products'!N467&lt;&gt;"",'01_Input_Raw_Products'!N467*1.1,""))</f>
        <v>0</v>
      </c>
      <c r="R467" s="9">
        <f>'01_Input_Raw_Products'!S467</f>
        <v>0</v>
      </c>
      <c r="S467" s="9" cm="1">
        <f t="array" ref="S467">IFERROR(_xlfn.XLOOKUP('01_Input_Raw_Products'!F467,'10_Master_Gem_Types'!A:A,'10_Master_Gem_Types'!H:H),"")</f>
        <v>0</v>
      </c>
      <c r="T467" s="8">
        <f>'01_Input_Raw_Products'!Q467</f>
        <v>0</v>
      </c>
      <c r="U467" s="8">
        <f>'01_Input_Raw_Products'!R467</f>
        <v>0</v>
      </c>
      <c r="V467" s="7">
        <f>I467</f>
        <v>0</v>
      </c>
      <c r="W467" s="9" cm="1">
        <f t="array" ref="W467">IF('01_Input_Raw_Products'!G467&lt;&gt;"",'01_Input_Raw_Products'!G467,IFERROR(_xlfn.XLOOKUP('01_Input_Raw_Products'!F467,'10_Master_Gem_Types'!A:A,'10_Master_Gem_Types'!L:L),""))</f>
        <v>0</v>
      </c>
      <c r="X467" s="9" cm="1">
        <f t="array" ref="X467">IFERROR(_xlfn.XLOOKUP('01_Input_Raw_Products'!F467,'10_Master_Gem_Types'!A:A,'10_Master_Gem_Types'!J:J),"")</f>
        <v>0</v>
      </c>
      <c r="Y467" s="9" cm="1">
        <f t="array" ref="Y467">IFERROR(_xlfn.XLOOKUP('01_Input_Raw_Products'!F467,'10_Master_Gem_Types'!A:A,'10_Master_Gem_Types'!I:I),"")</f>
        <v>0</v>
      </c>
      <c r="Z467" s="9" cm="1">
        <f t="array" ref="Z467">IFERROR(_xlfn.XLOOKUP('01_Input_Raw_Products'!L467,'13_Certification_Stickers'!A:A,'13_Certification_Stickers'!C:C),"")</f>
        <v>0</v>
      </c>
      <c r="AA467" s="9" cm="1">
        <f t="array" ref="AA467">IFERROR(_xlfn.XLOOKUP('01_Input_Raw_Products'!S467,'14_Shipping_Rules'!A:A,'14_Shipping_Rules'!B:B),"")</f>
        <v>0</v>
      </c>
      <c r="AB467" s="9" cm="1">
        <f t="array" ref="AB467">IFERROR(_xlfn.XLOOKUP('01_Input_Raw_Products'!D467,'16_Astro_Flags'!A:A,'16_Astro_Flags'!B:B),"")</f>
        <v>0</v>
      </c>
      <c r="AC467" s="9">
        <f>IF(C467="","","Catalog, Search")</f>
        <v>0</v>
      </c>
      <c r="AD467" s="9">
        <f>IF(C467="","",IF(OR(F467="",J467="",M467="",S467="",Y467=""),"Manual Review","Ready"))</f>
        <v>0</v>
      </c>
      <c r="AE467" s="9">
        <f>IF(C467="","",TEXTJOIN("; ",TRUE,IF(F467="","Missing url_key",""),IF(J467="","Missing classification",""),IF(M467="","Missing j_colour",""),IF(S467="","Missing hsn_code",""),IF(Y467="","Missing tax_class_id","")))</f>
        <v>0</v>
      </c>
    </row>
    <row r="468" spans="1:31">
      <c r="A468" s="9">
        <f>IF('01_Input_Raw_Products'!B468&lt;&gt;"",20,"")</f>
        <v>0</v>
      </c>
      <c r="B468" s="9" cm="1">
        <f t="array" ref="B468">IF('01_Input_Raw_Products'!M468&lt;&gt;"",'01_Input_Raw_Products'!M468,IFERROR(_xlfn.XLOOKUP('01_Input_Raw_Products'!F468,'10_Master_Gem_Types'!A:A,'10_Master_Gem_Types'!K:K),""))</f>
        <v>0</v>
      </c>
      <c r="C468" s="9">
        <f>'01_Input_Raw_Products'!B468</f>
        <v>0</v>
      </c>
      <c r="D468" s="9">
        <f>IF(C468="","",TEXT(I468,"0.00")&amp;" Ct "&amp;IF('01_Input_Raw_Products'!F468&lt;&gt;"",'01_Input_Raw_Products'!F468,'01_Input_Raw_Products'!D468)&amp;" "&amp;'01_Input_Raw_Products'!I468)</f>
        <v>0</v>
      </c>
      <c r="E468" s="9">
        <f>IF(C468="","",D468&amp;" | GemPundit")</f>
        <v>0</v>
      </c>
      <c r="F468" s="9" cm="1">
        <f t="array" ref="F468">IF('01_Input_Raw_Products'!X468&lt;&gt;"",'01_Input_Raw_Products'!X468,IFERROR(_xlfn.XLOOKUP('01_Input_Raw_Products'!F468,'10_Master_Gem_Types'!A:A,'10_Master_Gem_Types'!O:O),LOWER(SUBSTITUTE(IF('01_Input_Raw_Products'!F468&lt;&gt;"",'01_Input_Raw_Products'!F468,'01_Input_Raw_Products'!D468)," ","-"))))</f>
        <v>0</v>
      </c>
      <c r="G468" s="9">
        <f>'01_Input_Raw_Products'!C468</f>
        <v>0</v>
      </c>
      <c r="H468" s="9" cm="1">
        <f t="array" ref="H468">IF('01_Input_Raw_Products'!H468&lt;&gt;"",'01_Input_Raw_Products'!H468,IFERROR(_xlfn.XLOOKUP('01_Input_Raw_Products'!F468,'10_Master_Gem_Types'!A:A,'10_Master_Gem_Types'!D:D),""))</f>
        <v>0</v>
      </c>
      <c r="I468" s="7">
        <f>IF('01_Input_Raw_Products'!N468&lt;&gt;"",'01_Input_Raw_Products'!N468,IF('01_Input_Raw_Products'!O468&lt;&gt;"",'01_Input_Raw_Products'!O468*0.91,""))</f>
        <v>0</v>
      </c>
      <c r="J468" s="9" cm="1">
        <f t="array" ref="J468">IFERROR(_xlfn.XLOOKUP('01_Input_Raw_Products'!F468,'10_Master_Gem_Types'!A:A,'10_Master_Gem_Types'!N:N),"")</f>
        <v>0</v>
      </c>
      <c r="K468" s="9" cm="1">
        <f t="array" ref="K468">IF('01_Input_Raw_Products'!J468&lt;&gt;"",'01_Input_Raw_Products'!J468,IFERROR(_xlfn.XLOOKUP('01_Input_Raw_Products'!F468,'10_Master_Gem_Types'!A:A,'10_Master_Gem_Types'!E:E),""))</f>
        <v>0</v>
      </c>
      <c r="L468" s="9">
        <f>'01_Input_Raw_Products'!P468</f>
        <v>0</v>
      </c>
      <c r="M468" s="9" cm="1">
        <f t="array" ref="M468">IFERROR(_xlfn.XLOOKUP('01_Input_Raw_Products'!K468,'12_Color_Mapping'!A:A,'12_Color_Mapping'!B:B),IFERROR(_xlfn.XLOOKUP('01_Input_Raw_Products'!F468,'10_Master_Gem_Types'!A:A,'10_Master_Gem_Types'!F:F),""))</f>
        <v>0</v>
      </c>
      <c r="N468" s="9">
        <f>IF(C468="","",IF('01_Input_Raw_Products'!F468&lt;&gt;"",'01_Input_Raw_Products'!F468,'01_Input_Raw_Products'!D468))</f>
        <v>0</v>
      </c>
      <c r="O468" s="9">
        <f>IF(C468="","","Catalog Automation")</f>
        <v>0</v>
      </c>
      <c r="P468" s="9">
        <f>'01_Input_Raw_Products'!U468</f>
        <v>0</v>
      </c>
      <c r="Q468" s="7">
        <f>IF('01_Input_Raw_Products'!O468&lt;&gt;"",'01_Input_Raw_Products'!O468,IF('01_Input_Raw_Products'!N468&lt;&gt;"",'01_Input_Raw_Products'!N468*1.1,""))</f>
        <v>0</v>
      </c>
      <c r="R468" s="9">
        <f>'01_Input_Raw_Products'!S468</f>
        <v>0</v>
      </c>
      <c r="S468" s="9" cm="1">
        <f t="array" ref="S468">IFERROR(_xlfn.XLOOKUP('01_Input_Raw_Products'!F468,'10_Master_Gem_Types'!A:A,'10_Master_Gem_Types'!H:H),"")</f>
        <v>0</v>
      </c>
      <c r="T468" s="8">
        <f>'01_Input_Raw_Products'!Q468</f>
        <v>0</v>
      </c>
      <c r="U468" s="8">
        <f>'01_Input_Raw_Products'!R468</f>
        <v>0</v>
      </c>
      <c r="V468" s="7">
        <f>I468</f>
        <v>0</v>
      </c>
      <c r="W468" s="9" cm="1">
        <f t="array" ref="W468">IF('01_Input_Raw_Products'!G468&lt;&gt;"",'01_Input_Raw_Products'!G468,IFERROR(_xlfn.XLOOKUP('01_Input_Raw_Products'!F468,'10_Master_Gem_Types'!A:A,'10_Master_Gem_Types'!L:L),""))</f>
        <v>0</v>
      </c>
      <c r="X468" s="9" cm="1">
        <f t="array" ref="X468">IFERROR(_xlfn.XLOOKUP('01_Input_Raw_Products'!F468,'10_Master_Gem_Types'!A:A,'10_Master_Gem_Types'!J:J),"")</f>
        <v>0</v>
      </c>
      <c r="Y468" s="9" cm="1">
        <f t="array" ref="Y468">IFERROR(_xlfn.XLOOKUP('01_Input_Raw_Products'!F468,'10_Master_Gem_Types'!A:A,'10_Master_Gem_Types'!I:I),"")</f>
        <v>0</v>
      </c>
      <c r="Z468" s="9" cm="1">
        <f t="array" ref="Z468">IFERROR(_xlfn.XLOOKUP('01_Input_Raw_Products'!L468,'13_Certification_Stickers'!A:A,'13_Certification_Stickers'!C:C),"")</f>
        <v>0</v>
      </c>
      <c r="AA468" s="9" cm="1">
        <f t="array" ref="AA468">IFERROR(_xlfn.XLOOKUP('01_Input_Raw_Products'!S468,'14_Shipping_Rules'!A:A,'14_Shipping_Rules'!B:B),"")</f>
        <v>0</v>
      </c>
      <c r="AB468" s="9" cm="1">
        <f t="array" ref="AB468">IFERROR(_xlfn.XLOOKUP('01_Input_Raw_Products'!D468,'16_Astro_Flags'!A:A,'16_Astro_Flags'!B:B),"")</f>
        <v>0</v>
      </c>
      <c r="AC468" s="9">
        <f>IF(C468="","","Catalog, Search")</f>
        <v>0</v>
      </c>
      <c r="AD468" s="9">
        <f>IF(C468="","",IF(OR(F468="",J468="",M468="",S468="",Y468=""),"Manual Review","Ready"))</f>
        <v>0</v>
      </c>
      <c r="AE468" s="9">
        <f>IF(C468="","",TEXTJOIN("; ",TRUE,IF(F468="","Missing url_key",""),IF(J468="","Missing classification",""),IF(M468="","Missing j_colour",""),IF(S468="","Missing hsn_code",""),IF(Y468="","Missing tax_class_id","")))</f>
        <v>0</v>
      </c>
    </row>
    <row r="469" spans="1:31">
      <c r="A469" s="9">
        <f>IF('01_Input_Raw_Products'!B469&lt;&gt;"",20,"")</f>
        <v>0</v>
      </c>
      <c r="B469" s="9" cm="1">
        <f t="array" ref="B469">IF('01_Input_Raw_Products'!M469&lt;&gt;"",'01_Input_Raw_Products'!M469,IFERROR(_xlfn.XLOOKUP('01_Input_Raw_Products'!F469,'10_Master_Gem_Types'!A:A,'10_Master_Gem_Types'!K:K),""))</f>
        <v>0</v>
      </c>
      <c r="C469" s="9">
        <f>'01_Input_Raw_Products'!B469</f>
        <v>0</v>
      </c>
      <c r="D469" s="9">
        <f>IF(C469="","",TEXT(I469,"0.00")&amp;" Ct "&amp;IF('01_Input_Raw_Products'!F469&lt;&gt;"",'01_Input_Raw_Products'!F469,'01_Input_Raw_Products'!D469)&amp;" "&amp;'01_Input_Raw_Products'!I469)</f>
        <v>0</v>
      </c>
      <c r="E469" s="9">
        <f>IF(C469="","",D469&amp;" | GemPundit")</f>
        <v>0</v>
      </c>
      <c r="F469" s="9" cm="1">
        <f t="array" ref="F469">IF('01_Input_Raw_Products'!X469&lt;&gt;"",'01_Input_Raw_Products'!X469,IFERROR(_xlfn.XLOOKUP('01_Input_Raw_Products'!F469,'10_Master_Gem_Types'!A:A,'10_Master_Gem_Types'!O:O),LOWER(SUBSTITUTE(IF('01_Input_Raw_Products'!F469&lt;&gt;"",'01_Input_Raw_Products'!F469,'01_Input_Raw_Products'!D469)," ","-"))))</f>
        <v>0</v>
      </c>
      <c r="G469" s="9">
        <f>'01_Input_Raw_Products'!C469</f>
        <v>0</v>
      </c>
      <c r="H469" s="9" cm="1">
        <f t="array" ref="H469">IF('01_Input_Raw_Products'!H469&lt;&gt;"",'01_Input_Raw_Products'!H469,IFERROR(_xlfn.XLOOKUP('01_Input_Raw_Products'!F469,'10_Master_Gem_Types'!A:A,'10_Master_Gem_Types'!D:D),""))</f>
        <v>0</v>
      </c>
      <c r="I469" s="7">
        <f>IF('01_Input_Raw_Products'!N469&lt;&gt;"",'01_Input_Raw_Products'!N469,IF('01_Input_Raw_Products'!O469&lt;&gt;"",'01_Input_Raw_Products'!O469*0.91,""))</f>
        <v>0</v>
      </c>
      <c r="J469" s="9" cm="1">
        <f t="array" ref="J469">IFERROR(_xlfn.XLOOKUP('01_Input_Raw_Products'!F469,'10_Master_Gem_Types'!A:A,'10_Master_Gem_Types'!N:N),"")</f>
        <v>0</v>
      </c>
      <c r="K469" s="9" cm="1">
        <f t="array" ref="K469">IF('01_Input_Raw_Products'!J469&lt;&gt;"",'01_Input_Raw_Products'!J469,IFERROR(_xlfn.XLOOKUP('01_Input_Raw_Products'!F469,'10_Master_Gem_Types'!A:A,'10_Master_Gem_Types'!E:E),""))</f>
        <v>0</v>
      </c>
      <c r="L469" s="9">
        <f>'01_Input_Raw_Products'!P469</f>
        <v>0</v>
      </c>
      <c r="M469" s="9" cm="1">
        <f t="array" ref="M469">IFERROR(_xlfn.XLOOKUP('01_Input_Raw_Products'!K469,'12_Color_Mapping'!A:A,'12_Color_Mapping'!B:B),IFERROR(_xlfn.XLOOKUP('01_Input_Raw_Products'!F469,'10_Master_Gem_Types'!A:A,'10_Master_Gem_Types'!F:F),""))</f>
        <v>0</v>
      </c>
      <c r="N469" s="9">
        <f>IF(C469="","",IF('01_Input_Raw_Products'!F469&lt;&gt;"",'01_Input_Raw_Products'!F469,'01_Input_Raw_Products'!D469))</f>
        <v>0</v>
      </c>
      <c r="O469" s="9">
        <f>IF(C469="","","Catalog Automation")</f>
        <v>0</v>
      </c>
      <c r="P469" s="9">
        <f>'01_Input_Raw_Products'!U469</f>
        <v>0</v>
      </c>
      <c r="Q469" s="7">
        <f>IF('01_Input_Raw_Products'!O469&lt;&gt;"",'01_Input_Raw_Products'!O469,IF('01_Input_Raw_Products'!N469&lt;&gt;"",'01_Input_Raw_Products'!N469*1.1,""))</f>
        <v>0</v>
      </c>
      <c r="R469" s="9">
        <f>'01_Input_Raw_Products'!S469</f>
        <v>0</v>
      </c>
      <c r="S469" s="9" cm="1">
        <f t="array" ref="S469">IFERROR(_xlfn.XLOOKUP('01_Input_Raw_Products'!F469,'10_Master_Gem_Types'!A:A,'10_Master_Gem_Types'!H:H),"")</f>
        <v>0</v>
      </c>
      <c r="T469" s="8">
        <f>'01_Input_Raw_Products'!Q469</f>
        <v>0</v>
      </c>
      <c r="U469" s="8">
        <f>'01_Input_Raw_Products'!R469</f>
        <v>0</v>
      </c>
      <c r="V469" s="7">
        <f>I469</f>
        <v>0</v>
      </c>
      <c r="W469" s="9" cm="1">
        <f t="array" ref="W469">IF('01_Input_Raw_Products'!G469&lt;&gt;"",'01_Input_Raw_Products'!G469,IFERROR(_xlfn.XLOOKUP('01_Input_Raw_Products'!F469,'10_Master_Gem_Types'!A:A,'10_Master_Gem_Types'!L:L),""))</f>
        <v>0</v>
      </c>
      <c r="X469" s="9" cm="1">
        <f t="array" ref="X469">IFERROR(_xlfn.XLOOKUP('01_Input_Raw_Products'!F469,'10_Master_Gem_Types'!A:A,'10_Master_Gem_Types'!J:J),"")</f>
        <v>0</v>
      </c>
      <c r="Y469" s="9" cm="1">
        <f t="array" ref="Y469">IFERROR(_xlfn.XLOOKUP('01_Input_Raw_Products'!F469,'10_Master_Gem_Types'!A:A,'10_Master_Gem_Types'!I:I),"")</f>
        <v>0</v>
      </c>
      <c r="Z469" s="9" cm="1">
        <f t="array" ref="Z469">IFERROR(_xlfn.XLOOKUP('01_Input_Raw_Products'!L469,'13_Certification_Stickers'!A:A,'13_Certification_Stickers'!C:C),"")</f>
        <v>0</v>
      </c>
      <c r="AA469" s="9" cm="1">
        <f t="array" ref="AA469">IFERROR(_xlfn.XLOOKUP('01_Input_Raw_Products'!S469,'14_Shipping_Rules'!A:A,'14_Shipping_Rules'!B:B),"")</f>
        <v>0</v>
      </c>
      <c r="AB469" s="9" cm="1">
        <f t="array" ref="AB469">IFERROR(_xlfn.XLOOKUP('01_Input_Raw_Products'!D469,'16_Astro_Flags'!A:A,'16_Astro_Flags'!B:B),"")</f>
        <v>0</v>
      </c>
      <c r="AC469" s="9">
        <f>IF(C469="","","Catalog, Search")</f>
        <v>0</v>
      </c>
      <c r="AD469" s="9">
        <f>IF(C469="","",IF(OR(F469="",J469="",M469="",S469="",Y469=""),"Manual Review","Ready"))</f>
        <v>0</v>
      </c>
      <c r="AE469" s="9">
        <f>IF(C469="","",TEXTJOIN("; ",TRUE,IF(F469="","Missing url_key",""),IF(J469="","Missing classification",""),IF(M469="","Missing j_colour",""),IF(S469="","Missing hsn_code",""),IF(Y469="","Missing tax_class_id","")))</f>
        <v>0</v>
      </c>
    </row>
    <row r="470" spans="1:31">
      <c r="A470" s="9">
        <f>IF('01_Input_Raw_Products'!B470&lt;&gt;"",20,"")</f>
        <v>0</v>
      </c>
      <c r="B470" s="9" cm="1">
        <f t="array" ref="B470">IF('01_Input_Raw_Products'!M470&lt;&gt;"",'01_Input_Raw_Products'!M470,IFERROR(_xlfn.XLOOKUP('01_Input_Raw_Products'!F470,'10_Master_Gem_Types'!A:A,'10_Master_Gem_Types'!K:K),""))</f>
        <v>0</v>
      </c>
      <c r="C470" s="9">
        <f>'01_Input_Raw_Products'!B470</f>
        <v>0</v>
      </c>
      <c r="D470" s="9">
        <f>IF(C470="","",TEXT(I470,"0.00")&amp;" Ct "&amp;IF('01_Input_Raw_Products'!F470&lt;&gt;"",'01_Input_Raw_Products'!F470,'01_Input_Raw_Products'!D470)&amp;" "&amp;'01_Input_Raw_Products'!I470)</f>
        <v>0</v>
      </c>
      <c r="E470" s="9">
        <f>IF(C470="","",D470&amp;" | GemPundit")</f>
        <v>0</v>
      </c>
      <c r="F470" s="9" cm="1">
        <f t="array" ref="F470">IF('01_Input_Raw_Products'!X470&lt;&gt;"",'01_Input_Raw_Products'!X470,IFERROR(_xlfn.XLOOKUP('01_Input_Raw_Products'!F470,'10_Master_Gem_Types'!A:A,'10_Master_Gem_Types'!O:O),LOWER(SUBSTITUTE(IF('01_Input_Raw_Products'!F470&lt;&gt;"",'01_Input_Raw_Products'!F470,'01_Input_Raw_Products'!D470)," ","-"))))</f>
        <v>0</v>
      </c>
      <c r="G470" s="9">
        <f>'01_Input_Raw_Products'!C470</f>
        <v>0</v>
      </c>
      <c r="H470" s="9" cm="1">
        <f t="array" ref="H470">IF('01_Input_Raw_Products'!H470&lt;&gt;"",'01_Input_Raw_Products'!H470,IFERROR(_xlfn.XLOOKUP('01_Input_Raw_Products'!F470,'10_Master_Gem_Types'!A:A,'10_Master_Gem_Types'!D:D),""))</f>
        <v>0</v>
      </c>
      <c r="I470" s="7">
        <f>IF('01_Input_Raw_Products'!N470&lt;&gt;"",'01_Input_Raw_Products'!N470,IF('01_Input_Raw_Products'!O470&lt;&gt;"",'01_Input_Raw_Products'!O470*0.91,""))</f>
        <v>0</v>
      </c>
      <c r="J470" s="9" cm="1">
        <f t="array" ref="J470">IFERROR(_xlfn.XLOOKUP('01_Input_Raw_Products'!F470,'10_Master_Gem_Types'!A:A,'10_Master_Gem_Types'!N:N),"")</f>
        <v>0</v>
      </c>
      <c r="K470" s="9" cm="1">
        <f t="array" ref="K470">IF('01_Input_Raw_Products'!J470&lt;&gt;"",'01_Input_Raw_Products'!J470,IFERROR(_xlfn.XLOOKUP('01_Input_Raw_Products'!F470,'10_Master_Gem_Types'!A:A,'10_Master_Gem_Types'!E:E),""))</f>
        <v>0</v>
      </c>
      <c r="L470" s="9">
        <f>'01_Input_Raw_Products'!P470</f>
        <v>0</v>
      </c>
      <c r="M470" s="9" cm="1">
        <f t="array" ref="M470">IFERROR(_xlfn.XLOOKUP('01_Input_Raw_Products'!K470,'12_Color_Mapping'!A:A,'12_Color_Mapping'!B:B),IFERROR(_xlfn.XLOOKUP('01_Input_Raw_Products'!F470,'10_Master_Gem_Types'!A:A,'10_Master_Gem_Types'!F:F),""))</f>
        <v>0</v>
      </c>
      <c r="N470" s="9">
        <f>IF(C470="","",IF('01_Input_Raw_Products'!F470&lt;&gt;"",'01_Input_Raw_Products'!F470,'01_Input_Raw_Products'!D470))</f>
        <v>0</v>
      </c>
      <c r="O470" s="9">
        <f>IF(C470="","","Catalog Automation")</f>
        <v>0</v>
      </c>
      <c r="P470" s="9">
        <f>'01_Input_Raw_Products'!U470</f>
        <v>0</v>
      </c>
      <c r="Q470" s="7">
        <f>IF('01_Input_Raw_Products'!O470&lt;&gt;"",'01_Input_Raw_Products'!O470,IF('01_Input_Raw_Products'!N470&lt;&gt;"",'01_Input_Raw_Products'!N470*1.1,""))</f>
        <v>0</v>
      </c>
      <c r="R470" s="9">
        <f>'01_Input_Raw_Products'!S470</f>
        <v>0</v>
      </c>
      <c r="S470" s="9" cm="1">
        <f t="array" ref="S470">IFERROR(_xlfn.XLOOKUP('01_Input_Raw_Products'!F470,'10_Master_Gem_Types'!A:A,'10_Master_Gem_Types'!H:H),"")</f>
        <v>0</v>
      </c>
      <c r="T470" s="8">
        <f>'01_Input_Raw_Products'!Q470</f>
        <v>0</v>
      </c>
      <c r="U470" s="8">
        <f>'01_Input_Raw_Products'!R470</f>
        <v>0</v>
      </c>
      <c r="V470" s="7">
        <f>I470</f>
        <v>0</v>
      </c>
      <c r="W470" s="9" cm="1">
        <f t="array" ref="W470">IF('01_Input_Raw_Products'!G470&lt;&gt;"",'01_Input_Raw_Products'!G470,IFERROR(_xlfn.XLOOKUP('01_Input_Raw_Products'!F470,'10_Master_Gem_Types'!A:A,'10_Master_Gem_Types'!L:L),""))</f>
        <v>0</v>
      </c>
      <c r="X470" s="9" cm="1">
        <f t="array" ref="X470">IFERROR(_xlfn.XLOOKUP('01_Input_Raw_Products'!F470,'10_Master_Gem_Types'!A:A,'10_Master_Gem_Types'!J:J),"")</f>
        <v>0</v>
      </c>
      <c r="Y470" s="9" cm="1">
        <f t="array" ref="Y470">IFERROR(_xlfn.XLOOKUP('01_Input_Raw_Products'!F470,'10_Master_Gem_Types'!A:A,'10_Master_Gem_Types'!I:I),"")</f>
        <v>0</v>
      </c>
      <c r="Z470" s="9" cm="1">
        <f t="array" ref="Z470">IFERROR(_xlfn.XLOOKUP('01_Input_Raw_Products'!L470,'13_Certification_Stickers'!A:A,'13_Certification_Stickers'!C:C),"")</f>
        <v>0</v>
      </c>
      <c r="AA470" s="9" cm="1">
        <f t="array" ref="AA470">IFERROR(_xlfn.XLOOKUP('01_Input_Raw_Products'!S470,'14_Shipping_Rules'!A:A,'14_Shipping_Rules'!B:B),"")</f>
        <v>0</v>
      </c>
      <c r="AB470" s="9" cm="1">
        <f t="array" ref="AB470">IFERROR(_xlfn.XLOOKUP('01_Input_Raw_Products'!D470,'16_Astro_Flags'!A:A,'16_Astro_Flags'!B:B),"")</f>
        <v>0</v>
      </c>
      <c r="AC470" s="9">
        <f>IF(C470="","","Catalog, Search")</f>
        <v>0</v>
      </c>
      <c r="AD470" s="9">
        <f>IF(C470="","",IF(OR(F470="",J470="",M470="",S470="",Y470=""),"Manual Review","Ready"))</f>
        <v>0</v>
      </c>
      <c r="AE470" s="9">
        <f>IF(C470="","",TEXTJOIN("; ",TRUE,IF(F470="","Missing url_key",""),IF(J470="","Missing classification",""),IF(M470="","Missing j_colour",""),IF(S470="","Missing hsn_code",""),IF(Y470="","Missing tax_class_id","")))</f>
        <v>0</v>
      </c>
    </row>
    <row r="471" spans="1:31">
      <c r="A471" s="9">
        <f>IF('01_Input_Raw_Products'!B471&lt;&gt;"",20,"")</f>
        <v>0</v>
      </c>
      <c r="B471" s="9" cm="1">
        <f t="array" ref="B471">IF('01_Input_Raw_Products'!M471&lt;&gt;"",'01_Input_Raw_Products'!M471,IFERROR(_xlfn.XLOOKUP('01_Input_Raw_Products'!F471,'10_Master_Gem_Types'!A:A,'10_Master_Gem_Types'!K:K),""))</f>
        <v>0</v>
      </c>
      <c r="C471" s="9">
        <f>'01_Input_Raw_Products'!B471</f>
        <v>0</v>
      </c>
      <c r="D471" s="9">
        <f>IF(C471="","",TEXT(I471,"0.00")&amp;" Ct "&amp;IF('01_Input_Raw_Products'!F471&lt;&gt;"",'01_Input_Raw_Products'!F471,'01_Input_Raw_Products'!D471)&amp;" "&amp;'01_Input_Raw_Products'!I471)</f>
        <v>0</v>
      </c>
      <c r="E471" s="9">
        <f>IF(C471="","",D471&amp;" | GemPundit")</f>
        <v>0</v>
      </c>
      <c r="F471" s="9" cm="1">
        <f t="array" ref="F471">IF('01_Input_Raw_Products'!X471&lt;&gt;"",'01_Input_Raw_Products'!X471,IFERROR(_xlfn.XLOOKUP('01_Input_Raw_Products'!F471,'10_Master_Gem_Types'!A:A,'10_Master_Gem_Types'!O:O),LOWER(SUBSTITUTE(IF('01_Input_Raw_Products'!F471&lt;&gt;"",'01_Input_Raw_Products'!F471,'01_Input_Raw_Products'!D471)," ","-"))))</f>
        <v>0</v>
      </c>
      <c r="G471" s="9">
        <f>'01_Input_Raw_Products'!C471</f>
        <v>0</v>
      </c>
      <c r="H471" s="9" cm="1">
        <f t="array" ref="H471">IF('01_Input_Raw_Products'!H471&lt;&gt;"",'01_Input_Raw_Products'!H471,IFERROR(_xlfn.XLOOKUP('01_Input_Raw_Products'!F471,'10_Master_Gem_Types'!A:A,'10_Master_Gem_Types'!D:D),""))</f>
        <v>0</v>
      </c>
      <c r="I471" s="7">
        <f>IF('01_Input_Raw_Products'!N471&lt;&gt;"",'01_Input_Raw_Products'!N471,IF('01_Input_Raw_Products'!O471&lt;&gt;"",'01_Input_Raw_Products'!O471*0.91,""))</f>
        <v>0</v>
      </c>
      <c r="J471" s="9" cm="1">
        <f t="array" ref="J471">IFERROR(_xlfn.XLOOKUP('01_Input_Raw_Products'!F471,'10_Master_Gem_Types'!A:A,'10_Master_Gem_Types'!N:N),"")</f>
        <v>0</v>
      </c>
      <c r="K471" s="9" cm="1">
        <f t="array" ref="K471">IF('01_Input_Raw_Products'!J471&lt;&gt;"",'01_Input_Raw_Products'!J471,IFERROR(_xlfn.XLOOKUP('01_Input_Raw_Products'!F471,'10_Master_Gem_Types'!A:A,'10_Master_Gem_Types'!E:E),""))</f>
        <v>0</v>
      </c>
      <c r="L471" s="9">
        <f>'01_Input_Raw_Products'!P471</f>
        <v>0</v>
      </c>
      <c r="M471" s="9" cm="1">
        <f t="array" ref="M471">IFERROR(_xlfn.XLOOKUP('01_Input_Raw_Products'!K471,'12_Color_Mapping'!A:A,'12_Color_Mapping'!B:B),IFERROR(_xlfn.XLOOKUP('01_Input_Raw_Products'!F471,'10_Master_Gem_Types'!A:A,'10_Master_Gem_Types'!F:F),""))</f>
        <v>0</v>
      </c>
      <c r="N471" s="9">
        <f>IF(C471="","",IF('01_Input_Raw_Products'!F471&lt;&gt;"",'01_Input_Raw_Products'!F471,'01_Input_Raw_Products'!D471))</f>
        <v>0</v>
      </c>
      <c r="O471" s="9">
        <f>IF(C471="","","Catalog Automation")</f>
        <v>0</v>
      </c>
      <c r="P471" s="9">
        <f>'01_Input_Raw_Products'!U471</f>
        <v>0</v>
      </c>
      <c r="Q471" s="7">
        <f>IF('01_Input_Raw_Products'!O471&lt;&gt;"",'01_Input_Raw_Products'!O471,IF('01_Input_Raw_Products'!N471&lt;&gt;"",'01_Input_Raw_Products'!N471*1.1,""))</f>
        <v>0</v>
      </c>
      <c r="R471" s="9">
        <f>'01_Input_Raw_Products'!S471</f>
        <v>0</v>
      </c>
      <c r="S471" s="9" cm="1">
        <f t="array" ref="S471">IFERROR(_xlfn.XLOOKUP('01_Input_Raw_Products'!F471,'10_Master_Gem_Types'!A:A,'10_Master_Gem_Types'!H:H),"")</f>
        <v>0</v>
      </c>
      <c r="T471" s="8">
        <f>'01_Input_Raw_Products'!Q471</f>
        <v>0</v>
      </c>
      <c r="U471" s="8">
        <f>'01_Input_Raw_Products'!R471</f>
        <v>0</v>
      </c>
      <c r="V471" s="7">
        <f>I471</f>
        <v>0</v>
      </c>
      <c r="W471" s="9" cm="1">
        <f t="array" ref="W471">IF('01_Input_Raw_Products'!G471&lt;&gt;"",'01_Input_Raw_Products'!G471,IFERROR(_xlfn.XLOOKUP('01_Input_Raw_Products'!F471,'10_Master_Gem_Types'!A:A,'10_Master_Gem_Types'!L:L),""))</f>
        <v>0</v>
      </c>
      <c r="X471" s="9" cm="1">
        <f t="array" ref="X471">IFERROR(_xlfn.XLOOKUP('01_Input_Raw_Products'!F471,'10_Master_Gem_Types'!A:A,'10_Master_Gem_Types'!J:J),"")</f>
        <v>0</v>
      </c>
      <c r="Y471" s="9" cm="1">
        <f t="array" ref="Y471">IFERROR(_xlfn.XLOOKUP('01_Input_Raw_Products'!F471,'10_Master_Gem_Types'!A:A,'10_Master_Gem_Types'!I:I),"")</f>
        <v>0</v>
      </c>
      <c r="Z471" s="9" cm="1">
        <f t="array" ref="Z471">IFERROR(_xlfn.XLOOKUP('01_Input_Raw_Products'!L471,'13_Certification_Stickers'!A:A,'13_Certification_Stickers'!C:C),"")</f>
        <v>0</v>
      </c>
      <c r="AA471" s="9" cm="1">
        <f t="array" ref="AA471">IFERROR(_xlfn.XLOOKUP('01_Input_Raw_Products'!S471,'14_Shipping_Rules'!A:A,'14_Shipping_Rules'!B:B),"")</f>
        <v>0</v>
      </c>
      <c r="AB471" s="9" cm="1">
        <f t="array" ref="AB471">IFERROR(_xlfn.XLOOKUP('01_Input_Raw_Products'!D471,'16_Astro_Flags'!A:A,'16_Astro_Flags'!B:B),"")</f>
        <v>0</v>
      </c>
      <c r="AC471" s="9">
        <f>IF(C471="","","Catalog, Search")</f>
        <v>0</v>
      </c>
      <c r="AD471" s="9">
        <f>IF(C471="","",IF(OR(F471="",J471="",M471="",S471="",Y471=""),"Manual Review","Ready"))</f>
        <v>0</v>
      </c>
      <c r="AE471" s="9">
        <f>IF(C471="","",TEXTJOIN("; ",TRUE,IF(F471="","Missing url_key",""),IF(J471="","Missing classification",""),IF(M471="","Missing j_colour",""),IF(S471="","Missing hsn_code",""),IF(Y471="","Missing tax_class_id","")))</f>
        <v>0</v>
      </c>
    </row>
    <row r="472" spans="1:31">
      <c r="A472" s="9">
        <f>IF('01_Input_Raw_Products'!B472&lt;&gt;"",20,"")</f>
        <v>0</v>
      </c>
      <c r="B472" s="9" cm="1">
        <f t="array" ref="B472">IF('01_Input_Raw_Products'!M472&lt;&gt;"",'01_Input_Raw_Products'!M472,IFERROR(_xlfn.XLOOKUP('01_Input_Raw_Products'!F472,'10_Master_Gem_Types'!A:A,'10_Master_Gem_Types'!K:K),""))</f>
        <v>0</v>
      </c>
      <c r="C472" s="9">
        <f>'01_Input_Raw_Products'!B472</f>
        <v>0</v>
      </c>
      <c r="D472" s="9">
        <f>IF(C472="","",TEXT(I472,"0.00")&amp;" Ct "&amp;IF('01_Input_Raw_Products'!F472&lt;&gt;"",'01_Input_Raw_Products'!F472,'01_Input_Raw_Products'!D472)&amp;" "&amp;'01_Input_Raw_Products'!I472)</f>
        <v>0</v>
      </c>
      <c r="E472" s="9">
        <f>IF(C472="","",D472&amp;" | GemPundit")</f>
        <v>0</v>
      </c>
      <c r="F472" s="9" cm="1">
        <f t="array" ref="F472">IF('01_Input_Raw_Products'!X472&lt;&gt;"",'01_Input_Raw_Products'!X472,IFERROR(_xlfn.XLOOKUP('01_Input_Raw_Products'!F472,'10_Master_Gem_Types'!A:A,'10_Master_Gem_Types'!O:O),LOWER(SUBSTITUTE(IF('01_Input_Raw_Products'!F472&lt;&gt;"",'01_Input_Raw_Products'!F472,'01_Input_Raw_Products'!D472)," ","-"))))</f>
        <v>0</v>
      </c>
      <c r="G472" s="9">
        <f>'01_Input_Raw_Products'!C472</f>
        <v>0</v>
      </c>
      <c r="H472" s="9" cm="1">
        <f t="array" ref="H472">IF('01_Input_Raw_Products'!H472&lt;&gt;"",'01_Input_Raw_Products'!H472,IFERROR(_xlfn.XLOOKUP('01_Input_Raw_Products'!F472,'10_Master_Gem_Types'!A:A,'10_Master_Gem_Types'!D:D),""))</f>
        <v>0</v>
      </c>
      <c r="I472" s="7">
        <f>IF('01_Input_Raw_Products'!N472&lt;&gt;"",'01_Input_Raw_Products'!N472,IF('01_Input_Raw_Products'!O472&lt;&gt;"",'01_Input_Raw_Products'!O472*0.91,""))</f>
        <v>0</v>
      </c>
      <c r="J472" s="9" cm="1">
        <f t="array" ref="J472">IFERROR(_xlfn.XLOOKUP('01_Input_Raw_Products'!F472,'10_Master_Gem_Types'!A:A,'10_Master_Gem_Types'!N:N),"")</f>
        <v>0</v>
      </c>
      <c r="K472" s="9" cm="1">
        <f t="array" ref="K472">IF('01_Input_Raw_Products'!J472&lt;&gt;"",'01_Input_Raw_Products'!J472,IFERROR(_xlfn.XLOOKUP('01_Input_Raw_Products'!F472,'10_Master_Gem_Types'!A:A,'10_Master_Gem_Types'!E:E),""))</f>
        <v>0</v>
      </c>
      <c r="L472" s="9">
        <f>'01_Input_Raw_Products'!P472</f>
        <v>0</v>
      </c>
      <c r="M472" s="9" cm="1">
        <f t="array" ref="M472">IFERROR(_xlfn.XLOOKUP('01_Input_Raw_Products'!K472,'12_Color_Mapping'!A:A,'12_Color_Mapping'!B:B),IFERROR(_xlfn.XLOOKUP('01_Input_Raw_Products'!F472,'10_Master_Gem_Types'!A:A,'10_Master_Gem_Types'!F:F),""))</f>
        <v>0</v>
      </c>
      <c r="N472" s="9">
        <f>IF(C472="","",IF('01_Input_Raw_Products'!F472&lt;&gt;"",'01_Input_Raw_Products'!F472,'01_Input_Raw_Products'!D472))</f>
        <v>0</v>
      </c>
      <c r="O472" s="9">
        <f>IF(C472="","","Catalog Automation")</f>
        <v>0</v>
      </c>
      <c r="P472" s="9">
        <f>'01_Input_Raw_Products'!U472</f>
        <v>0</v>
      </c>
      <c r="Q472" s="7">
        <f>IF('01_Input_Raw_Products'!O472&lt;&gt;"",'01_Input_Raw_Products'!O472,IF('01_Input_Raw_Products'!N472&lt;&gt;"",'01_Input_Raw_Products'!N472*1.1,""))</f>
        <v>0</v>
      </c>
      <c r="R472" s="9">
        <f>'01_Input_Raw_Products'!S472</f>
        <v>0</v>
      </c>
      <c r="S472" s="9" cm="1">
        <f t="array" ref="S472">IFERROR(_xlfn.XLOOKUP('01_Input_Raw_Products'!F472,'10_Master_Gem_Types'!A:A,'10_Master_Gem_Types'!H:H),"")</f>
        <v>0</v>
      </c>
      <c r="T472" s="8">
        <f>'01_Input_Raw_Products'!Q472</f>
        <v>0</v>
      </c>
      <c r="U472" s="8">
        <f>'01_Input_Raw_Products'!R472</f>
        <v>0</v>
      </c>
      <c r="V472" s="7">
        <f>I472</f>
        <v>0</v>
      </c>
      <c r="W472" s="9" cm="1">
        <f t="array" ref="W472">IF('01_Input_Raw_Products'!G472&lt;&gt;"",'01_Input_Raw_Products'!G472,IFERROR(_xlfn.XLOOKUP('01_Input_Raw_Products'!F472,'10_Master_Gem_Types'!A:A,'10_Master_Gem_Types'!L:L),""))</f>
        <v>0</v>
      </c>
      <c r="X472" s="9" cm="1">
        <f t="array" ref="X472">IFERROR(_xlfn.XLOOKUP('01_Input_Raw_Products'!F472,'10_Master_Gem_Types'!A:A,'10_Master_Gem_Types'!J:J),"")</f>
        <v>0</v>
      </c>
      <c r="Y472" s="9" cm="1">
        <f t="array" ref="Y472">IFERROR(_xlfn.XLOOKUP('01_Input_Raw_Products'!F472,'10_Master_Gem_Types'!A:A,'10_Master_Gem_Types'!I:I),"")</f>
        <v>0</v>
      </c>
      <c r="Z472" s="9" cm="1">
        <f t="array" ref="Z472">IFERROR(_xlfn.XLOOKUP('01_Input_Raw_Products'!L472,'13_Certification_Stickers'!A:A,'13_Certification_Stickers'!C:C),"")</f>
        <v>0</v>
      </c>
      <c r="AA472" s="9" cm="1">
        <f t="array" ref="AA472">IFERROR(_xlfn.XLOOKUP('01_Input_Raw_Products'!S472,'14_Shipping_Rules'!A:A,'14_Shipping_Rules'!B:B),"")</f>
        <v>0</v>
      </c>
      <c r="AB472" s="9" cm="1">
        <f t="array" ref="AB472">IFERROR(_xlfn.XLOOKUP('01_Input_Raw_Products'!D472,'16_Astro_Flags'!A:A,'16_Astro_Flags'!B:B),"")</f>
        <v>0</v>
      </c>
      <c r="AC472" s="9">
        <f>IF(C472="","","Catalog, Search")</f>
        <v>0</v>
      </c>
      <c r="AD472" s="9">
        <f>IF(C472="","",IF(OR(F472="",J472="",M472="",S472="",Y472=""),"Manual Review","Ready"))</f>
        <v>0</v>
      </c>
      <c r="AE472" s="9">
        <f>IF(C472="","",TEXTJOIN("; ",TRUE,IF(F472="","Missing url_key",""),IF(J472="","Missing classification",""),IF(M472="","Missing j_colour",""),IF(S472="","Missing hsn_code",""),IF(Y472="","Missing tax_class_id","")))</f>
        <v>0</v>
      </c>
    </row>
    <row r="473" spans="1:31">
      <c r="A473" s="9">
        <f>IF('01_Input_Raw_Products'!B473&lt;&gt;"",20,"")</f>
        <v>0</v>
      </c>
      <c r="B473" s="9" cm="1">
        <f t="array" ref="B473">IF('01_Input_Raw_Products'!M473&lt;&gt;"",'01_Input_Raw_Products'!M473,IFERROR(_xlfn.XLOOKUP('01_Input_Raw_Products'!F473,'10_Master_Gem_Types'!A:A,'10_Master_Gem_Types'!K:K),""))</f>
        <v>0</v>
      </c>
      <c r="C473" s="9">
        <f>'01_Input_Raw_Products'!B473</f>
        <v>0</v>
      </c>
      <c r="D473" s="9">
        <f>IF(C473="","",TEXT(I473,"0.00")&amp;" Ct "&amp;IF('01_Input_Raw_Products'!F473&lt;&gt;"",'01_Input_Raw_Products'!F473,'01_Input_Raw_Products'!D473)&amp;" "&amp;'01_Input_Raw_Products'!I473)</f>
        <v>0</v>
      </c>
      <c r="E473" s="9">
        <f>IF(C473="","",D473&amp;" | GemPundit")</f>
        <v>0</v>
      </c>
      <c r="F473" s="9" cm="1">
        <f t="array" ref="F473">IF('01_Input_Raw_Products'!X473&lt;&gt;"",'01_Input_Raw_Products'!X473,IFERROR(_xlfn.XLOOKUP('01_Input_Raw_Products'!F473,'10_Master_Gem_Types'!A:A,'10_Master_Gem_Types'!O:O),LOWER(SUBSTITUTE(IF('01_Input_Raw_Products'!F473&lt;&gt;"",'01_Input_Raw_Products'!F473,'01_Input_Raw_Products'!D473)," ","-"))))</f>
        <v>0</v>
      </c>
      <c r="G473" s="9">
        <f>'01_Input_Raw_Products'!C473</f>
        <v>0</v>
      </c>
      <c r="H473" s="9" cm="1">
        <f t="array" ref="H473">IF('01_Input_Raw_Products'!H473&lt;&gt;"",'01_Input_Raw_Products'!H473,IFERROR(_xlfn.XLOOKUP('01_Input_Raw_Products'!F473,'10_Master_Gem_Types'!A:A,'10_Master_Gem_Types'!D:D),""))</f>
        <v>0</v>
      </c>
      <c r="I473" s="7">
        <f>IF('01_Input_Raw_Products'!N473&lt;&gt;"",'01_Input_Raw_Products'!N473,IF('01_Input_Raw_Products'!O473&lt;&gt;"",'01_Input_Raw_Products'!O473*0.91,""))</f>
        <v>0</v>
      </c>
      <c r="J473" s="9" cm="1">
        <f t="array" ref="J473">IFERROR(_xlfn.XLOOKUP('01_Input_Raw_Products'!F473,'10_Master_Gem_Types'!A:A,'10_Master_Gem_Types'!N:N),"")</f>
        <v>0</v>
      </c>
      <c r="K473" s="9" cm="1">
        <f t="array" ref="K473">IF('01_Input_Raw_Products'!J473&lt;&gt;"",'01_Input_Raw_Products'!J473,IFERROR(_xlfn.XLOOKUP('01_Input_Raw_Products'!F473,'10_Master_Gem_Types'!A:A,'10_Master_Gem_Types'!E:E),""))</f>
        <v>0</v>
      </c>
      <c r="L473" s="9">
        <f>'01_Input_Raw_Products'!P473</f>
        <v>0</v>
      </c>
      <c r="M473" s="9" cm="1">
        <f t="array" ref="M473">IFERROR(_xlfn.XLOOKUP('01_Input_Raw_Products'!K473,'12_Color_Mapping'!A:A,'12_Color_Mapping'!B:B),IFERROR(_xlfn.XLOOKUP('01_Input_Raw_Products'!F473,'10_Master_Gem_Types'!A:A,'10_Master_Gem_Types'!F:F),""))</f>
        <v>0</v>
      </c>
      <c r="N473" s="9">
        <f>IF(C473="","",IF('01_Input_Raw_Products'!F473&lt;&gt;"",'01_Input_Raw_Products'!F473,'01_Input_Raw_Products'!D473))</f>
        <v>0</v>
      </c>
      <c r="O473" s="9">
        <f>IF(C473="","","Catalog Automation")</f>
        <v>0</v>
      </c>
      <c r="P473" s="9">
        <f>'01_Input_Raw_Products'!U473</f>
        <v>0</v>
      </c>
      <c r="Q473" s="7">
        <f>IF('01_Input_Raw_Products'!O473&lt;&gt;"",'01_Input_Raw_Products'!O473,IF('01_Input_Raw_Products'!N473&lt;&gt;"",'01_Input_Raw_Products'!N473*1.1,""))</f>
        <v>0</v>
      </c>
      <c r="R473" s="9">
        <f>'01_Input_Raw_Products'!S473</f>
        <v>0</v>
      </c>
      <c r="S473" s="9" cm="1">
        <f t="array" ref="S473">IFERROR(_xlfn.XLOOKUP('01_Input_Raw_Products'!F473,'10_Master_Gem_Types'!A:A,'10_Master_Gem_Types'!H:H),"")</f>
        <v>0</v>
      </c>
      <c r="T473" s="8">
        <f>'01_Input_Raw_Products'!Q473</f>
        <v>0</v>
      </c>
      <c r="U473" s="8">
        <f>'01_Input_Raw_Products'!R473</f>
        <v>0</v>
      </c>
      <c r="V473" s="7">
        <f>I473</f>
        <v>0</v>
      </c>
      <c r="W473" s="9" cm="1">
        <f t="array" ref="W473">IF('01_Input_Raw_Products'!G473&lt;&gt;"",'01_Input_Raw_Products'!G473,IFERROR(_xlfn.XLOOKUP('01_Input_Raw_Products'!F473,'10_Master_Gem_Types'!A:A,'10_Master_Gem_Types'!L:L),""))</f>
        <v>0</v>
      </c>
      <c r="X473" s="9" cm="1">
        <f t="array" ref="X473">IFERROR(_xlfn.XLOOKUP('01_Input_Raw_Products'!F473,'10_Master_Gem_Types'!A:A,'10_Master_Gem_Types'!J:J),"")</f>
        <v>0</v>
      </c>
      <c r="Y473" s="9" cm="1">
        <f t="array" ref="Y473">IFERROR(_xlfn.XLOOKUP('01_Input_Raw_Products'!F473,'10_Master_Gem_Types'!A:A,'10_Master_Gem_Types'!I:I),"")</f>
        <v>0</v>
      </c>
      <c r="Z473" s="9" cm="1">
        <f t="array" ref="Z473">IFERROR(_xlfn.XLOOKUP('01_Input_Raw_Products'!L473,'13_Certification_Stickers'!A:A,'13_Certification_Stickers'!C:C),"")</f>
        <v>0</v>
      </c>
      <c r="AA473" s="9" cm="1">
        <f t="array" ref="AA473">IFERROR(_xlfn.XLOOKUP('01_Input_Raw_Products'!S473,'14_Shipping_Rules'!A:A,'14_Shipping_Rules'!B:B),"")</f>
        <v>0</v>
      </c>
      <c r="AB473" s="9" cm="1">
        <f t="array" ref="AB473">IFERROR(_xlfn.XLOOKUP('01_Input_Raw_Products'!D473,'16_Astro_Flags'!A:A,'16_Astro_Flags'!B:B),"")</f>
        <v>0</v>
      </c>
      <c r="AC473" s="9">
        <f>IF(C473="","","Catalog, Search")</f>
        <v>0</v>
      </c>
      <c r="AD473" s="9">
        <f>IF(C473="","",IF(OR(F473="",J473="",M473="",S473="",Y473=""),"Manual Review","Ready"))</f>
        <v>0</v>
      </c>
      <c r="AE473" s="9">
        <f>IF(C473="","",TEXTJOIN("; ",TRUE,IF(F473="","Missing url_key",""),IF(J473="","Missing classification",""),IF(M473="","Missing j_colour",""),IF(S473="","Missing hsn_code",""),IF(Y473="","Missing tax_class_id","")))</f>
        <v>0</v>
      </c>
    </row>
    <row r="474" spans="1:31">
      <c r="A474" s="9">
        <f>IF('01_Input_Raw_Products'!B474&lt;&gt;"",20,"")</f>
        <v>0</v>
      </c>
      <c r="B474" s="9" cm="1">
        <f t="array" ref="B474">IF('01_Input_Raw_Products'!M474&lt;&gt;"",'01_Input_Raw_Products'!M474,IFERROR(_xlfn.XLOOKUP('01_Input_Raw_Products'!F474,'10_Master_Gem_Types'!A:A,'10_Master_Gem_Types'!K:K),""))</f>
        <v>0</v>
      </c>
      <c r="C474" s="9">
        <f>'01_Input_Raw_Products'!B474</f>
        <v>0</v>
      </c>
      <c r="D474" s="9">
        <f>IF(C474="","",TEXT(I474,"0.00")&amp;" Ct "&amp;IF('01_Input_Raw_Products'!F474&lt;&gt;"",'01_Input_Raw_Products'!F474,'01_Input_Raw_Products'!D474)&amp;" "&amp;'01_Input_Raw_Products'!I474)</f>
        <v>0</v>
      </c>
      <c r="E474" s="9">
        <f>IF(C474="","",D474&amp;" | GemPundit")</f>
        <v>0</v>
      </c>
      <c r="F474" s="9" cm="1">
        <f t="array" ref="F474">IF('01_Input_Raw_Products'!X474&lt;&gt;"",'01_Input_Raw_Products'!X474,IFERROR(_xlfn.XLOOKUP('01_Input_Raw_Products'!F474,'10_Master_Gem_Types'!A:A,'10_Master_Gem_Types'!O:O),LOWER(SUBSTITUTE(IF('01_Input_Raw_Products'!F474&lt;&gt;"",'01_Input_Raw_Products'!F474,'01_Input_Raw_Products'!D474)," ","-"))))</f>
        <v>0</v>
      </c>
      <c r="G474" s="9">
        <f>'01_Input_Raw_Products'!C474</f>
        <v>0</v>
      </c>
      <c r="H474" s="9" cm="1">
        <f t="array" ref="H474">IF('01_Input_Raw_Products'!H474&lt;&gt;"",'01_Input_Raw_Products'!H474,IFERROR(_xlfn.XLOOKUP('01_Input_Raw_Products'!F474,'10_Master_Gem_Types'!A:A,'10_Master_Gem_Types'!D:D),""))</f>
        <v>0</v>
      </c>
      <c r="I474" s="7">
        <f>IF('01_Input_Raw_Products'!N474&lt;&gt;"",'01_Input_Raw_Products'!N474,IF('01_Input_Raw_Products'!O474&lt;&gt;"",'01_Input_Raw_Products'!O474*0.91,""))</f>
        <v>0</v>
      </c>
      <c r="J474" s="9" cm="1">
        <f t="array" ref="J474">IFERROR(_xlfn.XLOOKUP('01_Input_Raw_Products'!F474,'10_Master_Gem_Types'!A:A,'10_Master_Gem_Types'!N:N),"")</f>
        <v>0</v>
      </c>
      <c r="K474" s="9" cm="1">
        <f t="array" ref="K474">IF('01_Input_Raw_Products'!J474&lt;&gt;"",'01_Input_Raw_Products'!J474,IFERROR(_xlfn.XLOOKUP('01_Input_Raw_Products'!F474,'10_Master_Gem_Types'!A:A,'10_Master_Gem_Types'!E:E),""))</f>
        <v>0</v>
      </c>
      <c r="L474" s="9">
        <f>'01_Input_Raw_Products'!P474</f>
        <v>0</v>
      </c>
      <c r="M474" s="9" cm="1">
        <f t="array" ref="M474">IFERROR(_xlfn.XLOOKUP('01_Input_Raw_Products'!K474,'12_Color_Mapping'!A:A,'12_Color_Mapping'!B:B),IFERROR(_xlfn.XLOOKUP('01_Input_Raw_Products'!F474,'10_Master_Gem_Types'!A:A,'10_Master_Gem_Types'!F:F),""))</f>
        <v>0</v>
      </c>
      <c r="N474" s="9">
        <f>IF(C474="","",IF('01_Input_Raw_Products'!F474&lt;&gt;"",'01_Input_Raw_Products'!F474,'01_Input_Raw_Products'!D474))</f>
        <v>0</v>
      </c>
      <c r="O474" s="9">
        <f>IF(C474="","","Catalog Automation")</f>
        <v>0</v>
      </c>
      <c r="P474" s="9">
        <f>'01_Input_Raw_Products'!U474</f>
        <v>0</v>
      </c>
      <c r="Q474" s="7">
        <f>IF('01_Input_Raw_Products'!O474&lt;&gt;"",'01_Input_Raw_Products'!O474,IF('01_Input_Raw_Products'!N474&lt;&gt;"",'01_Input_Raw_Products'!N474*1.1,""))</f>
        <v>0</v>
      </c>
      <c r="R474" s="9">
        <f>'01_Input_Raw_Products'!S474</f>
        <v>0</v>
      </c>
      <c r="S474" s="9" cm="1">
        <f t="array" ref="S474">IFERROR(_xlfn.XLOOKUP('01_Input_Raw_Products'!F474,'10_Master_Gem_Types'!A:A,'10_Master_Gem_Types'!H:H),"")</f>
        <v>0</v>
      </c>
      <c r="T474" s="8">
        <f>'01_Input_Raw_Products'!Q474</f>
        <v>0</v>
      </c>
      <c r="U474" s="8">
        <f>'01_Input_Raw_Products'!R474</f>
        <v>0</v>
      </c>
      <c r="V474" s="7">
        <f>I474</f>
        <v>0</v>
      </c>
      <c r="W474" s="9" cm="1">
        <f t="array" ref="W474">IF('01_Input_Raw_Products'!G474&lt;&gt;"",'01_Input_Raw_Products'!G474,IFERROR(_xlfn.XLOOKUP('01_Input_Raw_Products'!F474,'10_Master_Gem_Types'!A:A,'10_Master_Gem_Types'!L:L),""))</f>
        <v>0</v>
      </c>
      <c r="X474" s="9" cm="1">
        <f t="array" ref="X474">IFERROR(_xlfn.XLOOKUP('01_Input_Raw_Products'!F474,'10_Master_Gem_Types'!A:A,'10_Master_Gem_Types'!J:J),"")</f>
        <v>0</v>
      </c>
      <c r="Y474" s="9" cm="1">
        <f t="array" ref="Y474">IFERROR(_xlfn.XLOOKUP('01_Input_Raw_Products'!F474,'10_Master_Gem_Types'!A:A,'10_Master_Gem_Types'!I:I),"")</f>
        <v>0</v>
      </c>
      <c r="Z474" s="9" cm="1">
        <f t="array" ref="Z474">IFERROR(_xlfn.XLOOKUP('01_Input_Raw_Products'!L474,'13_Certification_Stickers'!A:A,'13_Certification_Stickers'!C:C),"")</f>
        <v>0</v>
      </c>
      <c r="AA474" s="9" cm="1">
        <f t="array" ref="AA474">IFERROR(_xlfn.XLOOKUP('01_Input_Raw_Products'!S474,'14_Shipping_Rules'!A:A,'14_Shipping_Rules'!B:B),"")</f>
        <v>0</v>
      </c>
      <c r="AB474" s="9" cm="1">
        <f t="array" ref="AB474">IFERROR(_xlfn.XLOOKUP('01_Input_Raw_Products'!D474,'16_Astro_Flags'!A:A,'16_Astro_Flags'!B:B),"")</f>
        <v>0</v>
      </c>
      <c r="AC474" s="9">
        <f>IF(C474="","","Catalog, Search")</f>
        <v>0</v>
      </c>
      <c r="AD474" s="9">
        <f>IF(C474="","",IF(OR(F474="",J474="",M474="",S474="",Y474=""),"Manual Review","Ready"))</f>
        <v>0</v>
      </c>
      <c r="AE474" s="9">
        <f>IF(C474="","",TEXTJOIN("; ",TRUE,IF(F474="","Missing url_key",""),IF(J474="","Missing classification",""),IF(M474="","Missing j_colour",""),IF(S474="","Missing hsn_code",""),IF(Y474="","Missing tax_class_id","")))</f>
        <v>0</v>
      </c>
    </row>
    <row r="475" spans="1:31">
      <c r="A475" s="9">
        <f>IF('01_Input_Raw_Products'!B475&lt;&gt;"",20,"")</f>
        <v>0</v>
      </c>
      <c r="B475" s="9" cm="1">
        <f t="array" ref="B475">IF('01_Input_Raw_Products'!M475&lt;&gt;"",'01_Input_Raw_Products'!M475,IFERROR(_xlfn.XLOOKUP('01_Input_Raw_Products'!F475,'10_Master_Gem_Types'!A:A,'10_Master_Gem_Types'!K:K),""))</f>
        <v>0</v>
      </c>
      <c r="C475" s="9">
        <f>'01_Input_Raw_Products'!B475</f>
        <v>0</v>
      </c>
      <c r="D475" s="9">
        <f>IF(C475="","",TEXT(I475,"0.00")&amp;" Ct "&amp;IF('01_Input_Raw_Products'!F475&lt;&gt;"",'01_Input_Raw_Products'!F475,'01_Input_Raw_Products'!D475)&amp;" "&amp;'01_Input_Raw_Products'!I475)</f>
        <v>0</v>
      </c>
      <c r="E475" s="9">
        <f>IF(C475="","",D475&amp;" | GemPundit")</f>
        <v>0</v>
      </c>
      <c r="F475" s="9" cm="1">
        <f t="array" ref="F475">IF('01_Input_Raw_Products'!X475&lt;&gt;"",'01_Input_Raw_Products'!X475,IFERROR(_xlfn.XLOOKUP('01_Input_Raw_Products'!F475,'10_Master_Gem_Types'!A:A,'10_Master_Gem_Types'!O:O),LOWER(SUBSTITUTE(IF('01_Input_Raw_Products'!F475&lt;&gt;"",'01_Input_Raw_Products'!F475,'01_Input_Raw_Products'!D475)," ","-"))))</f>
        <v>0</v>
      </c>
      <c r="G475" s="9">
        <f>'01_Input_Raw_Products'!C475</f>
        <v>0</v>
      </c>
      <c r="H475" s="9" cm="1">
        <f t="array" ref="H475">IF('01_Input_Raw_Products'!H475&lt;&gt;"",'01_Input_Raw_Products'!H475,IFERROR(_xlfn.XLOOKUP('01_Input_Raw_Products'!F475,'10_Master_Gem_Types'!A:A,'10_Master_Gem_Types'!D:D),""))</f>
        <v>0</v>
      </c>
      <c r="I475" s="7">
        <f>IF('01_Input_Raw_Products'!N475&lt;&gt;"",'01_Input_Raw_Products'!N475,IF('01_Input_Raw_Products'!O475&lt;&gt;"",'01_Input_Raw_Products'!O475*0.91,""))</f>
        <v>0</v>
      </c>
      <c r="J475" s="9" cm="1">
        <f t="array" ref="J475">IFERROR(_xlfn.XLOOKUP('01_Input_Raw_Products'!F475,'10_Master_Gem_Types'!A:A,'10_Master_Gem_Types'!N:N),"")</f>
        <v>0</v>
      </c>
      <c r="K475" s="9" cm="1">
        <f t="array" ref="K475">IF('01_Input_Raw_Products'!J475&lt;&gt;"",'01_Input_Raw_Products'!J475,IFERROR(_xlfn.XLOOKUP('01_Input_Raw_Products'!F475,'10_Master_Gem_Types'!A:A,'10_Master_Gem_Types'!E:E),""))</f>
        <v>0</v>
      </c>
      <c r="L475" s="9">
        <f>'01_Input_Raw_Products'!P475</f>
        <v>0</v>
      </c>
      <c r="M475" s="9" cm="1">
        <f t="array" ref="M475">IFERROR(_xlfn.XLOOKUP('01_Input_Raw_Products'!K475,'12_Color_Mapping'!A:A,'12_Color_Mapping'!B:B),IFERROR(_xlfn.XLOOKUP('01_Input_Raw_Products'!F475,'10_Master_Gem_Types'!A:A,'10_Master_Gem_Types'!F:F),""))</f>
        <v>0</v>
      </c>
      <c r="N475" s="9">
        <f>IF(C475="","",IF('01_Input_Raw_Products'!F475&lt;&gt;"",'01_Input_Raw_Products'!F475,'01_Input_Raw_Products'!D475))</f>
        <v>0</v>
      </c>
      <c r="O475" s="9">
        <f>IF(C475="","","Catalog Automation")</f>
        <v>0</v>
      </c>
      <c r="P475" s="9">
        <f>'01_Input_Raw_Products'!U475</f>
        <v>0</v>
      </c>
      <c r="Q475" s="7">
        <f>IF('01_Input_Raw_Products'!O475&lt;&gt;"",'01_Input_Raw_Products'!O475,IF('01_Input_Raw_Products'!N475&lt;&gt;"",'01_Input_Raw_Products'!N475*1.1,""))</f>
        <v>0</v>
      </c>
      <c r="R475" s="9">
        <f>'01_Input_Raw_Products'!S475</f>
        <v>0</v>
      </c>
      <c r="S475" s="9" cm="1">
        <f t="array" ref="S475">IFERROR(_xlfn.XLOOKUP('01_Input_Raw_Products'!F475,'10_Master_Gem_Types'!A:A,'10_Master_Gem_Types'!H:H),"")</f>
        <v>0</v>
      </c>
      <c r="T475" s="8">
        <f>'01_Input_Raw_Products'!Q475</f>
        <v>0</v>
      </c>
      <c r="U475" s="8">
        <f>'01_Input_Raw_Products'!R475</f>
        <v>0</v>
      </c>
      <c r="V475" s="7">
        <f>I475</f>
        <v>0</v>
      </c>
      <c r="W475" s="9" cm="1">
        <f t="array" ref="W475">IF('01_Input_Raw_Products'!G475&lt;&gt;"",'01_Input_Raw_Products'!G475,IFERROR(_xlfn.XLOOKUP('01_Input_Raw_Products'!F475,'10_Master_Gem_Types'!A:A,'10_Master_Gem_Types'!L:L),""))</f>
        <v>0</v>
      </c>
      <c r="X475" s="9" cm="1">
        <f t="array" ref="X475">IFERROR(_xlfn.XLOOKUP('01_Input_Raw_Products'!F475,'10_Master_Gem_Types'!A:A,'10_Master_Gem_Types'!J:J),"")</f>
        <v>0</v>
      </c>
      <c r="Y475" s="9" cm="1">
        <f t="array" ref="Y475">IFERROR(_xlfn.XLOOKUP('01_Input_Raw_Products'!F475,'10_Master_Gem_Types'!A:A,'10_Master_Gem_Types'!I:I),"")</f>
        <v>0</v>
      </c>
      <c r="Z475" s="9" cm="1">
        <f t="array" ref="Z475">IFERROR(_xlfn.XLOOKUP('01_Input_Raw_Products'!L475,'13_Certification_Stickers'!A:A,'13_Certification_Stickers'!C:C),"")</f>
        <v>0</v>
      </c>
      <c r="AA475" s="9" cm="1">
        <f t="array" ref="AA475">IFERROR(_xlfn.XLOOKUP('01_Input_Raw_Products'!S475,'14_Shipping_Rules'!A:A,'14_Shipping_Rules'!B:B),"")</f>
        <v>0</v>
      </c>
      <c r="AB475" s="9" cm="1">
        <f t="array" ref="AB475">IFERROR(_xlfn.XLOOKUP('01_Input_Raw_Products'!D475,'16_Astro_Flags'!A:A,'16_Astro_Flags'!B:B),"")</f>
        <v>0</v>
      </c>
      <c r="AC475" s="9">
        <f>IF(C475="","","Catalog, Search")</f>
        <v>0</v>
      </c>
      <c r="AD475" s="9">
        <f>IF(C475="","",IF(OR(F475="",J475="",M475="",S475="",Y475=""),"Manual Review","Ready"))</f>
        <v>0</v>
      </c>
      <c r="AE475" s="9">
        <f>IF(C475="","",TEXTJOIN("; ",TRUE,IF(F475="","Missing url_key",""),IF(J475="","Missing classification",""),IF(M475="","Missing j_colour",""),IF(S475="","Missing hsn_code",""),IF(Y475="","Missing tax_class_id","")))</f>
        <v>0</v>
      </c>
    </row>
    <row r="476" spans="1:31">
      <c r="A476" s="9">
        <f>IF('01_Input_Raw_Products'!B476&lt;&gt;"",20,"")</f>
        <v>0</v>
      </c>
      <c r="B476" s="9" cm="1">
        <f t="array" ref="B476">IF('01_Input_Raw_Products'!M476&lt;&gt;"",'01_Input_Raw_Products'!M476,IFERROR(_xlfn.XLOOKUP('01_Input_Raw_Products'!F476,'10_Master_Gem_Types'!A:A,'10_Master_Gem_Types'!K:K),""))</f>
        <v>0</v>
      </c>
      <c r="C476" s="9">
        <f>'01_Input_Raw_Products'!B476</f>
        <v>0</v>
      </c>
      <c r="D476" s="9">
        <f>IF(C476="","",TEXT(I476,"0.00")&amp;" Ct "&amp;IF('01_Input_Raw_Products'!F476&lt;&gt;"",'01_Input_Raw_Products'!F476,'01_Input_Raw_Products'!D476)&amp;" "&amp;'01_Input_Raw_Products'!I476)</f>
        <v>0</v>
      </c>
      <c r="E476" s="9">
        <f>IF(C476="","",D476&amp;" | GemPundit")</f>
        <v>0</v>
      </c>
      <c r="F476" s="9" cm="1">
        <f t="array" ref="F476">IF('01_Input_Raw_Products'!X476&lt;&gt;"",'01_Input_Raw_Products'!X476,IFERROR(_xlfn.XLOOKUP('01_Input_Raw_Products'!F476,'10_Master_Gem_Types'!A:A,'10_Master_Gem_Types'!O:O),LOWER(SUBSTITUTE(IF('01_Input_Raw_Products'!F476&lt;&gt;"",'01_Input_Raw_Products'!F476,'01_Input_Raw_Products'!D476)," ","-"))))</f>
        <v>0</v>
      </c>
      <c r="G476" s="9">
        <f>'01_Input_Raw_Products'!C476</f>
        <v>0</v>
      </c>
      <c r="H476" s="9" cm="1">
        <f t="array" ref="H476">IF('01_Input_Raw_Products'!H476&lt;&gt;"",'01_Input_Raw_Products'!H476,IFERROR(_xlfn.XLOOKUP('01_Input_Raw_Products'!F476,'10_Master_Gem_Types'!A:A,'10_Master_Gem_Types'!D:D),""))</f>
        <v>0</v>
      </c>
      <c r="I476" s="7">
        <f>IF('01_Input_Raw_Products'!N476&lt;&gt;"",'01_Input_Raw_Products'!N476,IF('01_Input_Raw_Products'!O476&lt;&gt;"",'01_Input_Raw_Products'!O476*0.91,""))</f>
        <v>0</v>
      </c>
      <c r="J476" s="9" cm="1">
        <f t="array" ref="J476">IFERROR(_xlfn.XLOOKUP('01_Input_Raw_Products'!F476,'10_Master_Gem_Types'!A:A,'10_Master_Gem_Types'!N:N),"")</f>
        <v>0</v>
      </c>
      <c r="K476" s="9" cm="1">
        <f t="array" ref="K476">IF('01_Input_Raw_Products'!J476&lt;&gt;"",'01_Input_Raw_Products'!J476,IFERROR(_xlfn.XLOOKUP('01_Input_Raw_Products'!F476,'10_Master_Gem_Types'!A:A,'10_Master_Gem_Types'!E:E),""))</f>
        <v>0</v>
      </c>
      <c r="L476" s="9">
        <f>'01_Input_Raw_Products'!P476</f>
        <v>0</v>
      </c>
      <c r="M476" s="9" cm="1">
        <f t="array" ref="M476">IFERROR(_xlfn.XLOOKUP('01_Input_Raw_Products'!K476,'12_Color_Mapping'!A:A,'12_Color_Mapping'!B:B),IFERROR(_xlfn.XLOOKUP('01_Input_Raw_Products'!F476,'10_Master_Gem_Types'!A:A,'10_Master_Gem_Types'!F:F),""))</f>
        <v>0</v>
      </c>
      <c r="N476" s="9">
        <f>IF(C476="","",IF('01_Input_Raw_Products'!F476&lt;&gt;"",'01_Input_Raw_Products'!F476,'01_Input_Raw_Products'!D476))</f>
        <v>0</v>
      </c>
      <c r="O476" s="9">
        <f>IF(C476="","","Catalog Automation")</f>
        <v>0</v>
      </c>
      <c r="P476" s="9">
        <f>'01_Input_Raw_Products'!U476</f>
        <v>0</v>
      </c>
      <c r="Q476" s="7">
        <f>IF('01_Input_Raw_Products'!O476&lt;&gt;"",'01_Input_Raw_Products'!O476,IF('01_Input_Raw_Products'!N476&lt;&gt;"",'01_Input_Raw_Products'!N476*1.1,""))</f>
        <v>0</v>
      </c>
      <c r="R476" s="9">
        <f>'01_Input_Raw_Products'!S476</f>
        <v>0</v>
      </c>
      <c r="S476" s="9" cm="1">
        <f t="array" ref="S476">IFERROR(_xlfn.XLOOKUP('01_Input_Raw_Products'!F476,'10_Master_Gem_Types'!A:A,'10_Master_Gem_Types'!H:H),"")</f>
        <v>0</v>
      </c>
      <c r="T476" s="8">
        <f>'01_Input_Raw_Products'!Q476</f>
        <v>0</v>
      </c>
      <c r="U476" s="8">
        <f>'01_Input_Raw_Products'!R476</f>
        <v>0</v>
      </c>
      <c r="V476" s="7">
        <f>I476</f>
        <v>0</v>
      </c>
      <c r="W476" s="9" cm="1">
        <f t="array" ref="W476">IF('01_Input_Raw_Products'!G476&lt;&gt;"",'01_Input_Raw_Products'!G476,IFERROR(_xlfn.XLOOKUP('01_Input_Raw_Products'!F476,'10_Master_Gem_Types'!A:A,'10_Master_Gem_Types'!L:L),""))</f>
        <v>0</v>
      </c>
      <c r="X476" s="9" cm="1">
        <f t="array" ref="X476">IFERROR(_xlfn.XLOOKUP('01_Input_Raw_Products'!F476,'10_Master_Gem_Types'!A:A,'10_Master_Gem_Types'!J:J),"")</f>
        <v>0</v>
      </c>
      <c r="Y476" s="9" cm="1">
        <f t="array" ref="Y476">IFERROR(_xlfn.XLOOKUP('01_Input_Raw_Products'!F476,'10_Master_Gem_Types'!A:A,'10_Master_Gem_Types'!I:I),"")</f>
        <v>0</v>
      </c>
      <c r="Z476" s="9" cm="1">
        <f t="array" ref="Z476">IFERROR(_xlfn.XLOOKUP('01_Input_Raw_Products'!L476,'13_Certification_Stickers'!A:A,'13_Certification_Stickers'!C:C),"")</f>
        <v>0</v>
      </c>
      <c r="AA476" s="9" cm="1">
        <f t="array" ref="AA476">IFERROR(_xlfn.XLOOKUP('01_Input_Raw_Products'!S476,'14_Shipping_Rules'!A:A,'14_Shipping_Rules'!B:B),"")</f>
        <v>0</v>
      </c>
      <c r="AB476" s="9" cm="1">
        <f t="array" ref="AB476">IFERROR(_xlfn.XLOOKUP('01_Input_Raw_Products'!D476,'16_Astro_Flags'!A:A,'16_Astro_Flags'!B:B),"")</f>
        <v>0</v>
      </c>
      <c r="AC476" s="9">
        <f>IF(C476="","","Catalog, Search")</f>
        <v>0</v>
      </c>
      <c r="AD476" s="9">
        <f>IF(C476="","",IF(OR(F476="",J476="",M476="",S476="",Y476=""),"Manual Review","Ready"))</f>
        <v>0</v>
      </c>
      <c r="AE476" s="9">
        <f>IF(C476="","",TEXTJOIN("; ",TRUE,IF(F476="","Missing url_key",""),IF(J476="","Missing classification",""),IF(M476="","Missing j_colour",""),IF(S476="","Missing hsn_code",""),IF(Y476="","Missing tax_class_id","")))</f>
        <v>0</v>
      </c>
    </row>
    <row r="477" spans="1:31">
      <c r="A477" s="9">
        <f>IF('01_Input_Raw_Products'!B477&lt;&gt;"",20,"")</f>
        <v>0</v>
      </c>
      <c r="B477" s="9" cm="1">
        <f t="array" ref="B477">IF('01_Input_Raw_Products'!M477&lt;&gt;"",'01_Input_Raw_Products'!M477,IFERROR(_xlfn.XLOOKUP('01_Input_Raw_Products'!F477,'10_Master_Gem_Types'!A:A,'10_Master_Gem_Types'!K:K),""))</f>
        <v>0</v>
      </c>
      <c r="C477" s="9">
        <f>'01_Input_Raw_Products'!B477</f>
        <v>0</v>
      </c>
      <c r="D477" s="9">
        <f>IF(C477="","",TEXT(I477,"0.00")&amp;" Ct "&amp;IF('01_Input_Raw_Products'!F477&lt;&gt;"",'01_Input_Raw_Products'!F477,'01_Input_Raw_Products'!D477)&amp;" "&amp;'01_Input_Raw_Products'!I477)</f>
        <v>0</v>
      </c>
      <c r="E477" s="9">
        <f>IF(C477="","",D477&amp;" | GemPundit")</f>
        <v>0</v>
      </c>
      <c r="F477" s="9" cm="1">
        <f t="array" ref="F477">IF('01_Input_Raw_Products'!X477&lt;&gt;"",'01_Input_Raw_Products'!X477,IFERROR(_xlfn.XLOOKUP('01_Input_Raw_Products'!F477,'10_Master_Gem_Types'!A:A,'10_Master_Gem_Types'!O:O),LOWER(SUBSTITUTE(IF('01_Input_Raw_Products'!F477&lt;&gt;"",'01_Input_Raw_Products'!F477,'01_Input_Raw_Products'!D477)," ","-"))))</f>
        <v>0</v>
      </c>
      <c r="G477" s="9">
        <f>'01_Input_Raw_Products'!C477</f>
        <v>0</v>
      </c>
      <c r="H477" s="9" cm="1">
        <f t="array" ref="H477">IF('01_Input_Raw_Products'!H477&lt;&gt;"",'01_Input_Raw_Products'!H477,IFERROR(_xlfn.XLOOKUP('01_Input_Raw_Products'!F477,'10_Master_Gem_Types'!A:A,'10_Master_Gem_Types'!D:D),""))</f>
        <v>0</v>
      </c>
      <c r="I477" s="7">
        <f>IF('01_Input_Raw_Products'!N477&lt;&gt;"",'01_Input_Raw_Products'!N477,IF('01_Input_Raw_Products'!O477&lt;&gt;"",'01_Input_Raw_Products'!O477*0.91,""))</f>
        <v>0</v>
      </c>
      <c r="J477" s="9" cm="1">
        <f t="array" ref="J477">IFERROR(_xlfn.XLOOKUP('01_Input_Raw_Products'!F477,'10_Master_Gem_Types'!A:A,'10_Master_Gem_Types'!N:N),"")</f>
        <v>0</v>
      </c>
      <c r="K477" s="9" cm="1">
        <f t="array" ref="K477">IF('01_Input_Raw_Products'!J477&lt;&gt;"",'01_Input_Raw_Products'!J477,IFERROR(_xlfn.XLOOKUP('01_Input_Raw_Products'!F477,'10_Master_Gem_Types'!A:A,'10_Master_Gem_Types'!E:E),""))</f>
        <v>0</v>
      </c>
      <c r="L477" s="9">
        <f>'01_Input_Raw_Products'!P477</f>
        <v>0</v>
      </c>
      <c r="M477" s="9" cm="1">
        <f t="array" ref="M477">IFERROR(_xlfn.XLOOKUP('01_Input_Raw_Products'!K477,'12_Color_Mapping'!A:A,'12_Color_Mapping'!B:B),IFERROR(_xlfn.XLOOKUP('01_Input_Raw_Products'!F477,'10_Master_Gem_Types'!A:A,'10_Master_Gem_Types'!F:F),""))</f>
        <v>0</v>
      </c>
      <c r="N477" s="9">
        <f>IF(C477="","",IF('01_Input_Raw_Products'!F477&lt;&gt;"",'01_Input_Raw_Products'!F477,'01_Input_Raw_Products'!D477))</f>
        <v>0</v>
      </c>
      <c r="O477" s="9">
        <f>IF(C477="","","Catalog Automation")</f>
        <v>0</v>
      </c>
      <c r="P477" s="9">
        <f>'01_Input_Raw_Products'!U477</f>
        <v>0</v>
      </c>
      <c r="Q477" s="7">
        <f>IF('01_Input_Raw_Products'!O477&lt;&gt;"",'01_Input_Raw_Products'!O477,IF('01_Input_Raw_Products'!N477&lt;&gt;"",'01_Input_Raw_Products'!N477*1.1,""))</f>
        <v>0</v>
      </c>
      <c r="R477" s="9">
        <f>'01_Input_Raw_Products'!S477</f>
        <v>0</v>
      </c>
      <c r="S477" s="9" cm="1">
        <f t="array" ref="S477">IFERROR(_xlfn.XLOOKUP('01_Input_Raw_Products'!F477,'10_Master_Gem_Types'!A:A,'10_Master_Gem_Types'!H:H),"")</f>
        <v>0</v>
      </c>
      <c r="T477" s="8">
        <f>'01_Input_Raw_Products'!Q477</f>
        <v>0</v>
      </c>
      <c r="U477" s="8">
        <f>'01_Input_Raw_Products'!R477</f>
        <v>0</v>
      </c>
      <c r="V477" s="7">
        <f>I477</f>
        <v>0</v>
      </c>
      <c r="W477" s="9" cm="1">
        <f t="array" ref="W477">IF('01_Input_Raw_Products'!G477&lt;&gt;"",'01_Input_Raw_Products'!G477,IFERROR(_xlfn.XLOOKUP('01_Input_Raw_Products'!F477,'10_Master_Gem_Types'!A:A,'10_Master_Gem_Types'!L:L),""))</f>
        <v>0</v>
      </c>
      <c r="X477" s="9" cm="1">
        <f t="array" ref="X477">IFERROR(_xlfn.XLOOKUP('01_Input_Raw_Products'!F477,'10_Master_Gem_Types'!A:A,'10_Master_Gem_Types'!J:J),"")</f>
        <v>0</v>
      </c>
      <c r="Y477" s="9" cm="1">
        <f t="array" ref="Y477">IFERROR(_xlfn.XLOOKUP('01_Input_Raw_Products'!F477,'10_Master_Gem_Types'!A:A,'10_Master_Gem_Types'!I:I),"")</f>
        <v>0</v>
      </c>
      <c r="Z477" s="9" cm="1">
        <f t="array" ref="Z477">IFERROR(_xlfn.XLOOKUP('01_Input_Raw_Products'!L477,'13_Certification_Stickers'!A:A,'13_Certification_Stickers'!C:C),"")</f>
        <v>0</v>
      </c>
      <c r="AA477" s="9" cm="1">
        <f t="array" ref="AA477">IFERROR(_xlfn.XLOOKUP('01_Input_Raw_Products'!S477,'14_Shipping_Rules'!A:A,'14_Shipping_Rules'!B:B),"")</f>
        <v>0</v>
      </c>
      <c r="AB477" s="9" cm="1">
        <f t="array" ref="AB477">IFERROR(_xlfn.XLOOKUP('01_Input_Raw_Products'!D477,'16_Astro_Flags'!A:A,'16_Astro_Flags'!B:B),"")</f>
        <v>0</v>
      </c>
      <c r="AC477" s="9">
        <f>IF(C477="","","Catalog, Search")</f>
        <v>0</v>
      </c>
      <c r="AD477" s="9">
        <f>IF(C477="","",IF(OR(F477="",J477="",M477="",S477="",Y477=""),"Manual Review","Ready"))</f>
        <v>0</v>
      </c>
      <c r="AE477" s="9">
        <f>IF(C477="","",TEXTJOIN("; ",TRUE,IF(F477="","Missing url_key",""),IF(J477="","Missing classification",""),IF(M477="","Missing j_colour",""),IF(S477="","Missing hsn_code",""),IF(Y477="","Missing tax_class_id","")))</f>
        <v>0</v>
      </c>
    </row>
    <row r="478" spans="1:31">
      <c r="A478" s="9">
        <f>IF('01_Input_Raw_Products'!B478&lt;&gt;"",20,"")</f>
        <v>0</v>
      </c>
      <c r="B478" s="9" cm="1">
        <f t="array" ref="B478">IF('01_Input_Raw_Products'!M478&lt;&gt;"",'01_Input_Raw_Products'!M478,IFERROR(_xlfn.XLOOKUP('01_Input_Raw_Products'!F478,'10_Master_Gem_Types'!A:A,'10_Master_Gem_Types'!K:K),""))</f>
        <v>0</v>
      </c>
      <c r="C478" s="9">
        <f>'01_Input_Raw_Products'!B478</f>
        <v>0</v>
      </c>
      <c r="D478" s="9">
        <f>IF(C478="","",TEXT(I478,"0.00")&amp;" Ct "&amp;IF('01_Input_Raw_Products'!F478&lt;&gt;"",'01_Input_Raw_Products'!F478,'01_Input_Raw_Products'!D478)&amp;" "&amp;'01_Input_Raw_Products'!I478)</f>
        <v>0</v>
      </c>
      <c r="E478" s="9">
        <f>IF(C478="","",D478&amp;" | GemPundit")</f>
        <v>0</v>
      </c>
      <c r="F478" s="9" cm="1">
        <f t="array" ref="F478">IF('01_Input_Raw_Products'!X478&lt;&gt;"",'01_Input_Raw_Products'!X478,IFERROR(_xlfn.XLOOKUP('01_Input_Raw_Products'!F478,'10_Master_Gem_Types'!A:A,'10_Master_Gem_Types'!O:O),LOWER(SUBSTITUTE(IF('01_Input_Raw_Products'!F478&lt;&gt;"",'01_Input_Raw_Products'!F478,'01_Input_Raw_Products'!D478)," ","-"))))</f>
        <v>0</v>
      </c>
      <c r="G478" s="9">
        <f>'01_Input_Raw_Products'!C478</f>
        <v>0</v>
      </c>
      <c r="H478" s="9" cm="1">
        <f t="array" ref="H478">IF('01_Input_Raw_Products'!H478&lt;&gt;"",'01_Input_Raw_Products'!H478,IFERROR(_xlfn.XLOOKUP('01_Input_Raw_Products'!F478,'10_Master_Gem_Types'!A:A,'10_Master_Gem_Types'!D:D),""))</f>
        <v>0</v>
      </c>
      <c r="I478" s="7">
        <f>IF('01_Input_Raw_Products'!N478&lt;&gt;"",'01_Input_Raw_Products'!N478,IF('01_Input_Raw_Products'!O478&lt;&gt;"",'01_Input_Raw_Products'!O478*0.91,""))</f>
        <v>0</v>
      </c>
      <c r="J478" s="9" cm="1">
        <f t="array" ref="J478">IFERROR(_xlfn.XLOOKUP('01_Input_Raw_Products'!F478,'10_Master_Gem_Types'!A:A,'10_Master_Gem_Types'!N:N),"")</f>
        <v>0</v>
      </c>
      <c r="K478" s="9" cm="1">
        <f t="array" ref="K478">IF('01_Input_Raw_Products'!J478&lt;&gt;"",'01_Input_Raw_Products'!J478,IFERROR(_xlfn.XLOOKUP('01_Input_Raw_Products'!F478,'10_Master_Gem_Types'!A:A,'10_Master_Gem_Types'!E:E),""))</f>
        <v>0</v>
      </c>
      <c r="L478" s="9">
        <f>'01_Input_Raw_Products'!P478</f>
        <v>0</v>
      </c>
      <c r="M478" s="9" cm="1">
        <f t="array" ref="M478">IFERROR(_xlfn.XLOOKUP('01_Input_Raw_Products'!K478,'12_Color_Mapping'!A:A,'12_Color_Mapping'!B:B),IFERROR(_xlfn.XLOOKUP('01_Input_Raw_Products'!F478,'10_Master_Gem_Types'!A:A,'10_Master_Gem_Types'!F:F),""))</f>
        <v>0</v>
      </c>
      <c r="N478" s="9">
        <f>IF(C478="","",IF('01_Input_Raw_Products'!F478&lt;&gt;"",'01_Input_Raw_Products'!F478,'01_Input_Raw_Products'!D478))</f>
        <v>0</v>
      </c>
      <c r="O478" s="9">
        <f>IF(C478="","","Catalog Automation")</f>
        <v>0</v>
      </c>
      <c r="P478" s="9">
        <f>'01_Input_Raw_Products'!U478</f>
        <v>0</v>
      </c>
      <c r="Q478" s="7">
        <f>IF('01_Input_Raw_Products'!O478&lt;&gt;"",'01_Input_Raw_Products'!O478,IF('01_Input_Raw_Products'!N478&lt;&gt;"",'01_Input_Raw_Products'!N478*1.1,""))</f>
        <v>0</v>
      </c>
      <c r="R478" s="9">
        <f>'01_Input_Raw_Products'!S478</f>
        <v>0</v>
      </c>
      <c r="S478" s="9" cm="1">
        <f t="array" ref="S478">IFERROR(_xlfn.XLOOKUP('01_Input_Raw_Products'!F478,'10_Master_Gem_Types'!A:A,'10_Master_Gem_Types'!H:H),"")</f>
        <v>0</v>
      </c>
      <c r="T478" s="8">
        <f>'01_Input_Raw_Products'!Q478</f>
        <v>0</v>
      </c>
      <c r="U478" s="8">
        <f>'01_Input_Raw_Products'!R478</f>
        <v>0</v>
      </c>
      <c r="V478" s="7">
        <f>I478</f>
        <v>0</v>
      </c>
      <c r="W478" s="9" cm="1">
        <f t="array" ref="W478">IF('01_Input_Raw_Products'!G478&lt;&gt;"",'01_Input_Raw_Products'!G478,IFERROR(_xlfn.XLOOKUP('01_Input_Raw_Products'!F478,'10_Master_Gem_Types'!A:A,'10_Master_Gem_Types'!L:L),""))</f>
        <v>0</v>
      </c>
      <c r="X478" s="9" cm="1">
        <f t="array" ref="X478">IFERROR(_xlfn.XLOOKUP('01_Input_Raw_Products'!F478,'10_Master_Gem_Types'!A:A,'10_Master_Gem_Types'!J:J),"")</f>
        <v>0</v>
      </c>
      <c r="Y478" s="9" cm="1">
        <f t="array" ref="Y478">IFERROR(_xlfn.XLOOKUP('01_Input_Raw_Products'!F478,'10_Master_Gem_Types'!A:A,'10_Master_Gem_Types'!I:I),"")</f>
        <v>0</v>
      </c>
      <c r="Z478" s="9" cm="1">
        <f t="array" ref="Z478">IFERROR(_xlfn.XLOOKUP('01_Input_Raw_Products'!L478,'13_Certification_Stickers'!A:A,'13_Certification_Stickers'!C:C),"")</f>
        <v>0</v>
      </c>
      <c r="AA478" s="9" cm="1">
        <f t="array" ref="AA478">IFERROR(_xlfn.XLOOKUP('01_Input_Raw_Products'!S478,'14_Shipping_Rules'!A:A,'14_Shipping_Rules'!B:B),"")</f>
        <v>0</v>
      </c>
      <c r="AB478" s="9" cm="1">
        <f t="array" ref="AB478">IFERROR(_xlfn.XLOOKUP('01_Input_Raw_Products'!D478,'16_Astro_Flags'!A:A,'16_Astro_Flags'!B:B),"")</f>
        <v>0</v>
      </c>
      <c r="AC478" s="9">
        <f>IF(C478="","","Catalog, Search")</f>
        <v>0</v>
      </c>
      <c r="AD478" s="9">
        <f>IF(C478="","",IF(OR(F478="",J478="",M478="",S478="",Y478=""),"Manual Review","Ready"))</f>
        <v>0</v>
      </c>
      <c r="AE478" s="9">
        <f>IF(C478="","",TEXTJOIN("; ",TRUE,IF(F478="","Missing url_key",""),IF(J478="","Missing classification",""),IF(M478="","Missing j_colour",""),IF(S478="","Missing hsn_code",""),IF(Y478="","Missing tax_class_id","")))</f>
        <v>0</v>
      </c>
    </row>
    <row r="479" spans="1:31">
      <c r="A479" s="9">
        <f>IF('01_Input_Raw_Products'!B479&lt;&gt;"",20,"")</f>
        <v>0</v>
      </c>
      <c r="B479" s="9" cm="1">
        <f t="array" ref="B479">IF('01_Input_Raw_Products'!M479&lt;&gt;"",'01_Input_Raw_Products'!M479,IFERROR(_xlfn.XLOOKUP('01_Input_Raw_Products'!F479,'10_Master_Gem_Types'!A:A,'10_Master_Gem_Types'!K:K),""))</f>
        <v>0</v>
      </c>
      <c r="C479" s="9">
        <f>'01_Input_Raw_Products'!B479</f>
        <v>0</v>
      </c>
      <c r="D479" s="9">
        <f>IF(C479="","",TEXT(I479,"0.00")&amp;" Ct "&amp;IF('01_Input_Raw_Products'!F479&lt;&gt;"",'01_Input_Raw_Products'!F479,'01_Input_Raw_Products'!D479)&amp;" "&amp;'01_Input_Raw_Products'!I479)</f>
        <v>0</v>
      </c>
      <c r="E479" s="9">
        <f>IF(C479="","",D479&amp;" | GemPundit")</f>
        <v>0</v>
      </c>
      <c r="F479" s="9" cm="1">
        <f t="array" ref="F479">IF('01_Input_Raw_Products'!X479&lt;&gt;"",'01_Input_Raw_Products'!X479,IFERROR(_xlfn.XLOOKUP('01_Input_Raw_Products'!F479,'10_Master_Gem_Types'!A:A,'10_Master_Gem_Types'!O:O),LOWER(SUBSTITUTE(IF('01_Input_Raw_Products'!F479&lt;&gt;"",'01_Input_Raw_Products'!F479,'01_Input_Raw_Products'!D479)," ","-"))))</f>
        <v>0</v>
      </c>
      <c r="G479" s="9">
        <f>'01_Input_Raw_Products'!C479</f>
        <v>0</v>
      </c>
      <c r="H479" s="9" cm="1">
        <f t="array" ref="H479">IF('01_Input_Raw_Products'!H479&lt;&gt;"",'01_Input_Raw_Products'!H479,IFERROR(_xlfn.XLOOKUP('01_Input_Raw_Products'!F479,'10_Master_Gem_Types'!A:A,'10_Master_Gem_Types'!D:D),""))</f>
        <v>0</v>
      </c>
      <c r="I479" s="7">
        <f>IF('01_Input_Raw_Products'!N479&lt;&gt;"",'01_Input_Raw_Products'!N479,IF('01_Input_Raw_Products'!O479&lt;&gt;"",'01_Input_Raw_Products'!O479*0.91,""))</f>
        <v>0</v>
      </c>
      <c r="J479" s="9" cm="1">
        <f t="array" ref="J479">IFERROR(_xlfn.XLOOKUP('01_Input_Raw_Products'!F479,'10_Master_Gem_Types'!A:A,'10_Master_Gem_Types'!N:N),"")</f>
        <v>0</v>
      </c>
      <c r="K479" s="9" cm="1">
        <f t="array" ref="K479">IF('01_Input_Raw_Products'!J479&lt;&gt;"",'01_Input_Raw_Products'!J479,IFERROR(_xlfn.XLOOKUP('01_Input_Raw_Products'!F479,'10_Master_Gem_Types'!A:A,'10_Master_Gem_Types'!E:E),""))</f>
        <v>0</v>
      </c>
      <c r="L479" s="9">
        <f>'01_Input_Raw_Products'!P479</f>
        <v>0</v>
      </c>
      <c r="M479" s="9" cm="1">
        <f t="array" ref="M479">IFERROR(_xlfn.XLOOKUP('01_Input_Raw_Products'!K479,'12_Color_Mapping'!A:A,'12_Color_Mapping'!B:B),IFERROR(_xlfn.XLOOKUP('01_Input_Raw_Products'!F479,'10_Master_Gem_Types'!A:A,'10_Master_Gem_Types'!F:F),""))</f>
        <v>0</v>
      </c>
      <c r="N479" s="9">
        <f>IF(C479="","",IF('01_Input_Raw_Products'!F479&lt;&gt;"",'01_Input_Raw_Products'!F479,'01_Input_Raw_Products'!D479))</f>
        <v>0</v>
      </c>
      <c r="O479" s="9">
        <f>IF(C479="","","Catalog Automation")</f>
        <v>0</v>
      </c>
      <c r="P479" s="9">
        <f>'01_Input_Raw_Products'!U479</f>
        <v>0</v>
      </c>
      <c r="Q479" s="7">
        <f>IF('01_Input_Raw_Products'!O479&lt;&gt;"",'01_Input_Raw_Products'!O479,IF('01_Input_Raw_Products'!N479&lt;&gt;"",'01_Input_Raw_Products'!N479*1.1,""))</f>
        <v>0</v>
      </c>
      <c r="R479" s="9">
        <f>'01_Input_Raw_Products'!S479</f>
        <v>0</v>
      </c>
      <c r="S479" s="9" cm="1">
        <f t="array" ref="S479">IFERROR(_xlfn.XLOOKUP('01_Input_Raw_Products'!F479,'10_Master_Gem_Types'!A:A,'10_Master_Gem_Types'!H:H),"")</f>
        <v>0</v>
      </c>
      <c r="T479" s="8">
        <f>'01_Input_Raw_Products'!Q479</f>
        <v>0</v>
      </c>
      <c r="U479" s="8">
        <f>'01_Input_Raw_Products'!R479</f>
        <v>0</v>
      </c>
      <c r="V479" s="7">
        <f>I479</f>
        <v>0</v>
      </c>
      <c r="W479" s="9" cm="1">
        <f t="array" ref="W479">IF('01_Input_Raw_Products'!G479&lt;&gt;"",'01_Input_Raw_Products'!G479,IFERROR(_xlfn.XLOOKUP('01_Input_Raw_Products'!F479,'10_Master_Gem_Types'!A:A,'10_Master_Gem_Types'!L:L),""))</f>
        <v>0</v>
      </c>
      <c r="X479" s="9" cm="1">
        <f t="array" ref="X479">IFERROR(_xlfn.XLOOKUP('01_Input_Raw_Products'!F479,'10_Master_Gem_Types'!A:A,'10_Master_Gem_Types'!J:J),"")</f>
        <v>0</v>
      </c>
      <c r="Y479" s="9" cm="1">
        <f t="array" ref="Y479">IFERROR(_xlfn.XLOOKUP('01_Input_Raw_Products'!F479,'10_Master_Gem_Types'!A:A,'10_Master_Gem_Types'!I:I),"")</f>
        <v>0</v>
      </c>
      <c r="Z479" s="9" cm="1">
        <f t="array" ref="Z479">IFERROR(_xlfn.XLOOKUP('01_Input_Raw_Products'!L479,'13_Certification_Stickers'!A:A,'13_Certification_Stickers'!C:C),"")</f>
        <v>0</v>
      </c>
      <c r="AA479" s="9" cm="1">
        <f t="array" ref="AA479">IFERROR(_xlfn.XLOOKUP('01_Input_Raw_Products'!S479,'14_Shipping_Rules'!A:A,'14_Shipping_Rules'!B:B),"")</f>
        <v>0</v>
      </c>
      <c r="AB479" s="9" cm="1">
        <f t="array" ref="AB479">IFERROR(_xlfn.XLOOKUP('01_Input_Raw_Products'!D479,'16_Astro_Flags'!A:A,'16_Astro_Flags'!B:B),"")</f>
        <v>0</v>
      </c>
      <c r="AC479" s="9">
        <f>IF(C479="","","Catalog, Search")</f>
        <v>0</v>
      </c>
      <c r="AD479" s="9">
        <f>IF(C479="","",IF(OR(F479="",J479="",M479="",S479="",Y479=""),"Manual Review","Ready"))</f>
        <v>0</v>
      </c>
      <c r="AE479" s="9">
        <f>IF(C479="","",TEXTJOIN("; ",TRUE,IF(F479="","Missing url_key",""),IF(J479="","Missing classification",""),IF(M479="","Missing j_colour",""),IF(S479="","Missing hsn_code",""),IF(Y479="","Missing tax_class_id","")))</f>
        <v>0</v>
      </c>
    </row>
    <row r="480" spans="1:31">
      <c r="A480" s="9">
        <f>IF('01_Input_Raw_Products'!B480&lt;&gt;"",20,"")</f>
        <v>0</v>
      </c>
      <c r="B480" s="9" cm="1">
        <f t="array" ref="B480">IF('01_Input_Raw_Products'!M480&lt;&gt;"",'01_Input_Raw_Products'!M480,IFERROR(_xlfn.XLOOKUP('01_Input_Raw_Products'!F480,'10_Master_Gem_Types'!A:A,'10_Master_Gem_Types'!K:K),""))</f>
        <v>0</v>
      </c>
      <c r="C480" s="9">
        <f>'01_Input_Raw_Products'!B480</f>
        <v>0</v>
      </c>
      <c r="D480" s="9">
        <f>IF(C480="","",TEXT(I480,"0.00")&amp;" Ct "&amp;IF('01_Input_Raw_Products'!F480&lt;&gt;"",'01_Input_Raw_Products'!F480,'01_Input_Raw_Products'!D480)&amp;" "&amp;'01_Input_Raw_Products'!I480)</f>
        <v>0</v>
      </c>
      <c r="E480" s="9">
        <f>IF(C480="","",D480&amp;" | GemPundit")</f>
        <v>0</v>
      </c>
      <c r="F480" s="9" cm="1">
        <f t="array" ref="F480">IF('01_Input_Raw_Products'!X480&lt;&gt;"",'01_Input_Raw_Products'!X480,IFERROR(_xlfn.XLOOKUP('01_Input_Raw_Products'!F480,'10_Master_Gem_Types'!A:A,'10_Master_Gem_Types'!O:O),LOWER(SUBSTITUTE(IF('01_Input_Raw_Products'!F480&lt;&gt;"",'01_Input_Raw_Products'!F480,'01_Input_Raw_Products'!D480)," ","-"))))</f>
        <v>0</v>
      </c>
      <c r="G480" s="9">
        <f>'01_Input_Raw_Products'!C480</f>
        <v>0</v>
      </c>
      <c r="H480" s="9" cm="1">
        <f t="array" ref="H480">IF('01_Input_Raw_Products'!H480&lt;&gt;"",'01_Input_Raw_Products'!H480,IFERROR(_xlfn.XLOOKUP('01_Input_Raw_Products'!F480,'10_Master_Gem_Types'!A:A,'10_Master_Gem_Types'!D:D),""))</f>
        <v>0</v>
      </c>
      <c r="I480" s="7">
        <f>IF('01_Input_Raw_Products'!N480&lt;&gt;"",'01_Input_Raw_Products'!N480,IF('01_Input_Raw_Products'!O480&lt;&gt;"",'01_Input_Raw_Products'!O480*0.91,""))</f>
        <v>0</v>
      </c>
      <c r="J480" s="9" cm="1">
        <f t="array" ref="J480">IFERROR(_xlfn.XLOOKUP('01_Input_Raw_Products'!F480,'10_Master_Gem_Types'!A:A,'10_Master_Gem_Types'!N:N),"")</f>
        <v>0</v>
      </c>
      <c r="K480" s="9" cm="1">
        <f t="array" ref="K480">IF('01_Input_Raw_Products'!J480&lt;&gt;"",'01_Input_Raw_Products'!J480,IFERROR(_xlfn.XLOOKUP('01_Input_Raw_Products'!F480,'10_Master_Gem_Types'!A:A,'10_Master_Gem_Types'!E:E),""))</f>
        <v>0</v>
      </c>
      <c r="L480" s="9">
        <f>'01_Input_Raw_Products'!P480</f>
        <v>0</v>
      </c>
      <c r="M480" s="9" cm="1">
        <f t="array" ref="M480">IFERROR(_xlfn.XLOOKUP('01_Input_Raw_Products'!K480,'12_Color_Mapping'!A:A,'12_Color_Mapping'!B:B),IFERROR(_xlfn.XLOOKUP('01_Input_Raw_Products'!F480,'10_Master_Gem_Types'!A:A,'10_Master_Gem_Types'!F:F),""))</f>
        <v>0</v>
      </c>
      <c r="N480" s="9">
        <f>IF(C480="","",IF('01_Input_Raw_Products'!F480&lt;&gt;"",'01_Input_Raw_Products'!F480,'01_Input_Raw_Products'!D480))</f>
        <v>0</v>
      </c>
      <c r="O480" s="9">
        <f>IF(C480="","","Catalog Automation")</f>
        <v>0</v>
      </c>
      <c r="P480" s="9">
        <f>'01_Input_Raw_Products'!U480</f>
        <v>0</v>
      </c>
      <c r="Q480" s="7">
        <f>IF('01_Input_Raw_Products'!O480&lt;&gt;"",'01_Input_Raw_Products'!O480,IF('01_Input_Raw_Products'!N480&lt;&gt;"",'01_Input_Raw_Products'!N480*1.1,""))</f>
        <v>0</v>
      </c>
      <c r="R480" s="9">
        <f>'01_Input_Raw_Products'!S480</f>
        <v>0</v>
      </c>
      <c r="S480" s="9" cm="1">
        <f t="array" ref="S480">IFERROR(_xlfn.XLOOKUP('01_Input_Raw_Products'!F480,'10_Master_Gem_Types'!A:A,'10_Master_Gem_Types'!H:H),"")</f>
        <v>0</v>
      </c>
      <c r="T480" s="8">
        <f>'01_Input_Raw_Products'!Q480</f>
        <v>0</v>
      </c>
      <c r="U480" s="8">
        <f>'01_Input_Raw_Products'!R480</f>
        <v>0</v>
      </c>
      <c r="V480" s="7">
        <f>I480</f>
        <v>0</v>
      </c>
      <c r="W480" s="9" cm="1">
        <f t="array" ref="W480">IF('01_Input_Raw_Products'!G480&lt;&gt;"",'01_Input_Raw_Products'!G480,IFERROR(_xlfn.XLOOKUP('01_Input_Raw_Products'!F480,'10_Master_Gem_Types'!A:A,'10_Master_Gem_Types'!L:L),""))</f>
        <v>0</v>
      </c>
      <c r="X480" s="9" cm="1">
        <f t="array" ref="X480">IFERROR(_xlfn.XLOOKUP('01_Input_Raw_Products'!F480,'10_Master_Gem_Types'!A:A,'10_Master_Gem_Types'!J:J),"")</f>
        <v>0</v>
      </c>
      <c r="Y480" s="9" cm="1">
        <f t="array" ref="Y480">IFERROR(_xlfn.XLOOKUP('01_Input_Raw_Products'!F480,'10_Master_Gem_Types'!A:A,'10_Master_Gem_Types'!I:I),"")</f>
        <v>0</v>
      </c>
      <c r="Z480" s="9" cm="1">
        <f t="array" ref="Z480">IFERROR(_xlfn.XLOOKUP('01_Input_Raw_Products'!L480,'13_Certification_Stickers'!A:A,'13_Certification_Stickers'!C:C),"")</f>
        <v>0</v>
      </c>
      <c r="AA480" s="9" cm="1">
        <f t="array" ref="AA480">IFERROR(_xlfn.XLOOKUP('01_Input_Raw_Products'!S480,'14_Shipping_Rules'!A:A,'14_Shipping_Rules'!B:B),"")</f>
        <v>0</v>
      </c>
      <c r="AB480" s="9" cm="1">
        <f t="array" ref="AB480">IFERROR(_xlfn.XLOOKUP('01_Input_Raw_Products'!D480,'16_Astro_Flags'!A:A,'16_Astro_Flags'!B:B),"")</f>
        <v>0</v>
      </c>
      <c r="AC480" s="9">
        <f>IF(C480="","","Catalog, Search")</f>
        <v>0</v>
      </c>
      <c r="AD480" s="9">
        <f>IF(C480="","",IF(OR(F480="",J480="",M480="",S480="",Y480=""),"Manual Review","Ready"))</f>
        <v>0</v>
      </c>
      <c r="AE480" s="9">
        <f>IF(C480="","",TEXTJOIN("; ",TRUE,IF(F480="","Missing url_key",""),IF(J480="","Missing classification",""),IF(M480="","Missing j_colour",""),IF(S480="","Missing hsn_code",""),IF(Y480="","Missing tax_class_id","")))</f>
        <v>0</v>
      </c>
    </row>
    <row r="481" spans="1:31">
      <c r="A481" s="9">
        <f>IF('01_Input_Raw_Products'!B481&lt;&gt;"",20,"")</f>
        <v>0</v>
      </c>
      <c r="B481" s="9" cm="1">
        <f t="array" ref="B481">IF('01_Input_Raw_Products'!M481&lt;&gt;"",'01_Input_Raw_Products'!M481,IFERROR(_xlfn.XLOOKUP('01_Input_Raw_Products'!F481,'10_Master_Gem_Types'!A:A,'10_Master_Gem_Types'!K:K),""))</f>
        <v>0</v>
      </c>
      <c r="C481" s="9">
        <f>'01_Input_Raw_Products'!B481</f>
        <v>0</v>
      </c>
      <c r="D481" s="9">
        <f>IF(C481="","",TEXT(I481,"0.00")&amp;" Ct "&amp;IF('01_Input_Raw_Products'!F481&lt;&gt;"",'01_Input_Raw_Products'!F481,'01_Input_Raw_Products'!D481)&amp;" "&amp;'01_Input_Raw_Products'!I481)</f>
        <v>0</v>
      </c>
      <c r="E481" s="9">
        <f>IF(C481="","",D481&amp;" | GemPundit")</f>
        <v>0</v>
      </c>
      <c r="F481" s="9" cm="1">
        <f t="array" ref="F481">IF('01_Input_Raw_Products'!X481&lt;&gt;"",'01_Input_Raw_Products'!X481,IFERROR(_xlfn.XLOOKUP('01_Input_Raw_Products'!F481,'10_Master_Gem_Types'!A:A,'10_Master_Gem_Types'!O:O),LOWER(SUBSTITUTE(IF('01_Input_Raw_Products'!F481&lt;&gt;"",'01_Input_Raw_Products'!F481,'01_Input_Raw_Products'!D481)," ","-"))))</f>
        <v>0</v>
      </c>
      <c r="G481" s="9">
        <f>'01_Input_Raw_Products'!C481</f>
        <v>0</v>
      </c>
      <c r="H481" s="9" cm="1">
        <f t="array" ref="H481">IF('01_Input_Raw_Products'!H481&lt;&gt;"",'01_Input_Raw_Products'!H481,IFERROR(_xlfn.XLOOKUP('01_Input_Raw_Products'!F481,'10_Master_Gem_Types'!A:A,'10_Master_Gem_Types'!D:D),""))</f>
        <v>0</v>
      </c>
      <c r="I481" s="7">
        <f>IF('01_Input_Raw_Products'!N481&lt;&gt;"",'01_Input_Raw_Products'!N481,IF('01_Input_Raw_Products'!O481&lt;&gt;"",'01_Input_Raw_Products'!O481*0.91,""))</f>
        <v>0</v>
      </c>
      <c r="J481" s="9" cm="1">
        <f t="array" ref="J481">IFERROR(_xlfn.XLOOKUP('01_Input_Raw_Products'!F481,'10_Master_Gem_Types'!A:A,'10_Master_Gem_Types'!N:N),"")</f>
        <v>0</v>
      </c>
      <c r="K481" s="9" cm="1">
        <f t="array" ref="K481">IF('01_Input_Raw_Products'!J481&lt;&gt;"",'01_Input_Raw_Products'!J481,IFERROR(_xlfn.XLOOKUP('01_Input_Raw_Products'!F481,'10_Master_Gem_Types'!A:A,'10_Master_Gem_Types'!E:E),""))</f>
        <v>0</v>
      </c>
      <c r="L481" s="9">
        <f>'01_Input_Raw_Products'!P481</f>
        <v>0</v>
      </c>
      <c r="M481" s="9" cm="1">
        <f t="array" ref="M481">IFERROR(_xlfn.XLOOKUP('01_Input_Raw_Products'!K481,'12_Color_Mapping'!A:A,'12_Color_Mapping'!B:B),IFERROR(_xlfn.XLOOKUP('01_Input_Raw_Products'!F481,'10_Master_Gem_Types'!A:A,'10_Master_Gem_Types'!F:F),""))</f>
        <v>0</v>
      </c>
      <c r="N481" s="9">
        <f>IF(C481="","",IF('01_Input_Raw_Products'!F481&lt;&gt;"",'01_Input_Raw_Products'!F481,'01_Input_Raw_Products'!D481))</f>
        <v>0</v>
      </c>
      <c r="O481" s="9">
        <f>IF(C481="","","Catalog Automation")</f>
        <v>0</v>
      </c>
      <c r="P481" s="9">
        <f>'01_Input_Raw_Products'!U481</f>
        <v>0</v>
      </c>
      <c r="Q481" s="7">
        <f>IF('01_Input_Raw_Products'!O481&lt;&gt;"",'01_Input_Raw_Products'!O481,IF('01_Input_Raw_Products'!N481&lt;&gt;"",'01_Input_Raw_Products'!N481*1.1,""))</f>
        <v>0</v>
      </c>
      <c r="R481" s="9">
        <f>'01_Input_Raw_Products'!S481</f>
        <v>0</v>
      </c>
      <c r="S481" s="9" cm="1">
        <f t="array" ref="S481">IFERROR(_xlfn.XLOOKUP('01_Input_Raw_Products'!F481,'10_Master_Gem_Types'!A:A,'10_Master_Gem_Types'!H:H),"")</f>
        <v>0</v>
      </c>
      <c r="T481" s="8">
        <f>'01_Input_Raw_Products'!Q481</f>
        <v>0</v>
      </c>
      <c r="U481" s="8">
        <f>'01_Input_Raw_Products'!R481</f>
        <v>0</v>
      </c>
      <c r="V481" s="7">
        <f>I481</f>
        <v>0</v>
      </c>
      <c r="W481" s="9" cm="1">
        <f t="array" ref="W481">IF('01_Input_Raw_Products'!G481&lt;&gt;"",'01_Input_Raw_Products'!G481,IFERROR(_xlfn.XLOOKUP('01_Input_Raw_Products'!F481,'10_Master_Gem_Types'!A:A,'10_Master_Gem_Types'!L:L),""))</f>
        <v>0</v>
      </c>
      <c r="X481" s="9" cm="1">
        <f t="array" ref="X481">IFERROR(_xlfn.XLOOKUP('01_Input_Raw_Products'!F481,'10_Master_Gem_Types'!A:A,'10_Master_Gem_Types'!J:J),"")</f>
        <v>0</v>
      </c>
      <c r="Y481" s="9" cm="1">
        <f t="array" ref="Y481">IFERROR(_xlfn.XLOOKUP('01_Input_Raw_Products'!F481,'10_Master_Gem_Types'!A:A,'10_Master_Gem_Types'!I:I),"")</f>
        <v>0</v>
      </c>
      <c r="Z481" s="9" cm="1">
        <f t="array" ref="Z481">IFERROR(_xlfn.XLOOKUP('01_Input_Raw_Products'!L481,'13_Certification_Stickers'!A:A,'13_Certification_Stickers'!C:C),"")</f>
        <v>0</v>
      </c>
      <c r="AA481" s="9" cm="1">
        <f t="array" ref="AA481">IFERROR(_xlfn.XLOOKUP('01_Input_Raw_Products'!S481,'14_Shipping_Rules'!A:A,'14_Shipping_Rules'!B:B),"")</f>
        <v>0</v>
      </c>
      <c r="AB481" s="9" cm="1">
        <f t="array" ref="AB481">IFERROR(_xlfn.XLOOKUP('01_Input_Raw_Products'!D481,'16_Astro_Flags'!A:A,'16_Astro_Flags'!B:B),"")</f>
        <v>0</v>
      </c>
      <c r="AC481" s="9">
        <f>IF(C481="","","Catalog, Search")</f>
        <v>0</v>
      </c>
      <c r="AD481" s="9">
        <f>IF(C481="","",IF(OR(F481="",J481="",M481="",S481="",Y481=""),"Manual Review","Ready"))</f>
        <v>0</v>
      </c>
      <c r="AE481" s="9">
        <f>IF(C481="","",TEXTJOIN("; ",TRUE,IF(F481="","Missing url_key",""),IF(J481="","Missing classification",""),IF(M481="","Missing j_colour",""),IF(S481="","Missing hsn_code",""),IF(Y481="","Missing tax_class_id","")))</f>
        <v>0</v>
      </c>
    </row>
    <row r="482" spans="1:31">
      <c r="A482" s="9">
        <f>IF('01_Input_Raw_Products'!B482&lt;&gt;"",20,"")</f>
        <v>0</v>
      </c>
      <c r="B482" s="9" cm="1">
        <f t="array" ref="B482">IF('01_Input_Raw_Products'!M482&lt;&gt;"",'01_Input_Raw_Products'!M482,IFERROR(_xlfn.XLOOKUP('01_Input_Raw_Products'!F482,'10_Master_Gem_Types'!A:A,'10_Master_Gem_Types'!K:K),""))</f>
        <v>0</v>
      </c>
      <c r="C482" s="9">
        <f>'01_Input_Raw_Products'!B482</f>
        <v>0</v>
      </c>
      <c r="D482" s="9">
        <f>IF(C482="","",TEXT(I482,"0.00")&amp;" Ct "&amp;IF('01_Input_Raw_Products'!F482&lt;&gt;"",'01_Input_Raw_Products'!F482,'01_Input_Raw_Products'!D482)&amp;" "&amp;'01_Input_Raw_Products'!I482)</f>
        <v>0</v>
      </c>
      <c r="E482" s="9">
        <f>IF(C482="","",D482&amp;" | GemPundit")</f>
        <v>0</v>
      </c>
      <c r="F482" s="9" cm="1">
        <f t="array" ref="F482">IF('01_Input_Raw_Products'!X482&lt;&gt;"",'01_Input_Raw_Products'!X482,IFERROR(_xlfn.XLOOKUP('01_Input_Raw_Products'!F482,'10_Master_Gem_Types'!A:A,'10_Master_Gem_Types'!O:O),LOWER(SUBSTITUTE(IF('01_Input_Raw_Products'!F482&lt;&gt;"",'01_Input_Raw_Products'!F482,'01_Input_Raw_Products'!D482)," ","-"))))</f>
        <v>0</v>
      </c>
      <c r="G482" s="9">
        <f>'01_Input_Raw_Products'!C482</f>
        <v>0</v>
      </c>
      <c r="H482" s="9" cm="1">
        <f t="array" ref="H482">IF('01_Input_Raw_Products'!H482&lt;&gt;"",'01_Input_Raw_Products'!H482,IFERROR(_xlfn.XLOOKUP('01_Input_Raw_Products'!F482,'10_Master_Gem_Types'!A:A,'10_Master_Gem_Types'!D:D),""))</f>
        <v>0</v>
      </c>
      <c r="I482" s="7">
        <f>IF('01_Input_Raw_Products'!N482&lt;&gt;"",'01_Input_Raw_Products'!N482,IF('01_Input_Raw_Products'!O482&lt;&gt;"",'01_Input_Raw_Products'!O482*0.91,""))</f>
        <v>0</v>
      </c>
      <c r="J482" s="9" cm="1">
        <f t="array" ref="J482">IFERROR(_xlfn.XLOOKUP('01_Input_Raw_Products'!F482,'10_Master_Gem_Types'!A:A,'10_Master_Gem_Types'!N:N),"")</f>
        <v>0</v>
      </c>
      <c r="K482" s="9" cm="1">
        <f t="array" ref="K482">IF('01_Input_Raw_Products'!J482&lt;&gt;"",'01_Input_Raw_Products'!J482,IFERROR(_xlfn.XLOOKUP('01_Input_Raw_Products'!F482,'10_Master_Gem_Types'!A:A,'10_Master_Gem_Types'!E:E),""))</f>
        <v>0</v>
      </c>
      <c r="L482" s="9">
        <f>'01_Input_Raw_Products'!P482</f>
        <v>0</v>
      </c>
      <c r="M482" s="9" cm="1">
        <f t="array" ref="M482">IFERROR(_xlfn.XLOOKUP('01_Input_Raw_Products'!K482,'12_Color_Mapping'!A:A,'12_Color_Mapping'!B:B),IFERROR(_xlfn.XLOOKUP('01_Input_Raw_Products'!F482,'10_Master_Gem_Types'!A:A,'10_Master_Gem_Types'!F:F),""))</f>
        <v>0</v>
      </c>
      <c r="N482" s="9">
        <f>IF(C482="","",IF('01_Input_Raw_Products'!F482&lt;&gt;"",'01_Input_Raw_Products'!F482,'01_Input_Raw_Products'!D482))</f>
        <v>0</v>
      </c>
      <c r="O482" s="9">
        <f>IF(C482="","","Catalog Automation")</f>
        <v>0</v>
      </c>
      <c r="P482" s="9">
        <f>'01_Input_Raw_Products'!U482</f>
        <v>0</v>
      </c>
      <c r="Q482" s="7">
        <f>IF('01_Input_Raw_Products'!O482&lt;&gt;"",'01_Input_Raw_Products'!O482,IF('01_Input_Raw_Products'!N482&lt;&gt;"",'01_Input_Raw_Products'!N482*1.1,""))</f>
        <v>0</v>
      </c>
      <c r="R482" s="9">
        <f>'01_Input_Raw_Products'!S482</f>
        <v>0</v>
      </c>
      <c r="S482" s="9" cm="1">
        <f t="array" ref="S482">IFERROR(_xlfn.XLOOKUP('01_Input_Raw_Products'!F482,'10_Master_Gem_Types'!A:A,'10_Master_Gem_Types'!H:H),"")</f>
        <v>0</v>
      </c>
      <c r="T482" s="8">
        <f>'01_Input_Raw_Products'!Q482</f>
        <v>0</v>
      </c>
      <c r="U482" s="8">
        <f>'01_Input_Raw_Products'!R482</f>
        <v>0</v>
      </c>
      <c r="V482" s="7">
        <f>I482</f>
        <v>0</v>
      </c>
      <c r="W482" s="9" cm="1">
        <f t="array" ref="W482">IF('01_Input_Raw_Products'!G482&lt;&gt;"",'01_Input_Raw_Products'!G482,IFERROR(_xlfn.XLOOKUP('01_Input_Raw_Products'!F482,'10_Master_Gem_Types'!A:A,'10_Master_Gem_Types'!L:L),""))</f>
        <v>0</v>
      </c>
      <c r="X482" s="9" cm="1">
        <f t="array" ref="X482">IFERROR(_xlfn.XLOOKUP('01_Input_Raw_Products'!F482,'10_Master_Gem_Types'!A:A,'10_Master_Gem_Types'!J:J),"")</f>
        <v>0</v>
      </c>
      <c r="Y482" s="9" cm="1">
        <f t="array" ref="Y482">IFERROR(_xlfn.XLOOKUP('01_Input_Raw_Products'!F482,'10_Master_Gem_Types'!A:A,'10_Master_Gem_Types'!I:I),"")</f>
        <v>0</v>
      </c>
      <c r="Z482" s="9" cm="1">
        <f t="array" ref="Z482">IFERROR(_xlfn.XLOOKUP('01_Input_Raw_Products'!L482,'13_Certification_Stickers'!A:A,'13_Certification_Stickers'!C:C),"")</f>
        <v>0</v>
      </c>
      <c r="AA482" s="9" cm="1">
        <f t="array" ref="AA482">IFERROR(_xlfn.XLOOKUP('01_Input_Raw_Products'!S482,'14_Shipping_Rules'!A:A,'14_Shipping_Rules'!B:B),"")</f>
        <v>0</v>
      </c>
      <c r="AB482" s="9" cm="1">
        <f t="array" ref="AB482">IFERROR(_xlfn.XLOOKUP('01_Input_Raw_Products'!D482,'16_Astro_Flags'!A:A,'16_Astro_Flags'!B:B),"")</f>
        <v>0</v>
      </c>
      <c r="AC482" s="9">
        <f>IF(C482="","","Catalog, Search")</f>
        <v>0</v>
      </c>
      <c r="AD482" s="9">
        <f>IF(C482="","",IF(OR(F482="",J482="",M482="",S482="",Y482=""),"Manual Review","Ready"))</f>
        <v>0</v>
      </c>
      <c r="AE482" s="9">
        <f>IF(C482="","",TEXTJOIN("; ",TRUE,IF(F482="","Missing url_key",""),IF(J482="","Missing classification",""),IF(M482="","Missing j_colour",""),IF(S482="","Missing hsn_code",""),IF(Y482="","Missing tax_class_id","")))</f>
        <v>0</v>
      </c>
    </row>
    <row r="483" spans="1:31">
      <c r="A483" s="9">
        <f>IF('01_Input_Raw_Products'!B483&lt;&gt;"",20,"")</f>
        <v>0</v>
      </c>
      <c r="B483" s="9" cm="1">
        <f t="array" ref="B483">IF('01_Input_Raw_Products'!M483&lt;&gt;"",'01_Input_Raw_Products'!M483,IFERROR(_xlfn.XLOOKUP('01_Input_Raw_Products'!F483,'10_Master_Gem_Types'!A:A,'10_Master_Gem_Types'!K:K),""))</f>
        <v>0</v>
      </c>
      <c r="C483" s="9">
        <f>'01_Input_Raw_Products'!B483</f>
        <v>0</v>
      </c>
      <c r="D483" s="9">
        <f>IF(C483="","",TEXT(I483,"0.00")&amp;" Ct "&amp;IF('01_Input_Raw_Products'!F483&lt;&gt;"",'01_Input_Raw_Products'!F483,'01_Input_Raw_Products'!D483)&amp;" "&amp;'01_Input_Raw_Products'!I483)</f>
        <v>0</v>
      </c>
      <c r="E483" s="9">
        <f>IF(C483="","",D483&amp;" | GemPundit")</f>
        <v>0</v>
      </c>
      <c r="F483" s="9" cm="1">
        <f t="array" ref="F483">IF('01_Input_Raw_Products'!X483&lt;&gt;"",'01_Input_Raw_Products'!X483,IFERROR(_xlfn.XLOOKUP('01_Input_Raw_Products'!F483,'10_Master_Gem_Types'!A:A,'10_Master_Gem_Types'!O:O),LOWER(SUBSTITUTE(IF('01_Input_Raw_Products'!F483&lt;&gt;"",'01_Input_Raw_Products'!F483,'01_Input_Raw_Products'!D483)," ","-"))))</f>
        <v>0</v>
      </c>
      <c r="G483" s="9">
        <f>'01_Input_Raw_Products'!C483</f>
        <v>0</v>
      </c>
      <c r="H483" s="9" cm="1">
        <f t="array" ref="H483">IF('01_Input_Raw_Products'!H483&lt;&gt;"",'01_Input_Raw_Products'!H483,IFERROR(_xlfn.XLOOKUP('01_Input_Raw_Products'!F483,'10_Master_Gem_Types'!A:A,'10_Master_Gem_Types'!D:D),""))</f>
        <v>0</v>
      </c>
      <c r="I483" s="7">
        <f>IF('01_Input_Raw_Products'!N483&lt;&gt;"",'01_Input_Raw_Products'!N483,IF('01_Input_Raw_Products'!O483&lt;&gt;"",'01_Input_Raw_Products'!O483*0.91,""))</f>
        <v>0</v>
      </c>
      <c r="J483" s="9" cm="1">
        <f t="array" ref="J483">IFERROR(_xlfn.XLOOKUP('01_Input_Raw_Products'!F483,'10_Master_Gem_Types'!A:A,'10_Master_Gem_Types'!N:N),"")</f>
        <v>0</v>
      </c>
      <c r="K483" s="9" cm="1">
        <f t="array" ref="K483">IF('01_Input_Raw_Products'!J483&lt;&gt;"",'01_Input_Raw_Products'!J483,IFERROR(_xlfn.XLOOKUP('01_Input_Raw_Products'!F483,'10_Master_Gem_Types'!A:A,'10_Master_Gem_Types'!E:E),""))</f>
        <v>0</v>
      </c>
      <c r="L483" s="9">
        <f>'01_Input_Raw_Products'!P483</f>
        <v>0</v>
      </c>
      <c r="M483" s="9" cm="1">
        <f t="array" ref="M483">IFERROR(_xlfn.XLOOKUP('01_Input_Raw_Products'!K483,'12_Color_Mapping'!A:A,'12_Color_Mapping'!B:B),IFERROR(_xlfn.XLOOKUP('01_Input_Raw_Products'!F483,'10_Master_Gem_Types'!A:A,'10_Master_Gem_Types'!F:F),""))</f>
        <v>0</v>
      </c>
      <c r="N483" s="9">
        <f>IF(C483="","",IF('01_Input_Raw_Products'!F483&lt;&gt;"",'01_Input_Raw_Products'!F483,'01_Input_Raw_Products'!D483))</f>
        <v>0</v>
      </c>
      <c r="O483" s="9">
        <f>IF(C483="","","Catalog Automation")</f>
        <v>0</v>
      </c>
      <c r="P483" s="9">
        <f>'01_Input_Raw_Products'!U483</f>
        <v>0</v>
      </c>
      <c r="Q483" s="7">
        <f>IF('01_Input_Raw_Products'!O483&lt;&gt;"",'01_Input_Raw_Products'!O483,IF('01_Input_Raw_Products'!N483&lt;&gt;"",'01_Input_Raw_Products'!N483*1.1,""))</f>
        <v>0</v>
      </c>
      <c r="R483" s="9">
        <f>'01_Input_Raw_Products'!S483</f>
        <v>0</v>
      </c>
      <c r="S483" s="9" cm="1">
        <f t="array" ref="S483">IFERROR(_xlfn.XLOOKUP('01_Input_Raw_Products'!F483,'10_Master_Gem_Types'!A:A,'10_Master_Gem_Types'!H:H),"")</f>
        <v>0</v>
      </c>
      <c r="T483" s="8">
        <f>'01_Input_Raw_Products'!Q483</f>
        <v>0</v>
      </c>
      <c r="U483" s="8">
        <f>'01_Input_Raw_Products'!R483</f>
        <v>0</v>
      </c>
      <c r="V483" s="7">
        <f>I483</f>
        <v>0</v>
      </c>
      <c r="W483" s="9" cm="1">
        <f t="array" ref="W483">IF('01_Input_Raw_Products'!G483&lt;&gt;"",'01_Input_Raw_Products'!G483,IFERROR(_xlfn.XLOOKUP('01_Input_Raw_Products'!F483,'10_Master_Gem_Types'!A:A,'10_Master_Gem_Types'!L:L),""))</f>
        <v>0</v>
      </c>
      <c r="X483" s="9" cm="1">
        <f t="array" ref="X483">IFERROR(_xlfn.XLOOKUP('01_Input_Raw_Products'!F483,'10_Master_Gem_Types'!A:A,'10_Master_Gem_Types'!J:J),"")</f>
        <v>0</v>
      </c>
      <c r="Y483" s="9" cm="1">
        <f t="array" ref="Y483">IFERROR(_xlfn.XLOOKUP('01_Input_Raw_Products'!F483,'10_Master_Gem_Types'!A:A,'10_Master_Gem_Types'!I:I),"")</f>
        <v>0</v>
      </c>
      <c r="Z483" s="9" cm="1">
        <f t="array" ref="Z483">IFERROR(_xlfn.XLOOKUP('01_Input_Raw_Products'!L483,'13_Certification_Stickers'!A:A,'13_Certification_Stickers'!C:C),"")</f>
        <v>0</v>
      </c>
      <c r="AA483" s="9" cm="1">
        <f t="array" ref="AA483">IFERROR(_xlfn.XLOOKUP('01_Input_Raw_Products'!S483,'14_Shipping_Rules'!A:A,'14_Shipping_Rules'!B:B),"")</f>
        <v>0</v>
      </c>
      <c r="AB483" s="9" cm="1">
        <f t="array" ref="AB483">IFERROR(_xlfn.XLOOKUP('01_Input_Raw_Products'!D483,'16_Astro_Flags'!A:A,'16_Astro_Flags'!B:B),"")</f>
        <v>0</v>
      </c>
      <c r="AC483" s="9">
        <f>IF(C483="","","Catalog, Search")</f>
        <v>0</v>
      </c>
      <c r="AD483" s="9">
        <f>IF(C483="","",IF(OR(F483="",J483="",M483="",S483="",Y483=""),"Manual Review","Ready"))</f>
        <v>0</v>
      </c>
      <c r="AE483" s="9">
        <f>IF(C483="","",TEXTJOIN("; ",TRUE,IF(F483="","Missing url_key",""),IF(J483="","Missing classification",""),IF(M483="","Missing j_colour",""),IF(S483="","Missing hsn_code",""),IF(Y483="","Missing tax_class_id","")))</f>
        <v>0</v>
      </c>
    </row>
    <row r="484" spans="1:31">
      <c r="A484" s="9">
        <f>IF('01_Input_Raw_Products'!B484&lt;&gt;"",20,"")</f>
        <v>0</v>
      </c>
      <c r="B484" s="9" cm="1">
        <f t="array" ref="B484">IF('01_Input_Raw_Products'!M484&lt;&gt;"",'01_Input_Raw_Products'!M484,IFERROR(_xlfn.XLOOKUP('01_Input_Raw_Products'!F484,'10_Master_Gem_Types'!A:A,'10_Master_Gem_Types'!K:K),""))</f>
        <v>0</v>
      </c>
      <c r="C484" s="9">
        <f>'01_Input_Raw_Products'!B484</f>
        <v>0</v>
      </c>
      <c r="D484" s="9">
        <f>IF(C484="","",TEXT(I484,"0.00")&amp;" Ct "&amp;IF('01_Input_Raw_Products'!F484&lt;&gt;"",'01_Input_Raw_Products'!F484,'01_Input_Raw_Products'!D484)&amp;" "&amp;'01_Input_Raw_Products'!I484)</f>
        <v>0</v>
      </c>
      <c r="E484" s="9">
        <f>IF(C484="","",D484&amp;" | GemPundit")</f>
        <v>0</v>
      </c>
      <c r="F484" s="9" cm="1">
        <f t="array" ref="F484">IF('01_Input_Raw_Products'!X484&lt;&gt;"",'01_Input_Raw_Products'!X484,IFERROR(_xlfn.XLOOKUP('01_Input_Raw_Products'!F484,'10_Master_Gem_Types'!A:A,'10_Master_Gem_Types'!O:O),LOWER(SUBSTITUTE(IF('01_Input_Raw_Products'!F484&lt;&gt;"",'01_Input_Raw_Products'!F484,'01_Input_Raw_Products'!D484)," ","-"))))</f>
        <v>0</v>
      </c>
      <c r="G484" s="9">
        <f>'01_Input_Raw_Products'!C484</f>
        <v>0</v>
      </c>
      <c r="H484" s="9" cm="1">
        <f t="array" ref="H484">IF('01_Input_Raw_Products'!H484&lt;&gt;"",'01_Input_Raw_Products'!H484,IFERROR(_xlfn.XLOOKUP('01_Input_Raw_Products'!F484,'10_Master_Gem_Types'!A:A,'10_Master_Gem_Types'!D:D),""))</f>
        <v>0</v>
      </c>
      <c r="I484" s="7">
        <f>IF('01_Input_Raw_Products'!N484&lt;&gt;"",'01_Input_Raw_Products'!N484,IF('01_Input_Raw_Products'!O484&lt;&gt;"",'01_Input_Raw_Products'!O484*0.91,""))</f>
        <v>0</v>
      </c>
      <c r="J484" s="9" cm="1">
        <f t="array" ref="J484">IFERROR(_xlfn.XLOOKUP('01_Input_Raw_Products'!F484,'10_Master_Gem_Types'!A:A,'10_Master_Gem_Types'!N:N),"")</f>
        <v>0</v>
      </c>
      <c r="K484" s="9" cm="1">
        <f t="array" ref="K484">IF('01_Input_Raw_Products'!J484&lt;&gt;"",'01_Input_Raw_Products'!J484,IFERROR(_xlfn.XLOOKUP('01_Input_Raw_Products'!F484,'10_Master_Gem_Types'!A:A,'10_Master_Gem_Types'!E:E),""))</f>
        <v>0</v>
      </c>
      <c r="L484" s="9">
        <f>'01_Input_Raw_Products'!P484</f>
        <v>0</v>
      </c>
      <c r="M484" s="9" cm="1">
        <f t="array" ref="M484">IFERROR(_xlfn.XLOOKUP('01_Input_Raw_Products'!K484,'12_Color_Mapping'!A:A,'12_Color_Mapping'!B:B),IFERROR(_xlfn.XLOOKUP('01_Input_Raw_Products'!F484,'10_Master_Gem_Types'!A:A,'10_Master_Gem_Types'!F:F),""))</f>
        <v>0</v>
      </c>
      <c r="N484" s="9">
        <f>IF(C484="","",IF('01_Input_Raw_Products'!F484&lt;&gt;"",'01_Input_Raw_Products'!F484,'01_Input_Raw_Products'!D484))</f>
        <v>0</v>
      </c>
      <c r="O484" s="9">
        <f>IF(C484="","","Catalog Automation")</f>
        <v>0</v>
      </c>
      <c r="P484" s="9">
        <f>'01_Input_Raw_Products'!U484</f>
        <v>0</v>
      </c>
      <c r="Q484" s="7">
        <f>IF('01_Input_Raw_Products'!O484&lt;&gt;"",'01_Input_Raw_Products'!O484,IF('01_Input_Raw_Products'!N484&lt;&gt;"",'01_Input_Raw_Products'!N484*1.1,""))</f>
        <v>0</v>
      </c>
      <c r="R484" s="9">
        <f>'01_Input_Raw_Products'!S484</f>
        <v>0</v>
      </c>
      <c r="S484" s="9" cm="1">
        <f t="array" ref="S484">IFERROR(_xlfn.XLOOKUP('01_Input_Raw_Products'!F484,'10_Master_Gem_Types'!A:A,'10_Master_Gem_Types'!H:H),"")</f>
        <v>0</v>
      </c>
      <c r="T484" s="8">
        <f>'01_Input_Raw_Products'!Q484</f>
        <v>0</v>
      </c>
      <c r="U484" s="8">
        <f>'01_Input_Raw_Products'!R484</f>
        <v>0</v>
      </c>
      <c r="V484" s="7">
        <f>I484</f>
        <v>0</v>
      </c>
      <c r="W484" s="9" cm="1">
        <f t="array" ref="W484">IF('01_Input_Raw_Products'!G484&lt;&gt;"",'01_Input_Raw_Products'!G484,IFERROR(_xlfn.XLOOKUP('01_Input_Raw_Products'!F484,'10_Master_Gem_Types'!A:A,'10_Master_Gem_Types'!L:L),""))</f>
        <v>0</v>
      </c>
      <c r="X484" s="9" cm="1">
        <f t="array" ref="X484">IFERROR(_xlfn.XLOOKUP('01_Input_Raw_Products'!F484,'10_Master_Gem_Types'!A:A,'10_Master_Gem_Types'!J:J),"")</f>
        <v>0</v>
      </c>
      <c r="Y484" s="9" cm="1">
        <f t="array" ref="Y484">IFERROR(_xlfn.XLOOKUP('01_Input_Raw_Products'!F484,'10_Master_Gem_Types'!A:A,'10_Master_Gem_Types'!I:I),"")</f>
        <v>0</v>
      </c>
      <c r="Z484" s="9" cm="1">
        <f t="array" ref="Z484">IFERROR(_xlfn.XLOOKUP('01_Input_Raw_Products'!L484,'13_Certification_Stickers'!A:A,'13_Certification_Stickers'!C:C),"")</f>
        <v>0</v>
      </c>
      <c r="AA484" s="9" cm="1">
        <f t="array" ref="AA484">IFERROR(_xlfn.XLOOKUP('01_Input_Raw_Products'!S484,'14_Shipping_Rules'!A:A,'14_Shipping_Rules'!B:B),"")</f>
        <v>0</v>
      </c>
      <c r="AB484" s="9" cm="1">
        <f t="array" ref="AB484">IFERROR(_xlfn.XLOOKUP('01_Input_Raw_Products'!D484,'16_Astro_Flags'!A:A,'16_Astro_Flags'!B:B),"")</f>
        <v>0</v>
      </c>
      <c r="AC484" s="9">
        <f>IF(C484="","","Catalog, Search")</f>
        <v>0</v>
      </c>
      <c r="AD484" s="9">
        <f>IF(C484="","",IF(OR(F484="",J484="",M484="",S484="",Y484=""),"Manual Review","Ready"))</f>
        <v>0</v>
      </c>
      <c r="AE484" s="9">
        <f>IF(C484="","",TEXTJOIN("; ",TRUE,IF(F484="","Missing url_key",""),IF(J484="","Missing classification",""),IF(M484="","Missing j_colour",""),IF(S484="","Missing hsn_code",""),IF(Y484="","Missing tax_class_id","")))</f>
        <v>0</v>
      </c>
    </row>
    <row r="485" spans="1:31">
      <c r="A485" s="9">
        <f>IF('01_Input_Raw_Products'!B485&lt;&gt;"",20,"")</f>
        <v>0</v>
      </c>
      <c r="B485" s="9" cm="1">
        <f t="array" ref="B485">IF('01_Input_Raw_Products'!M485&lt;&gt;"",'01_Input_Raw_Products'!M485,IFERROR(_xlfn.XLOOKUP('01_Input_Raw_Products'!F485,'10_Master_Gem_Types'!A:A,'10_Master_Gem_Types'!K:K),""))</f>
        <v>0</v>
      </c>
      <c r="C485" s="9">
        <f>'01_Input_Raw_Products'!B485</f>
        <v>0</v>
      </c>
      <c r="D485" s="9">
        <f>IF(C485="","",TEXT(I485,"0.00")&amp;" Ct "&amp;IF('01_Input_Raw_Products'!F485&lt;&gt;"",'01_Input_Raw_Products'!F485,'01_Input_Raw_Products'!D485)&amp;" "&amp;'01_Input_Raw_Products'!I485)</f>
        <v>0</v>
      </c>
      <c r="E485" s="9">
        <f>IF(C485="","",D485&amp;" | GemPundit")</f>
        <v>0</v>
      </c>
      <c r="F485" s="9" cm="1">
        <f t="array" ref="F485">IF('01_Input_Raw_Products'!X485&lt;&gt;"",'01_Input_Raw_Products'!X485,IFERROR(_xlfn.XLOOKUP('01_Input_Raw_Products'!F485,'10_Master_Gem_Types'!A:A,'10_Master_Gem_Types'!O:O),LOWER(SUBSTITUTE(IF('01_Input_Raw_Products'!F485&lt;&gt;"",'01_Input_Raw_Products'!F485,'01_Input_Raw_Products'!D485)," ","-"))))</f>
        <v>0</v>
      </c>
      <c r="G485" s="9">
        <f>'01_Input_Raw_Products'!C485</f>
        <v>0</v>
      </c>
      <c r="H485" s="9" cm="1">
        <f t="array" ref="H485">IF('01_Input_Raw_Products'!H485&lt;&gt;"",'01_Input_Raw_Products'!H485,IFERROR(_xlfn.XLOOKUP('01_Input_Raw_Products'!F485,'10_Master_Gem_Types'!A:A,'10_Master_Gem_Types'!D:D),""))</f>
        <v>0</v>
      </c>
      <c r="I485" s="7">
        <f>IF('01_Input_Raw_Products'!N485&lt;&gt;"",'01_Input_Raw_Products'!N485,IF('01_Input_Raw_Products'!O485&lt;&gt;"",'01_Input_Raw_Products'!O485*0.91,""))</f>
        <v>0</v>
      </c>
      <c r="J485" s="9" cm="1">
        <f t="array" ref="J485">IFERROR(_xlfn.XLOOKUP('01_Input_Raw_Products'!F485,'10_Master_Gem_Types'!A:A,'10_Master_Gem_Types'!N:N),"")</f>
        <v>0</v>
      </c>
      <c r="K485" s="9" cm="1">
        <f t="array" ref="K485">IF('01_Input_Raw_Products'!J485&lt;&gt;"",'01_Input_Raw_Products'!J485,IFERROR(_xlfn.XLOOKUP('01_Input_Raw_Products'!F485,'10_Master_Gem_Types'!A:A,'10_Master_Gem_Types'!E:E),""))</f>
        <v>0</v>
      </c>
      <c r="L485" s="9">
        <f>'01_Input_Raw_Products'!P485</f>
        <v>0</v>
      </c>
      <c r="M485" s="9" cm="1">
        <f t="array" ref="M485">IFERROR(_xlfn.XLOOKUP('01_Input_Raw_Products'!K485,'12_Color_Mapping'!A:A,'12_Color_Mapping'!B:B),IFERROR(_xlfn.XLOOKUP('01_Input_Raw_Products'!F485,'10_Master_Gem_Types'!A:A,'10_Master_Gem_Types'!F:F),""))</f>
        <v>0</v>
      </c>
      <c r="N485" s="9">
        <f>IF(C485="","",IF('01_Input_Raw_Products'!F485&lt;&gt;"",'01_Input_Raw_Products'!F485,'01_Input_Raw_Products'!D485))</f>
        <v>0</v>
      </c>
      <c r="O485" s="9">
        <f>IF(C485="","","Catalog Automation")</f>
        <v>0</v>
      </c>
      <c r="P485" s="9">
        <f>'01_Input_Raw_Products'!U485</f>
        <v>0</v>
      </c>
      <c r="Q485" s="7">
        <f>IF('01_Input_Raw_Products'!O485&lt;&gt;"",'01_Input_Raw_Products'!O485,IF('01_Input_Raw_Products'!N485&lt;&gt;"",'01_Input_Raw_Products'!N485*1.1,""))</f>
        <v>0</v>
      </c>
      <c r="R485" s="9">
        <f>'01_Input_Raw_Products'!S485</f>
        <v>0</v>
      </c>
      <c r="S485" s="9" cm="1">
        <f t="array" ref="S485">IFERROR(_xlfn.XLOOKUP('01_Input_Raw_Products'!F485,'10_Master_Gem_Types'!A:A,'10_Master_Gem_Types'!H:H),"")</f>
        <v>0</v>
      </c>
      <c r="T485" s="8">
        <f>'01_Input_Raw_Products'!Q485</f>
        <v>0</v>
      </c>
      <c r="U485" s="8">
        <f>'01_Input_Raw_Products'!R485</f>
        <v>0</v>
      </c>
      <c r="V485" s="7">
        <f>I485</f>
        <v>0</v>
      </c>
      <c r="W485" s="9" cm="1">
        <f t="array" ref="W485">IF('01_Input_Raw_Products'!G485&lt;&gt;"",'01_Input_Raw_Products'!G485,IFERROR(_xlfn.XLOOKUP('01_Input_Raw_Products'!F485,'10_Master_Gem_Types'!A:A,'10_Master_Gem_Types'!L:L),""))</f>
        <v>0</v>
      </c>
      <c r="X485" s="9" cm="1">
        <f t="array" ref="X485">IFERROR(_xlfn.XLOOKUP('01_Input_Raw_Products'!F485,'10_Master_Gem_Types'!A:A,'10_Master_Gem_Types'!J:J),"")</f>
        <v>0</v>
      </c>
      <c r="Y485" s="9" cm="1">
        <f t="array" ref="Y485">IFERROR(_xlfn.XLOOKUP('01_Input_Raw_Products'!F485,'10_Master_Gem_Types'!A:A,'10_Master_Gem_Types'!I:I),"")</f>
        <v>0</v>
      </c>
      <c r="Z485" s="9" cm="1">
        <f t="array" ref="Z485">IFERROR(_xlfn.XLOOKUP('01_Input_Raw_Products'!L485,'13_Certification_Stickers'!A:A,'13_Certification_Stickers'!C:C),"")</f>
        <v>0</v>
      </c>
      <c r="AA485" s="9" cm="1">
        <f t="array" ref="AA485">IFERROR(_xlfn.XLOOKUP('01_Input_Raw_Products'!S485,'14_Shipping_Rules'!A:A,'14_Shipping_Rules'!B:B),"")</f>
        <v>0</v>
      </c>
      <c r="AB485" s="9" cm="1">
        <f t="array" ref="AB485">IFERROR(_xlfn.XLOOKUP('01_Input_Raw_Products'!D485,'16_Astro_Flags'!A:A,'16_Astro_Flags'!B:B),"")</f>
        <v>0</v>
      </c>
      <c r="AC485" s="9">
        <f>IF(C485="","","Catalog, Search")</f>
        <v>0</v>
      </c>
      <c r="AD485" s="9">
        <f>IF(C485="","",IF(OR(F485="",J485="",M485="",S485="",Y485=""),"Manual Review","Ready"))</f>
        <v>0</v>
      </c>
      <c r="AE485" s="9">
        <f>IF(C485="","",TEXTJOIN("; ",TRUE,IF(F485="","Missing url_key",""),IF(J485="","Missing classification",""),IF(M485="","Missing j_colour",""),IF(S485="","Missing hsn_code",""),IF(Y485="","Missing tax_class_id","")))</f>
        <v>0</v>
      </c>
    </row>
    <row r="486" spans="1:31">
      <c r="A486" s="9">
        <f>IF('01_Input_Raw_Products'!B486&lt;&gt;"",20,"")</f>
        <v>0</v>
      </c>
      <c r="B486" s="9" cm="1">
        <f t="array" ref="B486">IF('01_Input_Raw_Products'!M486&lt;&gt;"",'01_Input_Raw_Products'!M486,IFERROR(_xlfn.XLOOKUP('01_Input_Raw_Products'!F486,'10_Master_Gem_Types'!A:A,'10_Master_Gem_Types'!K:K),""))</f>
        <v>0</v>
      </c>
      <c r="C486" s="9">
        <f>'01_Input_Raw_Products'!B486</f>
        <v>0</v>
      </c>
      <c r="D486" s="9">
        <f>IF(C486="","",TEXT(I486,"0.00")&amp;" Ct "&amp;IF('01_Input_Raw_Products'!F486&lt;&gt;"",'01_Input_Raw_Products'!F486,'01_Input_Raw_Products'!D486)&amp;" "&amp;'01_Input_Raw_Products'!I486)</f>
        <v>0</v>
      </c>
      <c r="E486" s="9">
        <f>IF(C486="","",D486&amp;" | GemPundit")</f>
        <v>0</v>
      </c>
      <c r="F486" s="9" cm="1">
        <f t="array" ref="F486">IF('01_Input_Raw_Products'!X486&lt;&gt;"",'01_Input_Raw_Products'!X486,IFERROR(_xlfn.XLOOKUP('01_Input_Raw_Products'!F486,'10_Master_Gem_Types'!A:A,'10_Master_Gem_Types'!O:O),LOWER(SUBSTITUTE(IF('01_Input_Raw_Products'!F486&lt;&gt;"",'01_Input_Raw_Products'!F486,'01_Input_Raw_Products'!D486)," ","-"))))</f>
        <v>0</v>
      </c>
      <c r="G486" s="9">
        <f>'01_Input_Raw_Products'!C486</f>
        <v>0</v>
      </c>
      <c r="H486" s="9" cm="1">
        <f t="array" ref="H486">IF('01_Input_Raw_Products'!H486&lt;&gt;"",'01_Input_Raw_Products'!H486,IFERROR(_xlfn.XLOOKUP('01_Input_Raw_Products'!F486,'10_Master_Gem_Types'!A:A,'10_Master_Gem_Types'!D:D),""))</f>
        <v>0</v>
      </c>
      <c r="I486" s="7">
        <f>IF('01_Input_Raw_Products'!N486&lt;&gt;"",'01_Input_Raw_Products'!N486,IF('01_Input_Raw_Products'!O486&lt;&gt;"",'01_Input_Raw_Products'!O486*0.91,""))</f>
        <v>0</v>
      </c>
      <c r="J486" s="9" cm="1">
        <f t="array" ref="J486">IFERROR(_xlfn.XLOOKUP('01_Input_Raw_Products'!F486,'10_Master_Gem_Types'!A:A,'10_Master_Gem_Types'!N:N),"")</f>
        <v>0</v>
      </c>
      <c r="K486" s="9" cm="1">
        <f t="array" ref="K486">IF('01_Input_Raw_Products'!J486&lt;&gt;"",'01_Input_Raw_Products'!J486,IFERROR(_xlfn.XLOOKUP('01_Input_Raw_Products'!F486,'10_Master_Gem_Types'!A:A,'10_Master_Gem_Types'!E:E),""))</f>
        <v>0</v>
      </c>
      <c r="L486" s="9">
        <f>'01_Input_Raw_Products'!P486</f>
        <v>0</v>
      </c>
      <c r="M486" s="9" cm="1">
        <f t="array" ref="M486">IFERROR(_xlfn.XLOOKUP('01_Input_Raw_Products'!K486,'12_Color_Mapping'!A:A,'12_Color_Mapping'!B:B),IFERROR(_xlfn.XLOOKUP('01_Input_Raw_Products'!F486,'10_Master_Gem_Types'!A:A,'10_Master_Gem_Types'!F:F),""))</f>
        <v>0</v>
      </c>
      <c r="N486" s="9">
        <f>IF(C486="","",IF('01_Input_Raw_Products'!F486&lt;&gt;"",'01_Input_Raw_Products'!F486,'01_Input_Raw_Products'!D486))</f>
        <v>0</v>
      </c>
      <c r="O486" s="9">
        <f>IF(C486="","","Catalog Automation")</f>
        <v>0</v>
      </c>
      <c r="P486" s="9">
        <f>'01_Input_Raw_Products'!U486</f>
        <v>0</v>
      </c>
      <c r="Q486" s="7">
        <f>IF('01_Input_Raw_Products'!O486&lt;&gt;"",'01_Input_Raw_Products'!O486,IF('01_Input_Raw_Products'!N486&lt;&gt;"",'01_Input_Raw_Products'!N486*1.1,""))</f>
        <v>0</v>
      </c>
      <c r="R486" s="9">
        <f>'01_Input_Raw_Products'!S486</f>
        <v>0</v>
      </c>
      <c r="S486" s="9" cm="1">
        <f t="array" ref="S486">IFERROR(_xlfn.XLOOKUP('01_Input_Raw_Products'!F486,'10_Master_Gem_Types'!A:A,'10_Master_Gem_Types'!H:H),"")</f>
        <v>0</v>
      </c>
      <c r="T486" s="8">
        <f>'01_Input_Raw_Products'!Q486</f>
        <v>0</v>
      </c>
      <c r="U486" s="8">
        <f>'01_Input_Raw_Products'!R486</f>
        <v>0</v>
      </c>
      <c r="V486" s="7">
        <f>I486</f>
        <v>0</v>
      </c>
      <c r="W486" s="9" cm="1">
        <f t="array" ref="W486">IF('01_Input_Raw_Products'!G486&lt;&gt;"",'01_Input_Raw_Products'!G486,IFERROR(_xlfn.XLOOKUP('01_Input_Raw_Products'!F486,'10_Master_Gem_Types'!A:A,'10_Master_Gem_Types'!L:L),""))</f>
        <v>0</v>
      </c>
      <c r="X486" s="9" cm="1">
        <f t="array" ref="X486">IFERROR(_xlfn.XLOOKUP('01_Input_Raw_Products'!F486,'10_Master_Gem_Types'!A:A,'10_Master_Gem_Types'!J:J),"")</f>
        <v>0</v>
      </c>
      <c r="Y486" s="9" cm="1">
        <f t="array" ref="Y486">IFERROR(_xlfn.XLOOKUP('01_Input_Raw_Products'!F486,'10_Master_Gem_Types'!A:A,'10_Master_Gem_Types'!I:I),"")</f>
        <v>0</v>
      </c>
      <c r="Z486" s="9" cm="1">
        <f t="array" ref="Z486">IFERROR(_xlfn.XLOOKUP('01_Input_Raw_Products'!L486,'13_Certification_Stickers'!A:A,'13_Certification_Stickers'!C:C),"")</f>
        <v>0</v>
      </c>
      <c r="AA486" s="9" cm="1">
        <f t="array" ref="AA486">IFERROR(_xlfn.XLOOKUP('01_Input_Raw_Products'!S486,'14_Shipping_Rules'!A:A,'14_Shipping_Rules'!B:B),"")</f>
        <v>0</v>
      </c>
      <c r="AB486" s="9" cm="1">
        <f t="array" ref="AB486">IFERROR(_xlfn.XLOOKUP('01_Input_Raw_Products'!D486,'16_Astro_Flags'!A:A,'16_Astro_Flags'!B:B),"")</f>
        <v>0</v>
      </c>
      <c r="AC486" s="9">
        <f>IF(C486="","","Catalog, Search")</f>
        <v>0</v>
      </c>
      <c r="AD486" s="9">
        <f>IF(C486="","",IF(OR(F486="",J486="",M486="",S486="",Y486=""),"Manual Review","Ready"))</f>
        <v>0</v>
      </c>
      <c r="AE486" s="9">
        <f>IF(C486="","",TEXTJOIN("; ",TRUE,IF(F486="","Missing url_key",""),IF(J486="","Missing classification",""),IF(M486="","Missing j_colour",""),IF(S486="","Missing hsn_code",""),IF(Y486="","Missing tax_class_id","")))</f>
        <v>0</v>
      </c>
    </row>
    <row r="487" spans="1:31">
      <c r="A487" s="9">
        <f>IF('01_Input_Raw_Products'!B487&lt;&gt;"",20,"")</f>
        <v>0</v>
      </c>
      <c r="B487" s="9" cm="1">
        <f t="array" ref="B487">IF('01_Input_Raw_Products'!M487&lt;&gt;"",'01_Input_Raw_Products'!M487,IFERROR(_xlfn.XLOOKUP('01_Input_Raw_Products'!F487,'10_Master_Gem_Types'!A:A,'10_Master_Gem_Types'!K:K),""))</f>
        <v>0</v>
      </c>
      <c r="C487" s="9">
        <f>'01_Input_Raw_Products'!B487</f>
        <v>0</v>
      </c>
      <c r="D487" s="9">
        <f>IF(C487="","",TEXT(I487,"0.00")&amp;" Ct "&amp;IF('01_Input_Raw_Products'!F487&lt;&gt;"",'01_Input_Raw_Products'!F487,'01_Input_Raw_Products'!D487)&amp;" "&amp;'01_Input_Raw_Products'!I487)</f>
        <v>0</v>
      </c>
      <c r="E487" s="9">
        <f>IF(C487="","",D487&amp;" | GemPundit")</f>
        <v>0</v>
      </c>
      <c r="F487" s="9" cm="1">
        <f t="array" ref="F487">IF('01_Input_Raw_Products'!X487&lt;&gt;"",'01_Input_Raw_Products'!X487,IFERROR(_xlfn.XLOOKUP('01_Input_Raw_Products'!F487,'10_Master_Gem_Types'!A:A,'10_Master_Gem_Types'!O:O),LOWER(SUBSTITUTE(IF('01_Input_Raw_Products'!F487&lt;&gt;"",'01_Input_Raw_Products'!F487,'01_Input_Raw_Products'!D487)," ","-"))))</f>
        <v>0</v>
      </c>
      <c r="G487" s="9">
        <f>'01_Input_Raw_Products'!C487</f>
        <v>0</v>
      </c>
      <c r="H487" s="9" cm="1">
        <f t="array" ref="H487">IF('01_Input_Raw_Products'!H487&lt;&gt;"",'01_Input_Raw_Products'!H487,IFERROR(_xlfn.XLOOKUP('01_Input_Raw_Products'!F487,'10_Master_Gem_Types'!A:A,'10_Master_Gem_Types'!D:D),""))</f>
        <v>0</v>
      </c>
      <c r="I487" s="7">
        <f>IF('01_Input_Raw_Products'!N487&lt;&gt;"",'01_Input_Raw_Products'!N487,IF('01_Input_Raw_Products'!O487&lt;&gt;"",'01_Input_Raw_Products'!O487*0.91,""))</f>
        <v>0</v>
      </c>
      <c r="J487" s="9" cm="1">
        <f t="array" ref="J487">IFERROR(_xlfn.XLOOKUP('01_Input_Raw_Products'!F487,'10_Master_Gem_Types'!A:A,'10_Master_Gem_Types'!N:N),"")</f>
        <v>0</v>
      </c>
      <c r="K487" s="9" cm="1">
        <f t="array" ref="K487">IF('01_Input_Raw_Products'!J487&lt;&gt;"",'01_Input_Raw_Products'!J487,IFERROR(_xlfn.XLOOKUP('01_Input_Raw_Products'!F487,'10_Master_Gem_Types'!A:A,'10_Master_Gem_Types'!E:E),""))</f>
        <v>0</v>
      </c>
      <c r="L487" s="9">
        <f>'01_Input_Raw_Products'!P487</f>
        <v>0</v>
      </c>
      <c r="M487" s="9" cm="1">
        <f t="array" ref="M487">IFERROR(_xlfn.XLOOKUP('01_Input_Raw_Products'!K487,'12_Color_Mapping'!A:A,'12_Color_Mapping'!B:B),IFERROR(_xlfn.XLOOKUP('01_Input_Raw_Products'!F487,'10_Master_Gem_Types'!A:A,'10_Master_Gem_Types'!F:F),""))</f>
        <v>0</v>
      </c>
      <c r="N487" s="9">
        <f>IF(C487="","",IF('01_Input_Raw_Products'!F487&lt;&gt;"",'01_Input_Raw_Products'!F487,'01_Input_Raw_Products'!D487))</f>
        <v>0</v>
      </c>
      <c r="O487" s="9">
        <f>IF(C487="","","Catalog Automation")</f>
        <v>0</v>
      </c>
      <c r="P487" s="9">
        <f>'01_Input_Raw_Products'!U487</f>
        <v>0</v>
      </c>
      <c r="Q487" s="7">
        <f>IF('01_Input_Raw_Products'!O487&lt;&gt;"",'01_Input_Raw_Products'!O487,IF('01_Input_Raw_Products'!N487&lt;&gt;"",'01_Input_Raw_Products'!N487*1.1,""))</f>
        <v>0</v>
      </c>
      <c r="R487" s="9">
        <f>'01_Input_Raw_Products'!S487</f>
        <v>0</v>
      </c>
      <c r="S487" s="9" cm="1">
        <f t="array" ref="S487">IFERROR(_xlfn.XLOOKUP('01_Input_Raw_Products'!F487,'10_Master_Gem_Types'!A:A,'10_Master_Gem_Types'!H:H),"")</f>
        <v>0</v>
      </c>
      <c r="T487" s="8">
        <f>'01_Input_Raw_Products'!Q487</f>
        <v>0</v>
      </c>
      <c r="U487" s="8">
        <f>'01_Input_Raw_Products'!R487</f>
        <v>0</v>
      </c>
      <c r="V487" s="7">
        <f>I487</f>
        <v>0</v>
      </c>
      <c r="W487" s="9" cm="1">
        <f t="array" ref="W487">IF('01_Input_Raw_Products'!G487&lt;&gt;"",'01_Input_Raw_Products'!G487,IFERROR(_xlfn.XLOOKUP('01_Input_Raw_Products'!F487,'10_Master_Gem_Types'!A:A,'10_Master_Gem_Types'!L:L),""))</f>
        <v>0</v>
      </c>
      <c r="X487" s="9" cm="1">
        <f t="array" ref="X487">IFERROR(_xlfn.XLOOKUP('01_Input_Raw_Products'!F487,'10_Master_Gem_Types'!A:A,'10_Master_Gem_Types'!J:J),"")</f>
        <v>0</v>
      </c>
      <c r="Y487" s="9" cm="1">
        <f t="array" ref="Y487">IFERROR(_xlfn.XLOOKUP('01_Input_Raw_Products'!F487,'10_Master_Gem_Types'!A:A,'10_Master_Gem_Types'!I:I),"")</f>
        <v>0</v>
      </c>
      <c r="Z487" s="9" cm="1">
        <f t="array" ref="Z487">IFERROR(_xlfn.XLOOKUP('01_Input_Raw_Products'!L487,'13_Certification_Stickers'!A:A,'13_Certification_Stickers'!C:C),"")</f>
        <v>0</v>
      </c>
      <c r="AA487" s="9" cm="1">
        <f t="array" ref="AA487">IFERROR(_xlfn.XLOOKUP('01_Input_Raw_Products'!S487,'14_Shipping_Rules'!A:A,'14_Shipping_Rules'!B:B),"")</f>
        <v>0</v>
      </c>
      <c r="AB487" s="9" cm="1">
        <f t="array" ref="AB487">IFERROR(_xlfn.XLOOKUP('01_Input_Raw_Products'!D487,'16_Astro_Flags'!A:A,'16_Astro_Flags'!B:B),"")</f>
        <v>0</v>
      </c>
      <c r="AC487" s="9">
        <f>IF(C487="","","Catalog, Search")</f>
        <v>0</v>
      </c>
      <c r="AD487" s="9">
        <f>IF(C487="","",IF(OR(F487="",J487="",M487="",S487="",Y487=""),"Manual Review","Ready"))</f>
        <v>0</v>
      </c>
      <c r="AE487" s="9">
        <f>IF(C487="","",TEXTJOIN("; ",TRUE,IF(F487="","Missing url_key",""),IF(J487="","Missing classification",""),IF(M487="","Missing j_colour",""),IF(S487="","Missing hsn_code",""),IF(Y487="","Missing tax_class_id","")))</f>
        <v>0</v>
      </c>
    </row>
    <row r="488" spans="1:31">
      <c r="A488" s="9">
        <f>IF('01_Input_Raw_Products'!B488&lt;&gt;"",20,"")</f>
        <v>0</v>
      </c>
      <c r="B488" s="9" cm="1">
        <f t="array" ref="B488">IF('01_Input_Raw_Products'!M488&lt;&gt;"",'01_Input_Raw_Products'!M488,IFERROR(_xlfn.XLOOKUP('01_Input_Raw_Products'!F488,'10_Master_Gem_Types'!A:A,'10_Master_Gem_Types'!K:K),""))</f>
        <v>0</v>
      </c>
      <c r="C488" s="9">
        <f>'01_Input_Raw_Products'!B488</f>
        <v>0</v>
      </c>
      <c r="D488" s="9">
        <f>IF(C488="","",TEXT(I488,"0.00")&amp;" Ct "&amp;IF('01_Input_Raw_Products'!F488&lt;&gt;"",'01_Input_Raw_Products'!F488,'01_Input_Raw_Products'!D488)&amp;" "&amp;'01_Input_Raw_Products'!I488)</f>
        <v>0</v>
      </c>
      <c r="E488" s="9">
        <f>IF(C488="","",D488&amp;" | GemPundit")</f>
        <v>0</v>
      </c>
      <c r="F488" s="9" cm="1">
        <f t="array" ref="F488">IF('01_Input_Raw_Products'!X488&lt;&gt;"",'01_Input_Raw_Products'!X488,IFERROR(_xlfn.XLOOKUP('01_Input_Raw_Products'!F488,'10_Master_Gem_Types'!A:A,'10_Master_Gem_Types'!O:O),LOWER(SUBSTITUTE(IF('01_Input_Raw_Products'!F488&lt;&gt;"",'01_Input_Raw_Products'!F488,'01_Input_Raw_Products'!D488)," ","-"))))</f>
        <v>0</v>
      </c>
      <c r="G488" s="9">
        <f>'01_Input_Raw_Products'!C488</f>
        <v>0</v>
      </c>
      <c r="H488" s="9" cm="1">
        <f t="array" ref="H488">IF('01_Input_Raw_Products'!H488&lt;&gt;"",'01_Input_Raw_Products'!H488,IFERROR(_xlfn.XLOOKUP('01_Input_Raw_Products'!F488,'10_Master_Gem_Types'!A:A,'10_Master_Gem_Types'!D:D),""))</f>
        <v>0</v>
      </c>
      <c r="I488" s="7">
        <f>IF('01_Input_Raw_Products'!N488&lt;&gt;"",'01_Input_Raw_Products'!N488,IF('01_Input_Raw_Products'!O488&lt;&gt;"",'01_Input_Raw_Products'!O488*0.91,""))</f>
        <v>0</v>
      </c>
      <c r="J488" s="9" cm="1">
        <f t="array" ref="J488">IFERROR(_xlfn.XLOOKUP('01_Input_Raw_Products'!F488,'10_Master_Gem_Types'!A:A,'10_Master_Gem_Types'!N:N),"")</f>
        <v>0</v>
      </c>
      <c r="K488" s="9" cm="1">
        <f t="array" ref="K488">IF('01_Input_Raw_Products'!J488&lt;&gt;"",'01_Input_Raw_Products'!J488,IFERROR(_xlfn.XLOOKUP('01_Input_Raw_Products'!F488,'10_Master_Gem_Types'!A:A,'10_Master_Gem_Types'!E:E),""))</f>
        <v>0</v>
      </c>
      <c r="L488" s="9">
        <f>'01_Input_Raw_Products'!P488</f>
        <v>0</v>
      </c>
      <c r="M488" s="9" cm="1">
        <f t="array" ref="M488">IFERROR(_xlfn.XLOOKUP('01_Input_Raw_Products'!K488,'12_Color_Mapping'!A:A,'12_Color_Mapping'!B:B),IFERROR(_xlfn.XLOOKUP('01_Input_Raw_Products'!F488,'10_Master_Gem_Types'!A:A,'10_Master_Gem_Types'!F:F),""))</f>
        <v>0</v>
      </c>
      <c r="N488" s="9">
        <f>IF(C488="","",IF('01_Input_Raw_Products'!F488&lt;&gt;"",'01_Input_Raw_Products'!F488,'01_Input_Raw_Products'!D488))</f>
        <v>0</v>
      </c>
      <c r="O488" s="9">
        <f>IF(C488="","","Catalog Automation")</f>
        <v>0</v>
      </c>
      <c r="P488" s="9">
        <f>'01_Input_Raw_Products'!U488</f>
        <v>0</v>
      </c>
      <c r="Q488" s="7">
        <f>IF('01_Input_Raw_Products'!O488&lt;&gt;"",'01_Input_Raw_Products'!O488,IF('01_Input_Raw_Products'!N488&lt;&gt;"",'01_Input_Raw_Products'!N488*1.1,""))</f>
        <v>0</v>
      </c>
      <c r="R488" s="9">
        <f>'01_Input_Raw_Products'!S488</f>
        <v>0</v>
      </c>
      <c r="S488" s="9" cm="1">
        <f t="array" ref="S488">IFERROR(_xlfn.XLOOKUP('01_Input_Raw_Products'!F488,'10_Master_Gem_Types'!A:A,'10_Master_Gem_Types'!H:H),"")</f>
        <v>0</v>
      </c>
      <c r="T488" s="8">
        <f>'01_Input_Raw_Products'!Q488</f>
        <v>0</v>
      </c>
      <c r="U488" s="8">
        <f>'01_Input_Raw_Products'!R488</f>
        <v>0</v>
      </c>
      <c r="V488" s="7">
        <f>I488</f>
        <v>0</v>
      </c>
      <c r="W488" s="9" cm="1">
        <f t="array" ref="W488">IF('01_Input_Raw_Products'!G488&lt;&gt;"",'01_Input_Raw_Products'!G488,IFERROR(_xlfn.XLOOKUP('01_Input_Raw_Products'!F488,'10_Master_Gem_Types'!A:A,'10_Master_Gem_Types'!L:L),""))</f>
        <v>0</v>
      </c>
      <c r="X488" s="9" cm="1">
        <f t="array" ref="X488">IFERROR(_xlfn.XLOOKUP('01_Input_Raw_Products'!F488,'10_Master_Gem_Types'!A:A,'10_Master_Gem_Types'!J:J),"")</f>
        <v>0</v>
      </c>
      <c r="Y488" s="9" cm="1">
        <f t="array" ref="Y488">IFERROR(_xlfn.XLOOKUP('01_Input_Raw_Products'!F488,'10_Master_Gem_Types'!A:A,'10_Master_Gem_Types'!I:I),"")</f>
        <v>0</v>
      </c>
      <c r="Z488" s="9" cm="1">
        <f t="array" ref="Z488">IFERROR(_xlfn.XLOOKUP('01_Input_Raw_Products'!L488,'13_Certification_Stickers'!A:A,'13_Certification_Stickers'!C:C),"")</f>
        <v>0</v>
      </c>
      <c r="AA488" s="9" cm="1">
        <f t="array" ref="AA488">IFERROR(_xlfn.XLOOKUP('01_Input_Raw_Products'!S488,'14_Shipping_Rules'!A:A,'14_Shipping_Rules'!B:B),"")</f>
        <v>0</v>
      </c>
      <c r="AB488" s="9" cm="1">
        <f t="array" ref="AB488">IFERROR(_xlfn.XLOOKUP('01_Input_Raw_Products'!D488,'16_Astro_Flags'!A:A,'16_Astro_Flags'!B:B),"")</f>
        <v>0</v>
      </c>
      <c r="AC488" s="9">
        <f>IF(C488="","","Catalog, Search")</f>
        <v>0</v>
      </c>
      <c r="AD488" s="9">
        <f>IF(C488="","",IF(OR(F488="",J488="",M488="",S488="",Y488=""),"Manual Review","Ready"))</f>
        <v>0</v>
      </c>
      <c r="AE488" s="9">
        <f>IF(C488="","",TEXTJOIN("; ",TRUE,IF(F488="","Missing url_key",""),IF(J488="","Missing classification",""),IF(M488="","Missing j_colour",""),IF(S488="","Missing hsn_code",""),IF(Y488="","Missing tax_class_id","")))</f>
        <v>0</v>
      </c>
    </row>
    <row r="489" spans="1:31">
      <c r="A489" s="9">
        <f>IF('01_Input_Raw_Products'!B489&lt;&gt;"",20,"")</f>
        <v>0</v>
      </c>
      <c r="B489" s="9" cm="1">
        <f t="array" ref="B489">IF('01_Input_Raw_Products'!M489&lt;&gt;"",'01_Input_Raw_Products'!M489,IFERROR(_xlfn.XLOOKUP('01_Input_Raw_Products'!F489,'10_Master_Gem_Types'!A:A,'10_Master_Gem_Types'!K:K),""))</f>
        <v>0</v>
      </c>
      <c r="C489" s="9">
        <f>'01_Input_Raw_Products'!B489</f>
        <v>0</v>
      </c>
      <c r="D489" s="9">
        <f>IF(C489="","",TEXT(I489,"0.00")&amp;" Ct "&amp;IF('01_Input_Raw_Products'!F489&lt;&gt;"",'01_Input_Raw_Products'!F489,'01_Input_Raw_Products'!D489)&amp;" "&amp;'01_Input_Raw_Products'!I489)</f>
        <v>0</v>
      </c>
      <c r="E489" s="9">
        <f>IF(C489="","",D489&amp;" | GemPundit")</f>
        <v>0</v>
      </c>
      <c r="F489" s="9" cm="1">
        <f t="array" ref="F489">IF('01_Input_Raw_Products'!X489&lt;&gt;"",'01_Input_Raw_Products'!X489,IFERROR(_xlfn.XLOOKUP('01_Input_Raw_Products'!F489,'10_Master_Gem_Types'!A:A,'10_Master_Gem_Types'!O:O),LOWER(SUBSTITUTE(IF('01_Input_Raw_Products'!F489&lt;&gt;"",'01_Input_Raw_Products'!F489,'01_Input_Raw_Products'!D489)," ","-"))))</f>
        <v>0</v>
      </c>
      <c r="G489" s="9">
        <f>'01_Input_Raw_Products'!C489</f>
        <v>0</v>
      </c>
      <c r="H489" s="9" cm="1">
        <f t="array" ref="H489">IF('01_Input_Raw_Products'!H489&lt;&gt;"",'01_Input_Raw_Products'!H489,IFERROR(_xlfn.XLOOKUP('01_Input_Raw_Products'!F489,'10_Master_Gem_Types'!A:A,'10_Master_Gem_Types'!D:D),""))</f>
        <v>0</v>
      </c>
      <c r="I489" s="7">
        <f>IF('01_Input_Raw_Products'!N489&lt;&gt;"",'01_Input_Raw_Products'!N489,IF('01_Input_Raw_Products'!O489&lt;&gt;"",'01_Input_Raw_Products'!O489*0.91,""))</f>
        <v>0</v>
      </c>
      <c r="J489" s="9" cm="1">
        <f t="array" ref="J489">IFERROR(_xlfn.XLOOKUP('01_Input_Raw_Products'!F489,'10_Master_Gem_Types'!A:A,'10_Master_Gem_Types'!N:N),"")</f>
        <v>0</v>
      </c>
      <c r="K489" s="9" cm="1">
        <f t="array" ref="K489">IF('01_Input_Raw_Products'!J489&lt;&gt;"",'01_Input_Raw_Products'!J489,IFERROR(_xlfn.XLOOKUP('01_Input_Raw_Products'!F489,'10_Master_Gem_Types'!A:A,'10_Master_Gem_Types'!E:E),""))</f>
        <v>0</v>
      </c>
      <c r="L489" s="9">
        <f>'01_Input_Raw_Products'!P489</f>
        <v>0</v>
      </c>
      <c r="M489" s="9" cm="1">
        <f t="array" ref="M489">IFERROR(_xlfn.XLOOKUP('01_Input_Raw_Products'!K489,'12_Color_Mapping'!A:A,'12_Color_Mapping'!B:B),IFERROR(_xlfn.XLOOKUP('01_Input_Raw_Products'!F489,'10_Master_Gem_Types'!A:A,'10_Master_Gem_Types'!F:F),""))</f>
        <v>0</v>
      </c>
      <c r="N489" s="9">
        <f>IF(C489="","",IF('01_Input_Raw_Products'!F489&lt;&gt;"",'01_Input_Raw_Products'!F489,'01_Input_Raw_Products'!D489))</f>
        <v>0</v>
      </c>
      <c r="O489" s="9">
        <f>IF(C489="","","Catalog Automation")</f>
        <v>0</v>
      </c>
      <c r="P489" s="9">
        <f>'01_Input_Raw_Products'!U489</f>
        <v>0</v>
      </c>
      <c r="Q489" s="7">
        <f>IF('01_Input_Raw_Products'!O489&lt;&gt;"",'01_Input_Raw_Products'!O489,IF('01_Input_Raw_Products'!N489&lt;&gt;"",'01_Input_Raw_Products'!N489*1.1,""))</f>
        <v>0</v>
      </c>
      <c r="R489" s="9">
        <f>'01_Input_Raw_Products'!S489</f>
        <v>0</v>
      </c>
      <c r="S489" s="9" cm="1">
        <f t="array" ref="S489">IFERROR(_xlfn.XLOOKUP('01_Input_Raw_Products'!F489,'10_Master_Gem_Types'!A:A,'10_Master_Gem_Types'!H:H),"")</f>
        <v>0</v>
      </c>
      <c r="T489" s="8">
        <f>'01_Input_Raw_Products'!Q489</f>
        <v>0</v>
      </c>
      <c r="U489" s="8">
        <f>'01_Input_Raw_Products'!R489</f>
        <v>0</v>
      </c>
      <c r="V489" s="7">
        <f>I489</f>
        <v>0</v>
      </c>
      <c r="W489" s="9" cm="1">
        <f t="array" ref="W489">IF('01_Input_Raw_Products'!G489&lt;&gt;"",'01_Input_Raw_Products'!G489,IFERROR(_xlfn.XLOOKUP('01_Input_Raw_Products'!F489,'10_Master_Gem_Types'!A:A,'10_Master_Gem_Types'!L:L),""))</f>
        <v>0</v>
      </c>
      <c r="X489" s="9" cm="1">
        <f t="array" ref="X489">IFERROR(_xlfn.XLOOKUP('01_Input_Raw_Products'!F489,'10_Master_Gem_Types'!A:A,'10_Master_Gem_Types'!J:J),"")</f>
        <v>0</v>
      </c>
      <c r="Y489" s="9" cm="1">
        <f t="array" ref="Y489">IFERROR(_xlfn.XLOOKUP('01_Input_Raw_Products'!F489,'10_Master_Gem_Types'!A:A,'10_Master_Gem_Types'!I:I),"")</f>
        <v>0</v>
      </c>
      <c r="Z489" s="9" cm="1">
        <f t="array" ref="Z489">IFERROR(_xlfn.XLOOKUP('01_Input_Raw_Products'!L489,'13_Certification_Stickers'!A:A,'13_Certification_Stickers'!C:C),"")</f>
        <v>0</v>
      </c>
      <c r="AA489" s="9" cm="1">
        <f t="array" ref="AA489">IFERROR(_xlfn.XLOOKUP('01_Input_Raw_Products'!S489,'14_Shipping_Rules'!A:A,'14_Shipping_Rules'!B:B),"")</f>
        <v>0</v>
      </c>
      <c r="AB489" s="9" cm="1">
        <f t="array" ref="AB489">IFERROR(_xlfn.XLOOKUP('01_Input_Raw_Products'!D489,'16_Astro_Flags'!A:A,'16_Astro_Flags'!B:B),"")</f>
        <v>0</v>
      </c>
      <c r="AC489" s="9">
        <f>IF(C489="","","Catalog, Search")</f>
        <v>0</v>
      </c>
      <c r="AD489" s="9">
        <f>IF(C489="","",IF(OR(F489="",J489="",M489="",S489="",Y489=""),"Manual Review","Ready"))</f>
        <v>0</v>
      </c>
      <c r="AE489" s="9">
        <f>IF(C489="","",TEXTJOIN("; ",TRUE,IF(F489="","Missing url_key",""),IF(J489="","Missing classification",""),IF(M489="","Missing j_colour",""),IF(S489="","Missing hsn_code",""),IF(Y489="","Missing tax_class_id","")))</f>
        <v>0</v>
      </c>
    </row>
    <row r="490" spans="1:31">
      <c r="A490" s="9">
        <f>IF('01_Input_Raw_Products'!B490&lt;&gt;"",20,"")</f>
        <v>0</v>
      </c>
      <c r="B490" s="9" cm="1">
        <f t="array" ref="B490">IF('01_Input_Raw_Products'!M490&lt;&gt;"",'01_Input_Raw_Products'!M490,IFERROR(_xlfn.XLOOKUP('01_Input_Raw_Products'!F490,'10_Master_Gem_Types'!A:A,'10_Master_Gem_Types'!K:K),""))</f>
        <v>0</v>
      </c>
      <c r="C490" s="9">
        <f>'01_Input_Raw_Products'!B490</f>
        <v>0</v>
      </c>
      <c r="D490" s="9">
        <f>IF(C490="","",TEXT(I490,"0.00")&amp;" Ct "&amp;IF('01_Input_Raw_Products'!F490&lt;&gt;"",'01_Input_Raw_Products'!F490,'01_Input_Raw_Products'!D490)&amp;" "&amp;'01_Input_Raw_Products'!I490)</f>
        <v>0</v>
      </c>
      <c r="E490" s="9">
        <f>IF(C490="","",D490&amp;" | GemPundit")</f>
        <v>0</v>
      </c>
      <c r="F490" s="9" cm="1">
        <f t="array" ref="F490">IF('01_Input_Raw_Products'!X490&lt;&gt;"",'01_Input_Raw_Products'!X490,IFERROR(_xlfn.XLOOKUP('01_Input_Raw_Products'!F490,'10_Master_Gem_Types'!A:A,'10_Master_Gem_Types'!O:O),LOWER(SUBSTITUTE(IF('01_Input_Raw_Products'!F490&lt;&gt;"",'01_Input_Raw_Products'!F490,'01_Input_Raw_Products'!D490)," ","-"))))</f>
        <v>0</v>
      </c>
      <c r="G490" s="9">
        <f>'01_Input_Raw_Products'!C490</f>
        <v>0</v>
      </c>
      <c r="H490" s="9" cm="1">
        <f t="array" ref="H490">IF('01_Input_Raw_Products'!H490&lt;&gt;"",'01_Input_Raw_Products'!H490,IFERROR(_xlfn.XLOOKUP('01_Input_Raw_Products'!F490,'10_Master_Gem_Types'!A:A,'10_Master_Gem_Types'!D:D),""))</f>
        <v>0</v>
      </c>
      <c r="I490" s="7">
        <f>IF('01_Input_Raw_Products'!N490&lt;&gt;"",'01_Input_Raw_Products'!N490,IF('01_Input_Raw_Products'!O490&lt;&gt;"",'01_Input_Raw_Products'!O490*0.91,""))</f>
        <v>0</v>
      </c>
      <c r="J490" s="9" cm="1">
        <f t="array" ref="J490">IFERROR(_xlfn.XLOOKUP('01_Input_Raw_Products'!F490,'10_Master_Gem_Types'!A:A,'10_Master_Gem_Types'!N:N),"")</f>
        <v>0</v>
      </c>
      <c r="K490" s="9" cm="1">
        <f t="array" ref="K490">IF('01_Input_Raw_Products'!J490&lt;&gt;"",'01_Input_Raw_Products'!J490,IFERROR(_xlfn.XLOOKUP('01_Input_Raw_Products'!F490,'10_Master_Gem_Types'!A:A,'10_Master_Gem_Types'!E:E),""))</f>
        <v>0</v>
      </c>
      <c r="L490" s="9">
        <f>'01_Input_Raw_Products'!P490</f>
        <v>0</v>
      </c>
      <c r="M490" s="9" cm="1">
        <f t="array" ref="M490">IFERROR(_xlfn.XLOOKUP('01_Input_Raw_Products'!K490,'12_Color_Mapping'!A:A,'12_Color_Mapping'!B:B),IFERROR(_xlfn.XLOOKUP('01_Input_Raw_Products'!F490,'10_Master_Gem_Types'!A:A,'10_Master_Gem_Types'!F:F),""))</f>
        <v>0</v>
      </c>
      <c r="N490" s="9">
        <f>IF(C490="","",IF('01_Input_Raw_Products'!F490&lt;&gt;"",'01_Input_Raw_Products'!F490,'01_Input_Raw_Products'!D490))</f>
        <v>0</v>
      </c>
      <c r="O490" s="9">
        <f>IF(C490="","","Catalog Automation")</f>
        <v>0</v>
      </c>
      <c r="P490" s="9">
        <f>'01_Input_Raw_Products'!U490</f>
        <v>0</v>
      </c>
      <c r="Q490" s="7">
        <f>IF('01_Input_Raw_Products'!O490&lt;&gt;"",'01_Input_Raw_Products'!O490,IF('01_Input_Raw_Products'!N490&lt;&gt;"",'01_Input_Raw_Products'!N490*1.1,""))</f>
        <v>0</v>
      </c>
      <c r="R490" s="9">
        <f>'01_Input_Raw_Products'!S490</f>
        <v>0</v>
      </c>
      <c r="S490" s="9" cm="1">
        <f t="array" ref="S490">IFERROR(_xlfn.XLOOKUP('01_Input_Raw_Products'!F490,'10_Master_Gem_Types'!A:A,'10_Master_Gem_Types'!H:H),"")</f>
        <v>0</v>
      </c>
      <c r="T490" s="8">
        <f>'01_Input_Raw_Products'!Q490</f>
        <v>0</v>
      </c>
      <c r="U490" s="8">
        <f>'01_Input_Raw_Products'!R490</f>
        <v>0</v>
      </c>
      <c r="V490" s="7">
        <f>I490</f>
        <v>0</v>
      </c>
      <c r="W490" s="9" cm="1">
        <f t="array" ref="W490">IF('01_Input_Raw_Products'!G490&lt;&gt;"",'01_Input_Raw_Products'!G490,IFERROR(_xlfn.XLOOKUP('01_Input_Raw_Products'!F490,'10_Master_Gem_Types'!A:A,'10_Master_Gem_Types'!L:L),""))</f>
        <v>0</v>
      </c>
      <c r="X490" s="9" cm="1">
        <f t="array" ref="X490">IFERROR(_xlfn.XLOOKUP('01_Input_Raw_Products'!F490,'10_Master_Gem_Types'!A:A,'10_Master_Gem_Types'!J:J),"")</f>
        <v>0</v>
      </c>
      <c r="Y490" s="9" cm="1">
        <f t="array" ref="Y490">IFERROR(_xlfn.XLOOKUP('01_Input_Raw_Products'!F490,'10_Master_Gem_Types'!A:A,'10_Master_Gem_Types'!I:I),"")</f>
        <v>0</v>
      </c>
      <c r="Z490" s="9" cm="1">
        <f t="array" ref="Z490">IFERROR(_xlfn.XLOOKUP('01_Input_Raw_Products'!L490,'13_Certification_Stickers'!A:A,'13_Certification_Stickers'!C:C),"")</f>
        <v>0</v>
      </c>
      <c r="AA490" s="9" cm="1">
        <f t="array" ref="AA490">IFERROR(_xlfn.XLOOKUP('01_Input_Raw_Products'!S490,'14_Shipping_Rules'!A:A,'14_Shipping_Rules'!B:B),"")</f>
        <v>0</v>
      </c>
      <c r="AB490" s="9" cm="1">
        <f t="array" ref="AB490">IFERROR(_xlfn.XLOOKUP('01_Input_Raw_Products'!D490,'16_Astro_Flags'!A:A,'16_Astro_Flags'!B:B),"")</f>
        <v>0</v>
      </c>
      <c r="AC490" s="9">
        <f>IF(C490="","","Catalog, Search")</f>
        <v>0</v>
      </c>
      <c r="AD490" s="9">
        <f>IF(C490="","",IF(OR(F490="",J490="",M490="",S490="",Y490=""),"Manual Review","Ready"))</f>
        <v>0</v>
      </c>
      <c r="AE490" s="9">
        <f>IF(C490="","",TEXTJOIN("; ",TRUE,IF(F490="","Missing url_key",""),IF(J490="","Missing classification",""),IF(M490="","Missing j_colour",""),IF(S490="","Missing hsn_code",""),IF(Y490="","Missing tax_class_id","")))</f>
        <v>0</v>
      </c>
    </row>
    <row r="491" spans="1:31">
      <c r="A491" s="9">
        <f>IF('01_Input_Raw_Products'!B491&lt;&gt;"",20,"")</f>
        <v>0</v>
      </c>
      <c r="B491" s="9" cm="1">
        <f t="array" ref="B491">IF('01_Input_Raw_Products'!M491&lt;&gt;"",'01_Input_Raw_Products'!M491,IFERROR(_xlfn.XLOOKUP('01_Input_Raw_Products'!F491,'10_Master_Gem_Types'!A:A,'10_Master_Gem_Types'!K:K),""))</f>
        <v>0</v>
      </c>
      <c r="C491" s="9">
        <f>'01_Input_Raw_Products'!B491</f>
        <v>0</v>
      </c>
      <c r="D491" s="9">
        <f>IF(C491="","",TEXT(I491,"0.00")&amp;" Ct "&amp;IF('01_Input_Raw_Products'!F491&lt;&gt;"",'01_Input_Raw_Products'!F491,'01_Input_Raw_Products'!D491)&amp;" "&amp;'01_Input_Raw_Products'!I491)</f>
        <v>0</v>
      </c>
      <c r="E491" s="9">
        <f>IF(C491="","",D491&amp;" | GemPundit")</f>
        <v>0</v>
      </c>
      <c r="F491" s="9" cm="1">
        <f t="array" ref="F491">IF('01_Input_Raw_Products'!X491&lt;&gt;"",'01_Input_Raw_Products'!X491,IFERROR(_xlfn.XLOOKUP('01_Input_Raw_Products'!F491,'10_Master_Gem_Types'!A:A,'10_Master_Gem_Types'!O:O),LOWER(SUBSTITUTE(IF('01_Input_Raw_Products'!F491&lt;&gt;"",'01_Input_Raw_Products'!F491,'01_Input_Raw_Products'!D491)," ","-"))))</f>
        <v>0</v>
      </c>
      <c r="G491" s="9">
        <f>'01_Input_Raw_Products'!C491</f>
        <v>0</v>
      </c>
      <c r="H491" s="9" cm="1">
        <f t="array" ref="H491">IF('01_Input_Raw_Products'!H491&lt;&gt;"",'01_Input_Raw_Products'!H491,IFERROR(_xlfn.XLOOKUP('01_Input_Raw_Products'!F491,'10_Master_Gem_Types'!A:A,'10_Master_Gem_Types'!D:D),""))</f>
        <v>0</v>
      </c>
      <c r="I491" s="7">
        <f>IF('01_Input_Raw_Products'!N491&lt;&gt;"",'01_Input_Raw_Products'!N491,IF('01_Input_Raw_Products'!O491&lt;&gt;"",'01_Input_Raw_Products'!O491*0.91,""))</f>
        <v>0</v>
      </c>
      <c r="J491" s="9" cm="1">
        <f t="array" ref="J491">IFERROR(_xlfn.XLOOKUP('01_Input_Raw_Products'!F491,'10_Master_Gem_Types'!A:A,'10_Master_Gem_Types'!N:N),"")</f>
        <v>0</v>
      </c>
      <c r="K491" s="9" cm="1">
        <f t="array" ref="K491">IF('01_Input_Raw_Products'!J491&lt;&gt;"",'01_Input_Raw_Products'!J491,IFERROR(_xlfn.XLOOKUP('01_Input_Raw_Products'!F491,'10_Master_Gem_Types'!A:A,'10_Master_Gem_Types'!E:E),""))</f>
        <v>0</v>
      </c>
      <c r="L491" s="9">
        <f>'01_Input_Raw_Products'!P491</f>
        <v>0</v>
      </c>
      <c r="M491" s="9" cm="1">
        <f t="array" ref="M491">IFERROR(_xlfn.XLOOKUP('01_Input_Raw_Products'!K491,'12_Color_Mapping'!A:A,'12_Color_Mapping'!B:B),IFERROR(_xlfn.XLOOKUP('01_Input_Raw_Products'!F491,'10_Master_Gem_Types'!A:A,'10_Master_Gem_Types'!F:F),""))</f>
        <v>0</v>
      </c>
      <c r="N491" s="9">
        <f>IF(C491="","",IF('01_Input_Raw_Products'!F491&lt;&gt;"",'01_Input_Raw_Products'!F491,'01_Input_Raw_Products'!D491))</f>
        <v>0</v>
      </c>
      <c r="O491" s="9">
        <f>IF(C491="","","Catalog Automation")</f>
        <v>0</v>
      </c>
      <c r="P491" s="9">
        <f>'01_Input_Raw_Products'!U491</f>
        <v>0</v>
      </c>
      <c r="Q491" s="7">
        <f>IF('01_Input_Raw_Products'!O491&lt;&gt;"",'01_Input_Raw_Products'!O491,IF('01_Input_Raw_Products'!N491&lt;&gt;"",'01_Input_Raw_Products'!N491*1.1,""))</f>
        <v>0</v>
      </c>
      <c r="R491" s="9">
        <f>'01_Input_Raw_Products'!S491</f>
        <v>0</v>
      </c>
      <c r="S491" s="9" cm="1">
        <f t="array" ref="S491">IFERROR(_xlfn.XLOOKUP('01_Input_Raw_Products'!F491,'10_Master_Gem_Types'!A:A,'10_Master_Gem_Types'!H:H),"")</f>
        <v>0</v>
      </c>
      <c r="T491" s="8">
        <f>'01_Input_Raw_Products'!Q491</f>
        <v>0</v>
      </c>
      <c r="U491" s="8">
        <f>'01_Input_Raw_Products'!R491</f>
        <v>0</v>
      </c>
      <c r="V491" s="7">
        <f>I491</f>
        <v>0</v>
      </c>
      <c r="W491" s="9" cm="1">
        <f t="array" ref="W491">IF('01_Input_Raw_Products'!G491&lt;&gt;"",'01_Input_Raw_Products'!G491,IFERROR(_xlfn.XLOOKUP('01_Input_Raw_Products'!F491,'10_Master_Gem_Types'!A:A,'10_Master_Gem_Types'!L:L),""))</f>
        <v>0</v>
      </c>
      <c r="X491" s="9" cm="1">
        <f t="array" ref="X491">IFERROR(_xlfn.XLOOKUP('01_Input_Raw_Products'!F491,'10_Master_Gem_Types'!A:A,'10_Master_Gem_Types'!J:J),"")</f>
        <v>0</v>
      </c>
      <c r="Y491" s="9" cm="1">
        <f t="array" ref="Y491">IFERROR(_xlfn.XLOOKUP('01_Input_Raw_Products'!F491,'10_Master_Gem_Types'!A:A,'10_Master_Gem_Types'!I:I),"")</f>
        <v>0</v>
      </c>
      <c r="Z491" s="9" cm="1">
        <f t="array" ref="Z491">IFERROR(_xlfn.XLOOKUP('01_Input_Raw_Products'!L491,'13_Certification_Stickers'!A:A,'13_Certification_Stickers'!C:C),"")</f>
        <v>0</v>
      </c>
      <c r="AA491" s="9" cm="1">
        <f t="array" ref="AA491">IFERROR(_xlfn.XLOOKUP('01_Input_Raw_Products'!S491,'14_Shipping_Rules'!A:A,'14_Shipping_Rules'!B:B),"")</f>
        <v>0</v>
      </c>
      <c r="AB491" s="9" cm="1">
        <f t="array" ref="AB491">IFERROR(_xlfn.XLOOKUP('01_Input_Raw_Products'!D491,'16_Astro_Flags'!A:A,'16_Astro_Flags'!B:B),"")</f>
        <v>0</v>
      </c>
      <c r="AC491" s="9">
        <f>IF(C491="","","Catalog, Search")</f>
        <v>0</v>
      </c>
      <c r="AD491" s="9">
        <f>IF(C491="","",IF(OR(F491="",J491="",M491="",S491="",Y491=""),"Manual Review","Ready"))</f>
        <v>0</v>
      </c>
      <c r="AE491" s="9">
        <f>IF(C491="","",TEXTJOIN("; ",TRUE,IF(F491="","Missing url_key",""),IF(J491="","Missing classification",""),IF(M491="","Missing j_colour",""),IF(S491="","Missing hsn_code",""),IF(Y491="","Missing tax_class_id","")))</f>
        <v>0</v>
      </c>
    </row>
    <row r="492" spans="1:31">
      <c r="A492" s="9">
        <f>IF('01_Input_Raw_Products'!B492&lt;&gt;"",20,"")</f>
        <v>0</v>
      </c>
      <c r="B492" s="9" cm="1">
        <f t="array" ref="B492">IF('01_Input_Raw_Products'!M492&lt;&gt;"",'01_Input_Raw_Products'!M492,IFERROR(_xlfn.XLOOKUP('01_Input_Raw_Products'!F492,'10_Master_Gem_Types'!A:A,'10_Master_Gem_Types'!K:K),""))</f>
        <v>0</v>
      </c>
      <c r="C492" s="9">
        <f>'01_Input_Raw_Products'!B492</f>
        <v>0</v>
      </c>
      <c r="D492" s="9">
        <f>IF(C492="","",TEXT(I492,"0.00")&amp;" Ct "&amp;IF('01_Input_Raw_Products'!F492&lt;&gt;"",'01_Input_Raw_Products'!F492,'01_Input_Raw_Products'!D492)&amp;" "&amp;'01_Input_Raw_Products'!I492)</f>
        <v>0</v>
      </c>
      <c r="E492" s="9">
        <f>IF(C492="","",D492&amp;" | GemPundit")</f>
        <v>0</v>
      </c>
      <c r="F492" s="9" cm="1">
        <f t="array" ref="F492">IF('01_Input_Raw_Products'!X492&lt;&gt;"",'01_Input_Raw_Products'!X492,IFERROR(_xlfn.XLOOKUP('01_Input_Raw_Products'!F492,'10_Master_Gem_Types'!A:A,'10_Master_Gem_Types'!O:O),LOWER(SUBSTITUTE(IF('01_Input_Raw_Products'!F492&lt;&gt;"",'01_Input_Raw_Products'!F492,'01_Input_Raw_Products'!D492)," ","-"))))</f>
        <v>0</v>
      </c>
      <c r="G492" s="9">
        <f>'01_Input_Raw_Products'!C492</f>
        <v>0</v>
      </c>
      <c r="H492" s="9" cm="1">
        <f t="array" ref="H492">IF('01_Input_Raw_Products'!H492&lt;&gt;"",'01_Input_Raw_Products'!H492,IFERROR(_xlfn.XLOOKUP('01_Input_Raw_Products'!F492,'10_Master_Gem_Types'!A:A,'10_Master_Gem_Types'!D:D),""))</f>
        <v>0</v>
      </c>
      <c r="I492" s="7">
        <f>IF('01_Input_Raw_Products'!N492&lt;&gt;"",'01_Input_Raw_Products'!N492,IF('01_Input_Raw_Products'!O492&lt;&gt;"",'01_Input_Raw_Products'!O492*0.91,""))</f>
        <v>0</v>
      </c>
      <c r="J492" s="9" cm="1">
        <f t="array" ref="J492">IFERROR(_xlfn.XLOOKUP('01_Input_Raw_Products'!F492,'10_Master_Gem_Types'!A:A,'10_Master_Gem_Types'!N:N),"")</f>
        <v>0</v>
      </c>
      <c r="K492" s="9" cm="1">
        <f t="array" ref="K492">IF('01_Input_Raw_Products'!J492&lt;&gt;"",'01_Input_Raw_Products'!J492,IFERROR(_xlfn.XLOOKUP('01_Input_Raw_Products'!F492,'10_Master_Gem_Types'!A:A,'10_Master_Gem_Types'!E:E),""))</f>
        <v>0</v>
      </c>
      <c r="L492" s="9">
        <f>'01_Input_Raw_Products'!P492</f>
        <v>0</v>
      </c>
      <c r="M492" s="9" cm="1">
        <f t="array" ref="M492">IFERROR(_xlfn.XLOOKUP('01_Input_Raw_Products'!K492,'12_Color_Mapping'!A:A,'12_Color_Mapping'!B:B),IFERROR(_xlfn.XLOOKUP('01_Input_Raw_Products'!F492,'10_Master_Gem_Types'!A:A,'10_Master_Gem_Types'!F:F),""))</f>
        <v>0</v>
      </c>
      <c r="N492" s="9">
        <f>IF(C492="","",IF('01_Input_Raw_Products'!F492&lt;&gt;"",'01_Input_Raw_Products'!F492,'01_Input_Raw_Products'!D492))</f>
        <v>0</v>
      </c>
      <c r="O492" s="9">
        <f>IF(C492="","","Catalog Automation")</f>
        <v>0</v>
      </c>
      <c r="P492" s="9">
        <f>'01_Input_Raw_Products'!U492</f>
        <v>0</v>
      </c>
      <c r="Q492" s="7">
        <f>IF('01_Input_Raw_Products'!O492&lt;&gt;"",'01_Input_Raw_Products'!O492,IF('01_Input_Raw_Products'!N492&lt;&gt;"",'01_Input_Raw_Products'!N492*1.1,""))</f>
        <v>0</v>
      </c>
      <c r="R492" s="9">
        <f>'01_Input_Raw_Products'!S492</f>
        <v>0</v>
      </c>
      <c r="S492" s="9" cm="1">
        <f t="array" ref="S492">IFERROR(_xlfn.XLOOKUP('01_Input_Raw_Products'!F492,'10_Master_Gem_Types'!A:A,'10_Master_Gem_Types'!H:H),"")</f>
        <v>0</v>
      </c>
      <c r="T492" s="8">
        <f>'01_Input_Raw_Products'!Q492</f>
        <v>0</v>
      </c>
      <c r="U492" s="8">
        <f>'01_Input_Raw_Products'!R492</f>
        <v>0</v>
      </c>
      <c r="V492" s="7">
        <f>I492</f>
        <v>0</v>
      </c>
      <c r="W492" s="9" cm="1">
        <f t="array" ref="W492">IF('01_Input_Raw_Products'!G492&lt;&gt;"",'01_Input_Raw_Products'!G492,IFERROR(_xlfn.XLOOKUP('01_Input_Raw_Products'!F492,'10_Master_Gem_Types'!A:A,'10_Master_Gem_Types'!L:L),""))</f>
        <v>0</v>
      </c>
      <c r="X492" s="9" cm="1">
        <f t="array" ref="X492">IFERROR(_xlfn.XLOOKUP('01_Input_Raw_Products'!F492,'10_Master_Gem_Types'!A:A,'10_Master_Gem_Types'!J:J),"")</f>
        <v>0</v>
      </c>
      <c r="Y492" s="9" cm="1">
        <f t="array" ref="Y492">IFERROR(_xlfn.XLOOKUP('01_Input_Raw_Products'!F492,'10_Master_Gem_Types'!A:A,'10_Master_Gem_Types'!I:I),"")</f>
        <v>0</v>
      </c>
      <c r="Z492" s="9" cm="1">
        <f t="array" ref="Z492">IFERROR(_xlfn.XLOOKUP('01_Input_Raw_Products'!L492,'13_Certification_Stickers'!A:A,'13_Certification_Stickers'!C:C),"")</f>
        <v>0</v>
      </c>
      <c r="AA492" s="9" cm="1">
        <f t="array" ref="AA492">IFERROR(_xlfn.XLOOKUP('01_Input_Raw_Products'!S492,'14_Shipping_Rules'!A:A,'14_Shipping_Rules'!B:B),"")</f>
        <v>0</v>
      </c>
      <c r="AB492" s="9" cm="1">
        <f t="array" ref="AB492">IFERROR(_xlfn.XLOOKUP('01_Input_Raw_Products'!D492,'16_Astro_Flags'!A:A,'16_Astro_Flags'!B:B),"")</f>
        <v>0</v>
      </c>
      <c r="AC492" s="9">
        <f>IF(C492="","","Catalog, Search")</f>
        <v>0</v>
      </c>
      <c r="AD492" s="9">
        <f>IF(C492="","",IF(OR(F492="",J492="",M492="",S492="",Y492=""),"Manual Review","Ready"))</f>
        <v>0</v>
      </c>
      <c r="AE492" s="9">
        <f>IF(C492="","",TEXTJOIN("; ",TRUE,IF(F492="","Missing url_key",""),IF(J492="","Missing classification",""),IF(M492="","Missing j_colour",""),IF(S492="","Missing hsn_code",""),IF(Y492="","Missing tax_class_id","")))</f>
        <v>0</v>
      </c>
    </row>
    <row r="493" spans="1:31">
      <c r="A493" s="9">
        <f>IF('01_Input_Raw_Products'!B493&lt;&gt;"",20,"")</f>
        <v>0</v>
      </c>
      <c r="B493" s="9" cm="1">
        <f t="array" ref="B493">IF('01_Input_Raw_Products'!M493&lt;&gt;"",'01_Input_Raw_Products'!M493,IFERROR(_xlfn.XLOOKUP('01_Input_Raw_Products'!F493,'10_Master_Gem_Types'!A:A,'10_Master_Gem_Types'!K:K),""))</f>
        <v>0</v>
      </c>
      <c r="C493" s="9">
        <f>'01_Input_Raw_Products'!B493</f>
        <v>0</v>
      </c>
      <c r="D493" s="9">
        <f>IF(C493="","",TEXT(I493,"0.00")&amp;" Ct "&amp;IF('01_Input_Raw_Products'!F493&lt;&gt;"",'01_Input_Raw_Products'!F493,'01_Input_Raw_Products'!D493)&amp;" "&amp;'01_Input_Raw_Products'!I493)</f>
        <v>0</v>
      </c>
      <c r="E493" s="9">
        <f>IF(C493="","",D493&amp;" | GemPundit")</f>
        <v>0</v>
      </c>
      <c r="F493" s="9" cm="1">
        <f t="array" ref="F493">IF('01_Input_Raw_Products'!X493&lt;&gt;"",'01_Input_Raw_Products'!X493,IFERROR(_xlfn.XLOOKUP('01_Input_Raw_Products'!F493,'10_Master_Gem_Types'!A:A,'10_Master_Gem_Types'!O:O),LOWER(SUBSTITUTE(IF('01_Input_Raw_Products'!F493&lt;&gt;"",'01_Input_Raw_Products'!F493,'01_Input_Raw_Products'!D493)," ","-"))))</f>
        <v>0</v>
      </c>
      <c r="G493" s="9">
        <f>'01_Input_Raw_Products'!C493</f>
        <v>0</v>
      </c>
      <c r="H493" s="9" cm="1">
        <f t="array" ref="H493">IF('01_Input_Raw_Products'!H493&lt;&gt;"",'01_Input_Raw_Products'!H493,IFERROR(_xlfn.XLOOKUP('01_Input_Raw_Products'!F493,'10_Master_Gem_Types'!A:A,'10_Master_Gem_Types'!D:D),""))</f>
        <v>0</v>
      </c>
      <c r="I493" s="7">
        <f>IF('01_Input_Raw_Products'!N493&lt;&gt;"",'01_Input_Raw_Products'!N493,IF('01_Input_Raw_Products'!O493&lt;&gt;"",'01_Input_Raw_Products'!O493*0.91,""))</f>
        <v>0</v>
      </c>
      <c r="J493" s="9" cm="1">
        <f t="array" ref="J493">IFERROR(_xlfn.XLOOKUP('01_Input_Raw_Products'!F493,'10_Master_Gem_Types'!A:A,'10_Master_Gem_Types'!N:N),"")</f>
        <v>0</v>
      </c>
      <c r="K493" s="9" cm="1">
        <f t="array" ref="K493">IF('01_Input_Raw_Products'!J493&lt;&gt;"",'01_Input_Raw_Products'!J493,IFERROR(_xlfn.XLOOKUP('01_Input_Raw_Products'!F493,'10_Master_Gem_Types'!A:A,'10_Master_Gem_Types'!E:E),""))</f>
        <v>0</v>
      </c>
      <c r="L493" s="9">
        <f>'01_Input_Raw_Products'!P493</f>
        <v>0</v>
      </c>
      <c r="M493" s="9" cm="1">
        <f t="array" ref="M493">IFERROR(_xlfn.XLOOKUP('01_Input_Raw_Products'!K493,'12_Color_Mapping'!A:A,'12_Color_Mapping'!B:B),IFERROR(_xlfn.XLOOKUP('01_Input_Raw_Products'!F493,'10_Master_Gem_Types'!A:A,'10_Master_Gem_Types'!F:F),""))</f>
        <v>0</v>
      </c>
      <c r="N493" s="9">
        <f>IF(C493="","",IF('01_Input_Raw_Products'!F493&lt;&gt;"",'01_Input_Raw_Products'!F493,'01_Input_Raw_Products'!D493))</f>
        <v>0</v>
      </c>
      <c r="O493" s="9">
        <f>IF(C493="","","Catalog Automation")</f>
        <v>0</v>
      </c>
      <c r="P493" s="9">
        <f>'01_Input_Raw_Products'!U493</f>
        <v>0</v>
      </c>
      <c r="Q493" s="7">
        <f>IF('01_Input_Raw_Products'!O493&lt;&gt;"",'01_Input_Raw_Products'!O493,IF('01_Input_Raw_Products'!N493&lt;&gt;"",'01_Input_Raw_Products'!N493*1.1,""))</f>
        <v>0</v>
      </c>
      <c r="R493" s="9">
        <f>'01_Input_Raw_Products'!S493</f>
        <v>0</v>
      </c>
      <c r="S493" s="9" cm="1">
        <f t="array" ref="S493">IFERROR(_xlfn.XLOOKUP('01_Input_Raw_Products'!F493,'10_Master_Gem_Types'!A:A,'10_Master_Gem_Types'!H:H),"")</f>
        <v>0</v>
      </c>
      <c r="T493" s="8">
        <f>'01_Input_Raw_Products'!Q493</f>
        <v>0</v>
      </c>
      <c r="U493" s="8">
        <f>'01_Input_Raw_Products'!R493</f>
        <v>0</v>
      </c>
      <c r="V493" s="7">
        <f>I493</f>
        <v>0</v>
      </c>
      <c r="W493" s="9" cm="1">
        <f t="array" ref="W493">IF('01_Input_Raw_Products'!G493&lt;&gt;"",'01_Input_Raw_Products'!G493,IFERROR(_xlfn.XLOOKUP('01_Input_Raw_Products'!F493,'10_Master_Gem_Types'!A:A,'10_Master_Gem_Types'!L:L),""))</f>
        <v>0</v>
      </c>
      <c r="X493" s="9" cm="1">
        <f t="array" ref="X493">IFERROR(_xlfn.XLOOKUP('01_Input_Raw_Products'!F493,'10_Master_Gem_Types'!A:A,'10_Master_Gem_Types'!J:J),"")</f>
        <v>0</v>
      </c>
      <c r="Y493" s="9" cm="1">
        <f t="array" ref="Y493">IFERROR(_xlfn.XLOOKUP('01_Input_Raw_Products'!F493,'10_Master_Gem_Types'!A:A,'10_Master_Gem_Types'!I:I),"")</f>
        <v>0</v>
      </c>
      <c r="Z493" s="9" cm="1">
        <f t="array" ref="Z493">IFERROR(_xlfn.XLOOKUP('01_Input_Raw_Products'!L493,'13_Certification_Stickers'!A:A,'13_Certification_Stickers'!C:C),"")</f>
        <v>0</v>
      </c>
      <c r="AA493" s="9" cm="1">
        <f t="array" ref="AA493">IFERROR(_xlfn.XLOOKUP('01_Input_Raw_Products'!S493,'14_Shipping_Rules'!A:A,'14_Shipping_Rules'!B:B),"")</f>
        <v>0</v>
      </c>
      <c r="AB493" s="9" cm="1">
        <f t="array" ref="AB493">IFERROR(_xlfn.XLOOKUP('01_Input_Raw_Products'!D493,'16_Astro_Flags'!A:A,'16_Astro_Flags'!B:B),"")</f>
        <v>0</v>
      </c>
      <c r="AC493" s="9">
        <f>IF(C493="","","Catalog, Search")</f>
        <v>0</v>
      </c>
      <c r="AD493" s="9">
        <f>IF(C493="","",IF(OR(F493="",J493="",M493="",S493="",Y493=""),"Manual Review","Ready"))</f>
        <v>0</v>
      </c>
      <c r="AE493" s="9">
        <f>IF(C493="","",TEXTJOIN("; ",TRUE,IF(F493="","Missing url_key",""),IF(J493="","Missing classification",""),IF(M493="","Missing j_colour",""),IF(S493="","Missing hsn_code",""),IF(Y493="","Missing tax_class_id","")))</f>
        <v>0</v>
      </c>
    </row>
    <row r="494" spans="1:31">
      <c r="A494" s="9">
        <f>IF('01_Input_Raw_Products'!B494&lt;&gt;"",20,"")</f>
        <v>0</v>
      </c>
      <c r="B494" s="9" cm="1">
        <f t="array" ref="B494">IF('01_Input_Raw_Products'!M494&lt;&gt;"",'01_Input_Raw_Products'!M494,IFERROR(_xlfn.XLOOKUP('01_Input_Raw_Products'!F494,'10_Master_Gem_Types'!A:A,'10_Master_Gem_Types'!K:K),""))</f>
        <v>0</v>
      </c>
      <c r="C494" s="9">
        <f>'01_Input_Raw_Products'!B494</f>
        <v>0</v>
      </c>
      <c r="D494" s="9">
        <f>IF(C494="","",TEXT(I494,"0.00")&amp;" Ct "&amp;IF('01_Input_Raw_Products'!F494&lt;&gt;"",'01_Input_Raw_Products'!F494,'01_Input_Raw_Products'!D494)&amp;" "&amp;'01_Input_Raw_Products'!I494)</f>
        <v>0</v>
      </c>
      <c r="E494" s="9">
        <f>IF(C494="","",D494&amp;" | GemPundit")</f>
        <v>0</v>
      </c>
      <c r="F494" s="9" cm="1">
        <f t="array" ref="F494">IF('01_Input_Raw_Products'!X494&lt;&gt;"",'01_Input_Raw_Products'!X494,IFERROR(_xlfn.XLOOKUP('01_Input_Raw_Products'!F494,'10_Master_Gem_Types'!A:A,'10_Master_Gem_Types'!O:O),LOWER(SUBSTITUTE(IF('01_Input_Raw_Products'!F494&lt;&gt;"",'01_Input_Raw_Products'!F494,'01_Input_Raw_Products'!D494)," ","-"))))</f>
        <v>0</v>
      </c>
      <c r="G494" s="9">
        <f>'01_Input_Raw_Products'!C494</f>
        <v>0</v>
      </c>
      <c r="H494" s="9" cm="1">
        <f t="array" ref="H494">IF('01_Input_Raw_Products'!H494&lt;&gt;"",'01_Input_Raw_Products'!H494,IFERROR(_xlfn.XLOOKUP('01_Input_Raw_Products'!F494,'10_Master_Gem_Types'!A:A,'10_Master_Gem_Types'!D:D),""))</f>
        <v>0</v>
      </c>
      <c r="I494" s="7">
        <f>IF('01_Input_Raw_Products'!N494&lt;&gt;"",'01_Input_Raw_Products'!N494,IF('01_Input_Raw_Products'!O494&lt;&gt;"",'01_Input_Raw_Products'!O494*0.91,""))</f>
        <v>0</v>
      </c>
      <c r="J494" s="9" cm="1">
        <f t="array" ref="J494">IFERROR(_xlfn.XLOOKUP('01_Input_Raw_Products'!F494,'10_Master_Gem_Types'!A:A,'10_Master_Gem_Types'!N:N),"")</f>
        <v>0</v>
      </c>
      <c r="K494" s="9" cm="1">
        <f t="array" ref="K494">IF('01_Input_Raw_Products'!J494&lt;&gt;"",'01_Input_Raw_Products'!J494,IFERROR(_xlfn.XLOOKUP('01_Input_Raw_Products'!F494,'10_Master_Gem_Types'!A:A,'10_Master_Gem_Types'!E:E),""))</f>
        <v>0</v>
      </c>
      <c r="L494" s="9">
        <f>'01_Input_Raw_Products'!P494</f>
        <v>0</v>
      </c>
      <c r="M494" s="9" cm="1">
        <f t="array" ref="M494">IFERROR(_xlfn.XLOOKUP('01_Input_Raw_Products'!K494,'12_Color_Mapping'!A:A,'12_Color_Mapping'!B:B),IFERROR(_xlfn.XLOOKUP('01_Input_Raw_Products'!F494,'10_Master_Gem_Types'!A:A,'10_Master_Gem_Types'!F:F),""))</f>
        <v>0</v>
      </c>
      <c r="N494" s="9">
        <f>IF(C494="","",IF('01_Input_Raw_Products'!F494&lt;&gt;"",'01_Input_Raw_Products'!F494,'01_Input_Raw_Products'!D494))</f>
        <v>0</v>
      </c>
      <c r="O494" s="9">
        <f>IF(C494="","","Catalog Automation")</f>
        <v>0</v>
      </c>
      <c r="P494" s="9">
        <f>'01_Input_Raw_Products'!U494</f>
        <v>0</v>
      </c>
      <c r="Q494" s="7">
        <f>IF('01_Input_Raw_Products'!O494&lt;&gt;"",'01_Input_Raw_Products'!O494,IF('01_Input_Raw_Products'!N494&lt;&gt;"",'01_Input_Raw_Products'!N494*1.1,""))</f>
        <v>0</v>
      </c>
      <c r="R494" s="9">
        <f>'01_Input_Raw_Products'!S494</f>
        <v>0</v>
      </c>
      <c r="S494" s="9" cm="1">
        <f t="array" ref="S494">IFERROR(_xlfn.XLOOKUP('01_Input_Raw_Products'!F494,'10_Master_Gem_Types'!A:A,'10_Master_Gem_Types'!H:H),"")</f>
        <v>0</v>
      </c>
      <c r="T494" s="8">
        <f>'01_Input_Raw_Products'!Q494</f>
        <v>0</v>
      </c>
      <c r="U494" s="8">
        <f>'01_Input_Raw_Products'!R494</f>
        <v>0</v>
      </c>
      <c r="V494" s="7">
        <f>I494</f>
        <v>0</v>
      </c>
      <c r="W494" s="9" cm="1">
        <f t="array" ref="W494">IF('01_Input_Raw_Products'!G494&lt;&gt;"",'01_Input_Raw_Products'!G494,IFERROR(_xlfn.XLOOKUP('01_Input_Raw_Products'!F494,'10_Master_Gem_Types'!A:A,'10_Master_Gem_Types'!L:L),""))</f>
        <v>0</v>
      </c>
      <c r="X494" s="9" cm="1">
        <f t="array" ref="X494">IFERROR(_xlfn.XLOOKUP('01_Input_Raw_Products'!F494,'10_Master_Gem_Types'!A:A,'10_Master_Gem_Types'!J:J),"")</f>
        <v>0</v>
      </c>
      <c r="Y494" s="9" cm="1">
        <f t="array" ref="Y494">IFERROR(_xlfn.XLOOKUP('01_Input_Raw_Products'!F494,'10_Master_Gem_Types'!A:A,'10_Master_Gem_Types'!I:I),"")</f>
        <v>0</v>
      </c>
      <c r="Z494" s="9" cm="1">
        <f t="array" ref="Z494">IFERROR(_xlfn.XLOOKUP('01_Input_Raw_Products'!L494,'13_Certification_Stickers'!A:A,'13_Certification_Stickers'!C:C),"")</f>
        <v>0</v>
      </c>
      <c r="AA494" s="9" cm="1">
        <f t="array" ref="AA494">IFERROR(_xlfn.XLOOKUP('01_Input_Raw_Products'!S494,'14_Shipping_Rules'!A:A,'14_Shipping_Rules'!B:B),"")</f>
        <v>0</v>
      </c>
      <c r="AB494" s="9" cm="1">
        <f t="array" ref="AB494">IFERROR(_xlfn.XLOOKUP('01_Input_Raw_Products'!D494,'16_Astro_Flags'!A:A,'16_Astro_Flags'!B:B),"")</f>
        <v>0</v>
      </c>
      <c r="AC494" s="9">
        <f>IF(C494="","","Catalog, Search")</f>
        <v>0</v>
      </c>
      <c r="AD494" s="9">
        <f>IF(C494="","",IF(OR(F494="",J494="",M494="",S494="",Y494=""),"Manual Review","Ready"))</f>
        <v>0</v>
      </c>
      <c r="AE494" s="9">
        <f>IF(C494="","",TEXTJOIN("; ",TRUE,IF(F494="","Missing url_key",""),IF(J494="","Missing classification",""),IF(M494="","Missing j_colour",""),IF(S494="","Missing hsn_code",""),IF(Y494="","Missing tax_class_id","")))</f>
        <v>0</v>
      </c>
    </row>
    <row r="495" spans="1:31">
      <c r="A495" s="9">
        <f>IF('01_Input_Raw_Products'!B495&lt;&gt;"",20,"")</f>
        <v>0</v>
      </c>
      <c r="B495" s="9" cm="1">
        <f t="array" ref="B495">IF('01_Input_Raw_Products'!M495&lt;&gt;"",'01_Input_Raw_Products'!M495,IFERROR(_xlfn.XLOOKUP('01_Input_Raw_Products'!F495,'10_Master_Gem_Types'!A:A,'10_Master_Gem_Types'!K:K),""))</f>
        <v>0</v>
      </c>
      <c r="C495" s="9">
        <f>'01_Input_Raw_Products'!B495</f>
        <v>0</v>
      </c>
      <c r="D495" s="9">
        <f>IF(C495="","",TEXT(I495,"0.00")&amp;" Ct "&amp;IF('01_Input_Raw_Products'!F495&lt;&gt;"",'01_Input_Raw_Products'!F495,'01_Input_Raw_Products'!D495)&amp;" "&amp;'01_Input_Raw_Products'!I495)</f>
        <v>0</v>
      </c>
      <c r="E495" s="9">
        <f>IF(C495="","",D495&amp;" | GemPundit")</f>
        <v>0</v>
      </c>
      <c r="F495" s="9" cm="1">
        <f t="array" ref="F495">IF('01_Input_Raw_Products'!X495&lt;&gt;"",'01_Input_Raw_Products'!X495,IFERROR(_xlfn.XLOOKUP('01_Input_Raw_Products'!F495,'10_Master_Gem_Types'!A:A,'10_Master_Gem_Types'!O:O),LOWER(SUBSTITUTE(IF('01_Input_Raw_Products'!F495&lt;&gt;"",'01_Input_Raw_Products'!F495,'01_Input_Raw_Products'!D495)," ","-"))))</f>
        <v>0</v>
      </c>
      <c r="G495" s="9">
        <f>'01_Input_Raw_Products'!C495</f>
        <v>0</v>
      </c>
      <c r="H495" s="9" cm="1">
        <f t="array" ref="H495">IF('01_Input_Raw_Products'!H495&lt;&gt;"",'01_Input_Raw_Products'!H495,IFERROR(_xlfn.XLOOKUP('01_Input_Raw_Products'!F495,'10_Master_Gem_Types'!A:A,'10_Master_Gem_Types'!D:D),""))</f>
        <v>0</v>
      </c>
      <c r="I495" s="7">
        <f>IF('01_Input_Raw_Products'!N495&lt;&gt;"",'01_Input_Raw_Products'!N495,IF('01_Input_Raw_Products'!O495&lt;&gt;"",'01_Input_Raw_Products'!O495*0.91,""))</f>
        <v>0</v>
      </c>
      <c r="J495" s="9" cm="1">
        <f t="array" ref="J495">IFERROR(_xlfn.XLOOKUP('01_Input_Raw_Products'!F495,'10_Master_Gem_Types'!A:A,'10_Master_Gem_Types'!N:N),"")</f>
        <v>0</v>
      </c>
      <c r="K495" s="9" cm="1">
        <f t="array" ref="K495">IF('01_Input_Raw_Products'!J495&lt;&gt;"",'01_Input_Raw_Products'!J495,IFERROR(_xlfn.XLOOKUP('01_Input_Raw_Products'!F495,'10_Master_Gem_Types'!A:A,'10_Master_Gem_Types'!E:E),""))</f>
        <v>0</v>
      </c>
      <c r="L495" s="9">
        <f>'01_Input_Raw_Products'!P495</f>
        <v>0</v>
      </c>
      <c r="M495" s="9" cm="1">
        <f t="array" ref="M495">IFERROR(_xlfn.XLOOKUP('01_Input_Raw_Products'!K495,'12_Color_Mapping'!A:A,'12_Color_Mapping'!B:B),IFERROR(_xlfn.XLOOKUP('01_Input_Raw_Products'!F495,'10_Master_Gem_Types'!A:A,'10_Master_Gem_Types'!F:F),""))</f>
        <v>0</v>
      </c>
      <c r="N495" s="9">
        <f>IF(C495="","",IF('01_Input_Raw_Products'!F495&lt;&gt;"",'01_Input_Raw_Products'!F495,'01_Input_Raw_Products'!D495))</f>
        <v>0</v>
      </c>
      <c r="O495" s="9">
        <f>IF(C495="","","Catalog Automation")</f>
        <v>0</v>
      </c>
      <c r="P495" s="9">
        <f>'01_Input_Raw_Products'!U495</f>
        <v>0</v>
      </c>
      <c r="Q495" s="7">
        <f>IF('01_Input_Raw_Products'!O495&lt;&gt;"",'01_Input_Raw_Products'!O495,IF('01_Input_Raw_Products'!N495&lt;&gt;"",'01_Input_Raw_Products'!N495*1.1,""))</f>
        <v>0</v>
      </c>
      <c r="R495" s="9">
        <f>'01_Input_Raw_Products'!S495</f>
        <v>0</v>
      </c>
      <c r="S495" s="9" cm="1">
        <f t="array" ref="S495">IFERROR(_xlfn.XLOOKUP('01_Input_Raw_Products'!F495,'10_Master_Gem_Types'!A:A,'10_Master_Gem_Types'!H:H),"")</f>
        <v>0</v>
      </c>
      <c r="T495" s="8">
        <f>'01_Input_Raw_Products'!Q495</f>
        <v>0</v>
      </c>
      <c r="U495" s="8">
        <f>'01_Input_Raw_Products'!R495</f>
        <v>0</v>
      </c>
      <c r="V495" s="7">
        <f>I495</f>
        <v>0</v>
      </c>
      <c r="W495" s="9" cm="1">
        <f t="array" ref="W495">IF('01_Input_Raw_Products'!G495&lt;&gt;"",'01_Input_Raw_Products'!G495,IFERROR(_xlfn.XLOOKUP('01_Input_Raw_Products'!F495,'10_Master_Gem_Types'!A:A,'10_Master_Gem_Types'!L:L),""))</f>
        <v>0</v>
      </c>
      <c r="X495" s="9" cm="1">
        <f t="array" ref="X495">IFERROR(_xlfn.XLOOKUP('01_Input_Raw_Products'!F495,'10_Master_Gem_Types'!A:A,'10_Master_Gem_Types'!J:J),"")</f>
        <v>0</v>
      </c>
      <c r="Y495" s="9" cm="1">
        <f t="array" ref="Y495">IFERROR(_xlfn.XLOOKUP('01_Input_Raw_Products'!F495,'10_Master_Gem_Types'!A:A,'10_Master_Gem_Types'!I:I),"")</f>
        <v>0</v>
      </c>
      <c r="Z495" s="9" cm="1">
        <f t="array" ref="Z495">IFERROR(_xlfn.XLOOKUP('01_Input_Raw_Products'!L495,'13_Certification_Stickers'!A:A,'13_Certification_Stickers'!C:C),"")</f>
        <v>0</v>
      </c>
      <c r="AA495" s="9" cm="1">
        <f t="array" ref="AA495">IFERROR(_xlfn.XLOOKUP('01_Input_Raw_Products'!S495,'14_Shipping_Rules'!A:A,'14_Shipping_Rules'!B:B),"")</f>
        <v>0</v>
      </c>
      <c r="AB495" s="9" cm="1">
        <f t="array" ref="AB495">IFERROR(_xlfn.XLOOKUP('01_Input_Raw_Products'!D495,'16_Astro_Flags'!A:A,'16_Astro_Flags'!B:B),"")</f>
        <v>0</v>
      </c>
      <c r="AC495" s="9">
        <f>IF(C495="","","Catalog, Search")</f>
        <v>0</v>
      </c>
      <c r="AD495" s="9">
        <f>IF(C495="","",IF(OR(F495="",J495="",M495="",S495="",Y495=""),"Manual Review","Ready"))</f>
        <v>0</v>
      </c>
      <c r="AE495" s="9">
        <f>IF(C495="","",TEXTJOIN("; ",TRUE,IF(F495="","Missing url_key",""),IF(J495="","Missing classification",""),IF(M495="","Missing j_colour",""),IF(S495="","Missing hsn_code",""),IF(Y495="","Missing tax_class_id","")))</f>
        <v>0</v>
      </c>
    </row>
    <row r="496" spans="1:31">
      <c r="A496" s="9">
        <f>IF('01_Input_Raw_Products'!B496&lt;&gt;"",20,"")</f>
        <v>0</v>
      </c>
      <c r="B496" s="9" cm="1">
        <f t="array" ref="B496">IF('01_Input_Raw_Products'!M496&lt;&gt;"",'01_Input_Raw_Products'!M496,IFERROR(_xlfn.XLOOKUP('01_Input_Raw_Products'!F496,'10_Master_Gem_Types'!A:A,'10_Master_Gem_Types'!K:K),""))</f>
        <v>0</v>
      </c>
      <c r="C496" s="9">
        <f>'01_Input_Raw_Products'!B496</f>
        <v>0</v>
      </c>
      <c r="D496" s="9">
        <f>IF(C496="","",TEXT(I496,"0.00")&amp;" Ct "&amp;IF('01_Input_Raw_Products'!F496&lt;&gt;"",'01_Input_Raw_Products'!F496,'01_Input_Raw_Products'!D496)&amp;" "&amp;'01_Input_Raw_Products'!I496)</f>
        <v>0</v>
      </c>
      <c r="E496" s="9">
        <f>IF(C496="","",D496&amp;" | GemPundit")</f>
        <v>0</v>
      </c>
      <c r="F496" s="9" cm="1">
        <f t="array" ref="F496">IF('01_Input_Raw_Products'!X496&lt;&gt;"",'01_Input_Raw_Products'!X496,IFERROR(_xlfn.XLOOKUP('01_Input_Raw_Products'!F496,'10_Master_Gem_Types'!A:A,'10_Master_Gem_Types'!O:O),LOWER(SUBSTITUTE(IF('01_Input_Raw_Products'!F496&lt;&gt;"",'01_Input_Raw_Products'!F496,'01_Input_Raw_Products'!D496)," ","-"))))</f>
        <v>0</v>
      </c>
      <c r="G496" s="9">
        <f>'01_Input_Raw_Products'!C496</f>
        <v>0</v>
      </c>
      <c r="H496" s="9" cm="1">
        <f t="array" ref="H496">IF('01_Input_Raw_Products'!H496&lt;&gt;"",'01_Input_Raw_Products'!H496,IFERROR(_xlfn.XLOOKUP('01_Input_Raw_Products'!F496,'10_Master_Gem_Types'!A:A,'10_Master_Gem_Types'!D:D),""))</f>
        <v>0</v>
      </c>
      <c r="I496" s="7">
        <f>IF('01_Input_Raw_Products'!N496&lt;&gt;"",'01_Input_Raw_Products'!N496,IF('01_Input_Raw_Products'!O496&lt;&gt;"",'01_Input_Raw_Products'!O496*0.91,""))</f>
        <v>0</v>
      </c>
      <c r="J496" s="9" cm="1">
        <f t="array" ref="J496">IFERROR(_xlfn.XLOOKUP('01_Input_Raw_Products'!F496,'10_Master_Gem_Types'!A:A,'10_Master_Gem_Types'!N:N),"")</f>
        <v>0</v>
      </c>
      <c r="K496" s="9" cm="1">
        <f t="array" ref="K496">IF('01_Input_Raw_Products'!J496&lt;&gt;"",'01_Input_Raw_Products'!J496,IFERROR(_xlfn.XLOOKUP('01_Input_Raw_Products'!F496,'10_Master_Gem_Types'!A:A,'10_Master_Gem_Types'!E:E),""))</f>
        <v>0</v>
      </c>
      <c r="L496" s="9">
        <f>'01_Input_Raw_Products'!P496</f>
        <v>0</v>
      </c>
      <c r="M496" s="9" cm="1">
        <f t="array" ref="M496">IFERROR(_xlfn.XLOOKUP('01_Input_Raw_Products'!K496,'12_Color_Mapping'!A:A,'12_Color_Mapping'!B:B),IFERROR(_xlfn.XLOOKUP('01_Input_Raw_Products'!F496,'10_Master_Gem_Types'!A:A,'10_Master_Gem_Types'!F:F),""))</f>
        <v>0</v>
      </c>
      <c r="N496" s="9">
        <f>IF(C496="","",IF('01_Input_Raw_Products'!F496&lt;&gt;"",'01_Input_Raw_Products'!F496,'01_Input_Raw_Products'!D496))</f>
        <v>0</v>
      </c>
      <c r="O496" s="9">
        <f>IF(C496="","","Catalog Automation")</f>
        <v>0</v>
      </c>
      <c r="P496" s="9">
        <f>'01_Input_Raw_Products'!U496</f>
        <v>0</v>
      </c>
      <c r="Q496" s="7">
        <f>IF('01_Input_Raw_Products'!O496&lt;&gt;"",'01_Input_Raw_Products'!O496,IF('01_Input_Raw_Products'!N496&lt;&gt;"",'01_Input_Raw_Products'!N496*1.1,""))</f>
        <v>0</v>
      </c>
      <c r="R496" s="9">
        <f>'01_Input_Raw_Products'!S496</f>
        <v>0</v>
      </c>
      <c r="S496" s="9" cm="1">
        <f t="array" ref="S496">IFERROR(_xlfn.XLOOKUP('01_Input_Raw_Products'!F496,'10_Master_Gem_Types'!A:A,'10_Master_Gem_Types'!H:H),"")</f>
        <v>0</v>
      </c>
      <c r="T496" s="8">
        <f>'01_Input_Raw_Products'!Q496</f>
        <v>0</v>
      </c>
      <c r="U496" s="8">
        <f>'01_Input_Raw_Products'!R496</f>
        <v>0</v>
      </c>
      <c r="V496" s="7">
        <f>I496</f>
        <v>0</v>
      </c>
      <c r="W496" s="9" cm="1">
        <f t="array" ref="W496">IF('01_Input_Raw_Products'!G496&lt;&gt;"",'01_Input_Raw_Products'!G496,IFERROR(_xlfn.XLOOKUP('01_Input_Raw_Products'!F496,'10_Master_Gem_Types'!A:A,'10_Master_Gem_Types'!L:L),""))</f>
        <v>0</v>
      </c>
      <c r="X496" s="9" cm="1">
        <f t="array" ref="X496">IFERROR(_xlfn.XLOOKUP('01_Input_Raw_Products'!F496,'10_Master_Gem_Types'!A:A,'10_Master_Gem_Types'!J:J),"")</f>
        <v>0</v>
      </c>
      <c r="Y496" s="9" cm="1">
        <f t="array" ref="Y496">IFERROR(_xlfn.XLOOKUP('01_Input_Raw_Products'!F496,'10_Master_Gem_Types'!A:A,'10_Master_Gem_Types'!I:I),"")</f>
        <v>0</v>
      </c>
      <c r="Z496" s="9" cm="1">
        <f t="array" ref="Z496">IFERROR(_xlfn.XLOOKUP('01_Input_Raw_Products'!L496,'13_Certification_Stickers'!A:A,'13_Certification_Stickers'!C:C),"")</f>
        <v>0</v>
      </c>
      <c r="AA496" s="9" cm="1">
        <f t="array" ref="AA496">IFERROR(_xlfn.XLOOKUP('01_Input_Raw_Products'!S496,'14_Shipping_Rules'!A:A,'14_Shipping_Rules'!B:B),"")</f>
        <v>0</v>
      </c>
      <c r="AB496" s="9" cm="1">
        <f t="array" ref="AB496">IFERROR(_xlfn.XLOOKUP('01_Input_Raw_Products'!D496,'16_Astro_Flags'!A:A,'16_Astro_Flags'!B:B),"")</f>
        <v>0</v>
      </c>
      <c r="AC496" s="9">
        <f>IF(C496="","","Catalog, Search")</f>
        <v>0</v>
      </c>
      <c r="AD496" s="9">
        <f>IF(C496="","",IF(OR(F496="",J496="",M496="",S496="",Y496=""),"Manual Review","Ready"))</f>
        <v>0</v>
      </c>
      <c r="AE496" s="9">
        <f>IF(C496="","",TEXTJOIN("; ",TRUE,IF(F496="","Missing url_key",""),IF(J496="","Missing classification",""),IF(M496="","Missing j_colour",""),IF(S496="","Missing hsn_code",""),IF(Y496="","Missing tax_class_id","")))</f>
        <v>0</v>
      </c>
    </row>
    <row r="497" spans="1:31">
      <c r="A497" s="9">
        <f>IF('01_Input_Raw_Products'!B497&lt;&gt;"",20,"")</f>
        <v>0</v>
      </c>
      <c r="B497" s="9" cm="1">
        <f t="array" ref="B497">IF('01_Input_Raw_Products'!M497&lt;&gt;"",'01_Input_Raw_Products'!M497,IFERROR(_xlfn.XLOOKUP('01_Input_Raw_Products'!F497,'10_Master_Gem_Types'!A:A,'10_Master_Gem_Types'!K:K),""))</f>
        <v>0</v>
      </c>
      <c r="C497" s="9">
        <f>'01_Input_Raw_Products'!B497</f>
        <v>0</v>
      </c>
      <c r="D497" s="9">
        <f>IF(C497="","",TEXT(I497,"0.00")&amp;" Ct "&amp;IF('01_Input_Raw_Products'!F497&lt;&gt;"",'01_Input_Raw_Products'!F497,'01_Input_Raw_Products'!D497)&amp;" "&amp;'01_Input_Raw_Products'!I497)</f>
        <v>0</v>
      </c>
      <c r="E497" s="9">
        <f>IF(C497="","",D497&amp;" | GemPundit")</f>
        <v>0</v>
      </c>
      <c r="F497" s="9" cm="1">
        <f t="array" ref="F497">IF('01_Input_Raw_Products'!X497&lt;&gt;"",'01_Input_Raw_Products'!X497,IFERROR(_xlfn.XLOOKUP('01_Input_Raw_Products'!F497,'10_Master_Gem_Types'!A:A,'10_Master_Gem_Types'!O:O),LOWER(SUBSTITUTE(IF('01_Input_Raw_Products'!F497&lt;&gt;"",'01_Input_Raw_Products'!F497,'01_Input_Raw_Products'!D497)," ","-"))))</f>
        <v>0</v>
      </c>
      <c r="G497" s="9">
        <f>'01_Input_Raw_Products'!C497</f>
        <v>0</v>
      </c>
      <c r="H497" s="9" cm="1">
        <f t="array" ref="H497">IF('01_Input_Raw_Products'!H497&lt;&gt;"",'01_Input_Raw_Products'!H497,IFERROR(_xlfn.XLOOKUP('01_Input_Raw_Products'!F497,'10_Master_Gem_Types'!A:A,'10_Master_Gem_Types'!D:D),""))</f>
        <v>0</v>
      </c>
      <c r="I497" s="7">
        <f>IF('01_Input_Raw_Products'!N497&lt;&gt;"",'01_Input_Raw_Products'!N497,IF('01_Input_Raw_Products'!O497&lt;&gt;"",'01_Input_Raw_Products'!O497*0.91,""))</f>
        <v>0</v>
      </c>
      <c r="J497" s="9" cm="1">
        <f t="array" ref="J497">IFERROR(_xlfn.XLOOKUP('01_Input_Raw_Products'!F497,'10_Master_Gem_Types'!A:A,'10_Master_Gem_Types'!N:N),"")</f>
        <v>0</v>
      </c>
      <c r="K497" s="9" cm="1">
        <f t="array" ref="K497">IF('01_Input_Raw_Products'!J497&lt;&gt;"",'01_Input_Raw_Products'!J497,IFERROR(_xlfn.XLOOKUP('01_Input_Raw_Products'!F497,'10_Master_Gem_Types'!A:A,'10_Master_Gem_Types'!E:E),""))</f>
        <v>0</v>
      </c>
      <c r="L497" s="9">
        <f>'01_Input_Raw_Products'!P497</f>
        <v>0</v>
      </c>
      <c r="M497" s="9" cm="1">
        <f t="array" ref="M497">IFERROR(_xlfn.XLOOKUP('01_Input_Raw_Products'!K497,'12_Color_Mapping'!A:A,'12_Color_Mapping'!B:B),IFERROR(_xlfn.XLOOKUP('01_Input_Raw_Products'!F497,'10_Master_Gem_Types'!A:A,'10_Master_Gem_Types'!F:F),""))</f>
        <v>0</v>
      </c>
      <c r="N497" s="9">
        <f>IF(C497="","",IF('01_Input_Raw_Products'!F497&lt;&gt;"",'01_Input_Raw_Products'!F497,'01_Input_Raw_Products'!D497))</f>
        <v>0</v>
      </c>
      <c r="O497" s="9">
        <f>IF(C497="","","Catalog Automation")</f>
        <v>0</v>
      </c>
      <c r="P497" s="9">
        <f>'01_Input_Raw_Products'!U497</f>
        <v>0</v>
      </c>
      <c r="Q497" s="7">
        <f>IF('01_Input_Raw_Products'!O497&lt;&gt;"",'01_Input_Raw_Products'!O497,IF('01_Input_Raw_Products'!N497&lt;&gt;"",'01_Input_Raw_Products'!N497*1.1,""))</f>
        <v>0</v>
      </c>
      <c r="R497" s="9">
        <f>'01_Input_Raw_Products'!S497</f>
        <v>0</v>
      </c>
      <c r="S497" s="9" cm="1">
        <f t="array" ref="S497">IFERROR(_xlfn.XLOOKUP('01_Input_Raw_Products'!F497,'10_Master_Gem_Types'!A:A,'10_Master_Gem_Types'!H:H),"")</f>
        <v>0</v>
      </c>
      <c r="T497" s="8">
        <f>'01_Input_Raw_Products'!Q497</f>
        <v>0</v>
      </c>
      <c r="U497" s="8">
        <f>'01_Input_Raw_Products'!R497</f>
        <v>0</v>
      </c>
      <c r="V497" s="7">
        <f>I497</f>
        <v>0</v>
      </c>
      <c r="W497" s="9" cm="1">
        <f t="array" ref="W497">IF('01_Input_Raw_Products'!G497&lt;&gt;"",'01_Input_Raw_Products'!G497,IFERROR(_xlfn.XLOOKUP('01_Input_Raw_Products'!F497,'10_Master_Gem_Types'!A:A,'10_Master_Gem_Types'!L:L),""))</f>
        <v>0</v>
      </c>
      <c r="X497" s="9" cm="1">
        <f t="array" ref="X497">IFERROR(_xlfn.XLOOKUP('01_Input_Raw_Products'!F497,'10_Master_Gem_Types'!A:A,'10_Master_Gem_Types'!J:J),"")</f>
        <v>0</v>
      </c>
      <c r="Y497" s="9" cm="1">
        <f t="array" ref="Y497">IFERROR(_xlfn.XLOOKUP('01_Input_Raw_Products'!F497,'10_Master_Gem_Types'!A:A,'10_Master_Gem_Types'!I:I),"")</f>
        <v>0</v>
      </c>
      <c r="Z497" s="9" cm="1">
        <f t="array" ref="Z497">IFERROR(_xlfn.XLOOKUP('01_Input_Raw_Products'!L497,'13_Certification_Stickers'!A:A,'13_Certification_Stickers'!C:C),"")</f>
        <v>0</v>
      </c>
      <c r="AA497" s="9" cm="1">
        <f t="array" ref="AA497">IFERROR(_xlfn.XLOOKUP('01_Input_Raw_Products'!S497,'14_Shipping_Rules'!A:A,'14_Shipping_Rules'!B:B),"")</f>
        <v>0</v>
      </c>
      <c r="AB497" s="9" cm="1">
        <f t="array" ref="AB497">IFERROR(_xlfn.XLOOKUP('01_Input_Raw_Products'!D497,'16_Astro_Flags'!A:A,'16_Astro_Flags'!B:B),"")</f>
        <v>0</v>
      </c>
      <c r="AC497" s="9">
        <f>IF(C497="","","Catalog, Search")</f>
        <v>0</v>
      </c>
      <c r="AD497" s="9">
        <f>IF(C497="","",IF(OR(F497="",J497="",M497="",S497="",Y497=""),"Manual Review","Ready"))</f>
        <v>0</v>
      </c>
      <c r="AE497" s="9">
        <f>IF(C497="","",TEXTJOIN("; ",TRUE,IF(F497="","Missing url_key",""),IF(J497="","Missing classification",""),IF(M497="","Missing j_colour",""),IF(S497="","Missing hsn_code",""),IF(Y497="","Missing tax_class_id","")))</f>
        <v>0</v>
      </c>
    </row>
    <row r="498" spans="1:31">
      <c r="A498" s="9">
        <f>IF('01_Input_Raw_Products'!B498&lt;&gt;"",20,"")</f>
        <v>0</v>
      </c>
      <c r="B498" s="9" cm="1">
        <f t="array" ref="B498">IF('01_Input_Raw_Products'!M498&lt;&gt;"",'01_Input_Raw_Products'!M498,IFERROR(_xlfn.XLOOKUP('01_Input_Raw_Products'!F498,'10_Master_Gem_Types'!A:A,'10_Master_Gem_Types'!K:K),""))</f>
        <v>0</v>
      </c>
      <c r="C498" s="9">
        <f>'01_Input_Raw_Products'!B498</f>
        <v>0</v>
      </c>
      <c r="D498" s="9">
        <f>IF(C498="","",TEXT(I498,"0.00")&amp;" Ct "&amp;IF('01_Input_Raw_Products'!F498&lt;&gt;"",'01_Input_Raw_Products'!F498,'01_Input_Raw_Products'!D498)&amp;" "&amp;'01_Input_Raw_Products'!I498)</f>
        <v>0</v>
      </c>
      <c r="E498" s="9">
        <f>IF(C498="","",D498&amp;" | GemPundit")</f>
        <v>0</v>
      </c>
      <c r="F498" s="9" cm="1">
        <f t="array" ref="F498">IF('01_Input_Raw_Products'!X498&lt;&gt;"",'01_Input_Raw_Products'!X498,IFERROR(_xlfn.XLOOKUP('01_Input_Raw_Products'!F498,'10_Master_Gem_Types'!A:A,'10_Master_Gem_Types'!O:O),LOWER(SUBSTITUTE(IF('01_Input_Raw_Products'!F498&lt;&gt;"",'01_Input_Raw_Products'!F498,'01_Input_Raw_Products'!D498)," ","-"))))</f>
        <v>0</v>
      </c>
      <c r="G498" s="9">
        <f>'01_Input_Raw_Products'!C498</f>
        <v>0</v>
      </c>
      <c r="H498" s="9" cm="1">
        <f t="array" ref="H498">IF('01_Input_Raw_Products'!H498&lt;&gt;"",'01_Input_Raw_Products'!H498,IFERROR(_xlfn.XLOOKUP('01_Input_Raw_Products'!F498,'10_Master_Gem_Types'!A:A,'10_Master_Gem_Types'!D:D),""))</f>
        <v>0</v>
      </c>
      <c r="I498" s="7">
        <f>IF('01_Input_Raw_Products'!N498&lt;&gt;"",'01_Input_Raw_Products'!N498,IF('01_Input_Raw_Products'!O498&lt;&gt;"",'01_Input_Raw_Products'!O498*0.91,""))</f>
        <v>0</v>
      </c>
      <c r="J498" s="9" cm="1">
        <f t="array" ref="J498">IFERROR(_xlfn.XLOOKUP('01_Input_Raw_Products'!F498,'10_Master_Gem_Types'!A:A,'10_Master_Gem_Types'!N:N),"")</f>
        <v>0</v>
      </c>
      <c r="K498" s="9" cm="1">
        <f t="array" ref="K498">IF('01_Input_Raw_Products'!J498&lt;&gt;"",'01_Input_Raw_Products'!J498,IFERROR(_xlfn.XLOOKUP('01_Input_Raw_Products'!F498,'10_Master_Gem_Types'!A:A,'10_Master_Gem_Types'!E:E),""))</f>
        <v>0</v>
      </c>
      <c r="L498" s="9">
        <f>'01_Input_Raw_Products'!P498</f>
        <v>0</v>
      </c>
      <c r="M498" s="9" cm="1">
        <f t="array" ref="M498">IFERROR(_xlfn.XLOOKUP('01_Input_Raw_Products'!K498,'12_Color_Mapping'!A:A,'12_Color_Mapping'!B:B),IFERROR(_xlfn.XLOOKUP('01_Input_Raw_Products'!F498,'10_Master_Gem_Types'!A:A,'10_Master_Gem_Types'!F:F),""))</f>
        <v>0</v>
      </c>
      <c r="N498" s="9">
        <f>IF(C498="","",IF('01_Input_Raw_Products'!F498&lt;&gt;"",'01_Input_Raw_Products'!F498,'01_Input_Raw_Products'!D498))</f>
        <v>0</v>
      </c>
      <c r="O498" s="9">
        <f>IF(C498="","","Catalog Automation")</f>
        <v>0</v>
      </c>
      <c r="P498" s="9">
        <f>'01_Input_Raw_Products'!U498</f>
        <v>0</v>
      </c>
      <c r="Q498" s="7">
        <f>IF('01_Input_Raw_Products'!O498&lt;&gt;"",'01_Input_Raw_Products'!O498,IF('01_Input_Raw_Products'!N498&lt;&gt;"",'01_Input_Raw_Products'!N498*1.1,""))</f>
        <v>0</v>
      </c>
      <c r="R498" s="9">
        <f>'01_Input_Raw_Products'!S498</f>
        <v>0</v>
      </c>
      <c r="S498" s="9" cm="1">
        <f t="array" ref="S498">IFERROR(_xlfn.XLOOKUP('01_Input_Raw_Products'!F498,'10_Master_Gem_Types'!A:A,'10_Master_Gem_Types'!H:H),"")</f>
        <v>0</v>
      </c>
      <c r="T498" s="8">
        <f>'01_Input_Raw_Products'!Q498</f>
        <v>0</v>
      </c>
      <c r="U498" s="8">
        <f>'01_Input_Raw_Products'!R498</f>
        <v>0</v>
      </c>
      <c r="V498" s="7">
        <f>I498</f>
        <v>0</v>
      </c>
      <c r="W498" s="9" cm="1">
        <f t="array" ref="W498">IF('01_Input_Raw_Products'!G498&lt;&gt;"",'01_Input_Raw_Products'!G498,IFERROR(_xlfn.XLOOKUP('01_Input_Raw_Products'!F498,'10_Master_Gem_Types'!A:A,'10_Master_Gem_Types'!L:L),""))</f>
        <v>0</v>
      </c>
      <c r="X498" s="9" cm="1">
        <f t="array" ref="X498">IFERROR(_xlfn.XLOOKUP('01_Input_Raw_Products'!F498,'10_Master_Gem_Types'!A:A,'10_Master_Gem_Types'!J:J),"")</f>
        <v>0</v>
      </c>
      <c r="Y498" s="9" cm="1">
        <f t="array" ref="Y498">IFERROR(_xlfn.XLOOKUP('01_Input_Raw_Products'!F498,'10_Master_Gem_Types'!A:A,'10_Master_Gem_Types'!I:I),"")</f>
        <v>0</v>
      </c>
      <c r="Z498" s="9" cm="1">
        <f t="array" ref="Z498">IFERROR(_xlfn.XLOOKUP('01_Input_Raw_Products'!L498,'13_Certification_Stickers'!A:A,'13_Certification_Stickers'!C:C),"")</f>
        <v>0</v>
      </c>
      <c r="AA498" s="9" cm="1">
        <f t="array" ref="AA498">IFERROR(_xlfn.XLOOKUP('01_Input_Raw_Products'!S498,'14_Shipping_Rules'!A:A,'14_Shipping_Rules'!B:B),"")</f>
        <v>0</v>
      </c>
      <c r="AB498" s="9" cm="1">
        <f t="array" ref="AB498">IFERROR(_xlfn.XLOOKUP('01_Input_Raw_Products'!D498,'16_Astro_Flags'!A:A,'16_Astro_Flags'!B:B),"")</f>
        <v>0</v>
      </c>
      <c r="AC498" s="9">
        <f>IF(C498="","","Catalog, Search")</f>
        <v>0</v>
      </c>
      <c r="AD498" s="9">
        <f>IF(C498="","",IF(OR(F498="",J498="",M498="",S498="",Y498=""),"Manual Review","Ready"))</f>
        <v>0</v>
      </c>
      <c r="AE498" s="9">
        <f>IF(C498="","",TEXTJOIN("; ",TRUE,IF(F498="","Missing url_key",""),IF(J498="","Missing classification",""),IF(M498="","Missing j_colour",""),IF(S498="","Missing hsn_code",""),IF(Y498="","Missing tax_class_id","")))</f>
        <v>0</v>
      </c>
    </row>
    <row r="499" spans="1:31">
      <c r="A499" s="9">
        <f>IF('01_Input_Raw_Products'!B499&lt;&gt;"",20,"")</f>
        <v>0</v>
      </c>
      <c r="B499" s="9" cm="1">
        <f t="array" ref="B499">IF('01_Input_Raw_Products'!M499&lt;&gt;"",'01_Input_Raw_Products'!M499,IFERROR(_xlfn.XLOOKUP('01_Input_Raw_Products'!F499,'10_Master_Gem_Types'!A:A,'10_Master_Gem_Types'!K:K),""))</f>
        <v>0</v>
      </c>
      <c r="C499" s="9">
        <f>'01_Input_Raw_Products'!B499</f>
        <v>0</v>
      </c>
      <c r="D499" s="9">
        <f>IF(C499="","",TEXT(I499,"0.00")&amp;" Ct "&amp;IF('01_Input_Raw_Products'!F499&lt;&gt;"",'01_Input_Raw_Products'!F499,'01_Input_Raw_Products'!D499)&amp;" "&amp;'01_Input_Raw_Products'!I499)</f>
        <v>0</v>
      </c>
      <c r="E499" s="9">
        <f>IF(C499="","",D499&amp;" | GemPundit")</f>
        <v>0</v>
      </c>
      <c r="F499" s="9" cm="1">
        <f t="array" ref="F499">IF('01_Input_Raw_Products'!X499&lt;&gt;"",'01_Input_Raw_Products'!X499,IFERROR(_xlfn.XLOOKUP('01_Input_Raw_Products'!F499,'10_Master_Gem_Types'!A:A,'10_Master_Gem_Types'!O:O),LOWER(SUBSTITUTE(IF('01_Input_Raw_Products'!F499&lt;&gt;"",'01_Input_Raw_Products'!F499,'01_Input_Raw_Products'!D499)," ","-"))))</f>
        <v>0</v>
      </c>
      <c r="G499" s="9">
        <f>'01_Input_Raw_Products'!C499</f>
        <v>0</v>
      </c>
      <c r="H499" s="9" cm="1">
        <f t="array" ref="H499">IF('01_Input_Raw_Products'!H499&lt;&gt;"",'01_Input_Raw_Products'!H499,IFERROR(_xlfn.XLOOKUP('01_Input_Raw_Products'!F499,'10_Master_Gem_Types'!A:A,'10_Master_Gem_Types'!D:D),""))</f>
        <v>0</v>
      </c>
      <c r="I499" s="7">
        <f>IF('01_Input_Raw_Products'!N499&lt;&gt;"",'01_Input_Raw_Products'!N499,IF('01_Input_Raw_Products'!O499&lt;&gt;"",'01_Input_Raw_Products'!O499*0.91,""))</f>
        <v>0</v>
      </c>
      <c r="J499" s="9" cm="1">
        <f t="array" ref="J499">IFERROR(_xlfn.XLOOKUP('01_Input_Raw_Products'!F499,'10_Master_Gem_Types'!A:A,'10_Master_Gem_Types'!N:N),"")</f>
        <v>0</v>
      </c>
      <c r="K499" s="9" cm="1">
        <f t="array" ref="K499">IF('01_Input_Raw_Products'!J499&lt;&gt;"",'01_Input_Raw_Products'!J499,IFERROR(_xlfn.XLOOKUP('01_Input_Raw_Products'!F499,'10_Master_Gem_Types'!A:A,'10_Master_Gem_Types'!E:E),""))</f>
        <v>0</v>
      </c>
      <c r="L499" s="9">
        <f>'01_Input_Raw_Products'!P499</f>
        <v>0</v>
      </c>
      <c r="M499" s="9" cm="1">
        <f t="array" ref="M499">IFERROR(_xlfn.XLOOKUP('01_Input_Raw_Products'!K499,'12_Color_Mapping'!A:A,'12_Color_Mapping'!B:B),IFERROR(_xlfn.XLOOKUP('01_Input_Raw_Products'!F499,'10_Master_Gem_Types'!A:A,'10_Master_Gem_Types'!F:F),""))</f>
        <v>0</v>
      </c>
      <c r="N499" s="9">
        <f>IF(C499="","",IF('01_Input_Raw_Products'!F499&lt;&gt;"",'01_Input_Raw_Products'!F499,'01_Input_Raw_Products'!D499))</f>
        <v>0</v>
      </c>
      <c r="O499" s="9">
        <f>IF(C499="","","Catalog Automation")</f>
        <v>0</v>
      </c>
      <c r="P499" s="9">
        <f>'01_Input_Raw_Products'!U499</f>
        <v>0</v>
      </c>
      <c r="Q499" s="7">
        <f>IF('01_Input_Raw_Products'!O499&lt;&gt;"",'01_Input_Raw_Products'!O499,IF('01_Input_Raw_Products'!N499&lt;&gt;"",'01_Input_Raw_Products'!N499*1.1,""))</f>
        <v>0</v>
      </c>
      <c r="R499" s="9">
        <f>'01_Input_Raw_Products'!S499</f>
        <v>0</v>
      </c>
      <c r="S499" s="9" cm="1">
        <f t="array" ref="S499">IFERROR(_xlfn.XLOOKUP('01_Input_Raw_Products'!F499,'10_Master_Gem_Types'!A:A,'10_Master_Gem_Types'!H:H),"")</f>
        <v>0</v>
      </c>
      <c r="T499" s="8">
        <f>'01_Input_Raw_Products'!Q499</f>
        <v>0</v>
      </c>
      <c r="U499" s="8">
        <f>'01_Input_Raw_Products'!R499</f>
        <v>0</v>
      </c>
      <c r="V499" s="7">
        <f>I499</f>
        <v>0</v>
      </c>
      <c r="W499" s="9" cm="1">
        <f t="array" ref="W499">IF('01_Input_Raw_Products'!G499&lt;&gt;"",'01_Input_Raw_Products'!G499,IFERROR(_xlfn.XLOOKUP('01_Input_Raw_Products'!F499,'10_Master_Gem_Types'!A:A,'10_Master_Gem_Types'!L:L),""))</f>
        <v>0</v>
      </c>
      <c r="X499" s="9" cm="1">
        <f t="array" ref="X499">IFERROR(_xlfn.XLOOKUP('01_Input_Raw_Products'!F499,'10_Master_Gem_Types'!A:A,'10_Master_Gem_Types'!J:J),"")</f>
        <v>0</v>
      </c>
      <c r="Y499" s="9" cm="1">
        <f t="array" ref="Y499">IFERROR(_xlfn.XLOOKUP('01_Input_Raw_Products'!F499,'10_Master_Gem_Types'!A:A,'10_Master_Gem_Types'!I:I),"")</f>
        <v>0</v>
      </c>
      <c r="Z499" s="9" cm="1">
        <f t="array" ref="Z499">IFERROR(_xlfn.XLOOKUP('01_Input_Raw_Products'!L499,'13_Certification_Stickers'!A:A,'13_Certification_Stickers'!C:C),"")</f>
        <v>0</v>
      </c>
      <c r="AA499" s="9" cm="1">
        <f t="array" ref="AA499">IFERROR(_xlfn.XLOOKUP('01_Input_Raw_Products'!S499,'14_Shipping_Rules'!A:A,'14_Shipping_Rules'!B:B),"")</f>
        <v>0</v>
      </c>
      <c r="AB499" s="9" cm="1">
        <f t="array" ref="AB499">IFERROR(_xlfn.XLOOKUP('01_Input_Raw_Products'!D499,'16_Astro_Flags'!A:A,'16_Astro_Flags'!B:B),"")</f>
        <v>0</v>
      </c>
      <c r="AC499" s="9">
        <f>IF(C499="","","Catalog, Search")</f>
        <v>0</v>
      </c>
      <c r="AD499" s="9">
        <f>IF(C499="","",IF(OR(F499="",J499="",M499="",S499="",Y499=""),"Manual Review","Ready"))</f>
        <v>0</v>
      </c>
      <c r="AE499" s="9">
        <f>IF(C499="","",TEXTJOIN("; ",TRUE,IF(F499="","Missing url_key",""),IF(J499="","Missing classification",""),IF(M499="","Missing j_colour",""),IF(S499="","Missing hsn_code",""),IF(Y499="","Missing tax_class_id","")))</f>
        <v>0</v>
      </c>
    </row>
    <row r="500" spans="1:31">
      <c r="A500" s="9">
        <f>IF('01_Input_Raw_Products'!B500&lt;&gt;"",20,"")</f>
        <v>0</v>
      </c>
      <c r="B500" s="9" cm="1">
        <f t="array" ref="B500">IF('01_Input_Raw_Products'!M500&lt;&gt;"",'01_Input_Raw_Products'!M500,IFERROR(_xlfn.XLOOKUP('01_Input_Raw_Products'!F500,'10_Master_Gem_Types'!A:A,'10_Master_Gem_Types'!K:K),""))</f>
        <v>0</v>
      </c>
      <c r="C500" s="9">
        <f>'01_Input_Raw_Products'!B500</f>
        <v>0</v>
      </c>
      <c r="D500" s="9">
        <f>IF(C500="","",TEXT(I500,"0.00")&amp;" Ct "&amp;IF('01_Input_Raw_Products'!F500&lt;&gt;"",'01_Input_Raw_Products'!F500,'01_Input_Raw_Products'!D500)&amp;" "&amp;'01_Input_Raw_Products'!I500)</f>
        <v>0</v>
      </c>
      <c r="E500" s="9">
        <f>IF(C500="","",D500&amp;" | GemPundit")</f>
        <v>0</v>
      </c>
      <c r="F500" s="9" cm="1">
        <f t="array" ref="F500">IF('01_Input_Raw_Products'!X500&lt;&gt;"",'01_Input_Raw_Products'!X500,IFERROR(_xlfn.XLOOKUP('01_Input_Raw_Products'!F500,'10_Master_Gem_Types'!A:A,'10_Master_Gem_Types'!O:O),LOWER(SUBSTITUTE(IF('01_Input_Raw_Products'!F500&lt;&gt;"",'01_Input_Raw_Products'!F500,'01_Input_Raw_Products'!D500)," ","-"))))</f>
        <v>0</v>
      </c>
      <c r="G500" s="9">
        <f>'01_Input_Raw_Products'!C500</f>
        <v>0</v>
      </c>
      <c r="H500" s="9" cm="1">
        <f t="array" ref="H500">IF('01_Input_Raw_Products'!H500&lt;&gt;"",'01_Input_Raw_Products'!H500,IFERROR(_xlfn.XLOOKUP('01_Input_Raw_Products'!F500,'10_Master_Gem_Types'!A:A,'10_Master_Gem_Types'!D:D),""))</f>
        <v>0</v>
      </c>
      <c r="I500" s="7">
        <f>IF('01_Input_Raw_Products'!N500&lt;&gt;"",'01_Input_Raw_Products'!N500,IF('01_Input_Raw_Products'!O500&lt;&gt;"",'01_Input_Raw_Products'!O500*0.91,""))</f>
        <v>0</v>
      </c>
      <c r="J500" s="9" cm="1">
        <f t="array" ref="J500">IFERROR(_xlfn.XLOOKUP('01_Input_Raw_Products'!F500,'10_Master_Gem_Types'!A:A,'10_Master_Gem_Types'!N:N),"")</f>
        <v>0</v>
      </c>
      <c r="K500" s="9" cm="1">
        <f t="array" ref="K500">IF('01_Input_Raw_Products'!J500&lt;&gt;"",'01_Input_Raw_Products'!J500,IFERROR(_xlfn.XLOOKUP('01_Input_Raw_Products'!F500,'10_Master_Gem_Types'!A:A,'10_Master_Gem_Types'!E:E),""))</f>
        <v>0</v>
      </c>
      <c r="L500" s="9">
        <f>'01_Input_Raw_Products'!P500</f>
        <v>0</v>
      </c>
      <c r="M500" s="9" cm="1">
        <f t="array" ref="M500">IFERROR(_xlfn.XLOOKUP('01_Input_Raw_Products'!K500,'12_Color_Mapping'!A:A,'12_Color_Mapping'!B:B),IFERROR(_xlfn.XLOOKUP('01_Input_Raw_Products'!F500,'10_Master_Gem_Types'!A:A,'10_Master_Gem_Types'!F:F),""))</f>
        <v>0</v>
      </c>
      <c r="N500" s="9">
        <f>IF(C500="","",IF('01_Input_Raw_Products'!F500&lt;&gt;"",'01_Input_Raw_Products'!F500,'01_Input_Raw_Products'!D500))</f>
        <v>0</v>
      </c>
      <c r="O500" s="9">
        <f>IF(C500="","","Catalog Automation")</f>
        <v>0</v>
      </c>
      <c r="P500" s="9">
        <f>'01_Input_Raw_Products'!U500</f>
        <v>0</v>
      </c>
      <c r="Q500" s="7">
        <f>IF('01_Input_Raw_Products'!O500&lt;&gt;"",'01_Input_Raw_Products'!O500,IF('01_Input_Raw_Products'!N500&lt;&gt;"",'01_Input_Raw_Products'!N500*1.1,""))</f>
        <v>0</v>
      </c>
      <c r="R500" s="9">
        <f>'01_Input_Raw_Products'!S500</f>
        <v>0</v>
      </c>
      <c r="S500" s="9" cm="1">
        <f t="array" ref="S500">IFERROR(_xlfn.XLOOKUP('01_Input_Raw_Products'!F500,'10_Master_Gem_Types'!A:A,'10_Master_Gem_Types'!H:H),"")</f>
        <v>0</v>
      </c>
      <c r="T500" s="8">
        <f>'01_Input_Raw_Products'!Q500</f>
        <v>0</v>
      </c>
      <c r="U500" s="8">
        <f>'01_Input_Raw_Products'!R500</f>
        <v>0</v>
      </c>
      <c r="V500" s="7">
        <f>I500</f>
        <v>0</v>
      </c>
      <c r="W500" s="9" cm="1">
        <f t="array" ref="W500">IF('01_Input_Raw_Products'!G500&lt;&gt;"",'01_Input_Raw_Products'!G500,IFERROR(_xlfn.XLOOKUP('01_Input_Raw_Products'!F500,'10_Master_Gem_Types'!A:A,'10_Master_Gem_Types'!L:L),""))</f>
        <v>0</v>
      </c>
      <c r="X500" s="9" cm="1">
        <f t="array" ref="X500">IFERROR(_xlfn.XLOOKUP('01_Input_Raw_Products'!F500,'10_Master_Gem_Types'!A:A,'10_Master_Gem_Types'!J:J),"")</f>
        <v>0</v>
      </c>
      <c r="Y500" s="9" cm="1">
        <f t="array" ref="Y500">IFERROR(_xlfn.XLOOKUP('01_Input_Raw_Products'!F500,'10_Master_Gem_Types'!A:A,'10_Master_Gem_Types'!I:I),"")</f>
        <v>0</v>
      </c>
      <c r="Z500" s="9" cm="1">
        <f t="array" ref="Z500">IFERROR(_xlfn.XLOOKUP('01_Input_Raw_Products'!L500,'13_Certification_Stickers'!A:A,'13_Certification_Stickers'!C:C),"")</f>
        <v>0</v>
      </c>
      <c r="AA500" s="9" cm="1">
        <f t="array" ref="AA500">IFERROR(_xlfn.XLOOKUP('01_Input_Raw_Products'!S500,'14_Shipping_Rules'!A:A,'14_Shipping_Rules'!B:B),"")</f>
        <v>0</v>
      </c>
      <c r="AB500" s="9" cm="1">
        <f t="array" ref="AB500">IFERROR(_xlfn.XLOOKUP('01_Input_Raw_Products'!D500,'16_Astro_Flags'!A:A,'16_Astro_Flags'!B:B),"")</f>
        <v>0</v>
      </c>
      <c r="AC500" s="9">
        <f>IF(C500="","","Catalog, Search")</f>
        <v>0</v>
      </c>
      <c r="AD500" s="9">
        <f>IF(C500="","",IF(OR(F500="",J500="",M500="",S500="",Y500=""),"Manual Review","Ready"))</f>
        <v>0</v>
      </c>
      <c r="AE500" s="9">
        <f>IF(C500="","",TEXTJOIN("; ",TRUE,IF(F500="","Missing url_key",""),IF(J500="","Missing classification",""),IF(M500="","Missing j_colour",""),IF(S500="","Missing hsn_code",""),IF(Y500="","Missing tax_class_id","")))</f>
        <v>0</v>
      </c>
    </row>
    <row r="501" spans="1:31">
      <c r="A501" s="9">
        <f>IF('01_Input_Raw_Products'!B501&lt;&gt;"",20,"")</f>
        <v>0</v>
      </c>
      <c r="B501" s="9" cm="1">
        <f t="array" ref="B501">IF('01_Input_Raw_Products'!M501&lt;&gt;"",'01_Input_Raw_Products'!M501,IFERROR(_xlfn.XLOOKUP('01_Input_Raw_Products'!F501,'10_Master_Gem_Types'!A:A,'10_Master_Gem_Types'!K:K),""))</f>
        <v>0</v>
      </c>
      <c r="C501" s="9">
        <f>'01_Input_Raw_Products'!B501</f>
        <v>0</v>
      </c>
      <c r="D501" s="9">
        <f>IF(C501="","",TEXT(I501,"0.00")&amp;" Ct "&amp;IF('01_Input_Raw_Products'!F501&lt;&gt;"",'01_Input_Raw_Products'!F501,'01_Input_Raw_Products'!D501)&amp;" "&amp;'01_Input_Raw_Products'!I501)</f>
        <v>0</v>
      </c>
      <c r="E501" s="9">
        <f>IF(C501="","",D501&amp;" | GemPundit")</f>
        <v>0</v>
      </c>
      <c r="F501" s="9" cm="1">
        <f t="array" ref="F501">IF('01_Input_Raw_Products'!X501&lt;&gt;"",'01_Input_Raw_Products'!X501,IFERROR(_xlfn.XLOOKUP('01_Input_Raw_Products'!F501,'10_Master_Gem_Types'!A:A,'10_Master_Gem_Types'!O:O),LOWER(SUBSTITUTE(IF('01_Input_Raw_Products'!F501&lt;&gt;"",'01_Input_Raw_Products'!F501,'01_Input_Raw_Products'!D501)," ","-"))))</f>
        <v>0</v>
      </c>
      <c r="G501" s="9">
        <f>'01_Input_Raw_Products'!C501</f>
        <v>0</v>
      </c>
      <c r="H501" s="9" cm="1">
        <f t="array" ref="H501">IF('01_Input_Raw_Products'!H501&lt;&gt;"",'01_Input_Raw_Products'!H501,IFERROR(_xlfn.XLOOKUP('01_Input_Raw_Products'!F501,'10_Master_Gem_Types'!A:A,'10_Master_Gem_Types'!D:D),""))</f>
        <v>0</v>
      </c>
      <c r="I501" s="7">
        <f>IF('01_Input_Raw_Products'!N501&lt;&gt;"",'01_Input_Raw_Products'!N501,IF('01_Input_Raw_Products'!O501&lt;&gt;"",'01_Input_Raw_Products'!O501*0.91,""))</f>
        <v>0</v>
      </c>
      <c r="J501" s="9" cm="1">
        <f t="array" ref="J501">IFERROR(_xlfn.XLOOKUP('01_Input_Raw_Products'!F501,'10_Master_Gem_Types'!A:A,'10_Master_Gem_Types'!N:N),"")</f>
        <v>0</v>
      </c>
      <c r="K501" s="9" cm="1">
        <f t="array" ref="K501">IF('01_Input_Raw_Products'!J501&lt;&gt;"",'01_Input_Raw_Products'!J501,IFERROR(_xlfn.XLOOKUP('01_Input_Raw_Products'!F501,'10_Master_Gem_Types'!A:A,'10_Master_Gem_Types'!E:E),""))</f>
        <v>0</v>
      </c>
      <c r="L501" s="9">
        <f>'01_Input_Raw_Products'!P501</f>
        <v>0</v>
      </c>
      <c r="M501" s="9" cm="1">
        <f t="array" ref="M501">IFERROR(_xlfn.XLOOKUP('01_Input_Raw_Products'!K501,'12_Color_Mapping'!A:A,'12_Color_Mapping'!B:B),IFERROR(_xlfn.XLOOKUP('01_Input_Raw_Products'!F501,'10_Master_Gem_Types'!A:A,'10_Master_Gem_Types'!F:F),""))</f>
        <v>0</v>
      </c>
      <c r="N501" s="9">
        <f>IF(C501="","",IF('01_Input_Raw_Products'!F501&lt;&gt;"",'01_Input_Raw_Products'!F501,'01_Input_Raw_Products'!D501))</f>
        <v>0</v>
      </c>
      <c r="O501" s="9">
        <f>IF(C501="","","Catalog Automation")</f>
        <v>0</v>
      </c>
      <c r="P501" s="9">
        <f>'01_Input_Raw_Products'!U501</f>
        <v>0</v>
      </c>
      <c r="Q501" s="7">
        <f>IF('01_Input_Raw_Products'!O501&lt;&gt;"",'01_Input_Raw_Products'!O501,IF('01_Input_Raw_Products'!N501&lt;&gt;"",'01_Input_Raw_Products'!N501*1.1,""))</f>
        <v>0</v>
      </c>
      <c r="R501" s="9">
        <f>'01_Input_Raw_Products'!S501</f>
        <v>0</v>
      </c>
      <c r="S501" s="9" cm="1">
        <f t="array" ref="S501">IFERROR(_xlfn.XLOOKUP('01_Input_Raw_Products'!F501,'10_Master_Gem_Types'!A:A,'10_Master_Gem_Types'!H:H),"")</f>
        <v>0</v>
      </c>
      <c r="T501" s="8">
        <f>'01_Input_Raw_Products'!Q501</f>
        <v>0</v>
      </c>
      <c r="U501" s="8">
        <f>'01_Input_Raw_Products'!R501</f>
        <v>0</v>
      </c>
      <c r="V501" s="7">
        <f>I501</f>
        <v>0</v>
      </c>
      <c r="W501" s="9" cm="1">
        <f t="array" ref="W501">IF('01_Input_Raw_Products'!G501&lt;&gt;"",'01_Input_Raw_Products'!G501,IFERROR(_xlfn.XLOOKUP('01_Input_Raw_Products'!F501,'10_Master_Gem_Types'!A:A,'10_Master_Gem_Types'!L:L),""))</f>
        <v>0</v>
      </c>
      <c r="X501" s="9" cm="1">
        <f t="array" ref="X501">IFERROR(_xlfn.XLOOKUP('01_Input_Raw_Products'!F501,'10_Master_Gem_Types'!A:A,'10_Master_Gem_Types'!J:J),"")</f>
        <v>0</v>
      </c>
      <c r="Y501" s="9" cm="1">
        <f t="array" ref="Y501">IFERROR(_xlfn.XLOOKUP('01_Input_Raw_Products'!F501,'10_Master_Gem_Types'!A:A,'10_Master_Gem_Types'!I:I),"")</f>
        <v>0</v>
      </c>
      <c r="Z501" s="9" cm="1">
        <f t="array" ref="Z501">IFERROR(_xlfn.XLOOKUP('01_Input_Raw_Products'!L501,'13_Certification_Stickers'!A:A,'13_Certification_Stickers'!C:C),"")</f>
        <v>0</v>
      </c>
      <c r="AA501" s="9" cm="1">
        <f t="array" ref="AA501">IFERROR(_xlfn.XLOOKUP('01_Input_Raw_Products'!S501,'14_Shipping_Rules'!A:A,'14_Shipping_Rules'!B:B),"")</f>
        <v>0</v>
      </c>
      <c r="AB501" s="9" cm="1">
        <f t="array" ref="AB501">IFERROR(_xlfn.XLOOKUP('01_Input_Raw_Products'!D501,'16_Astro_Flags'!A:A,'16_Astro_Flags'!B:B),"")</f>
        <v>0</v>
      </c>
      <c r="AC501" s="9">
        <f>IF(C501="","","Catalog, Search")</f>
        <v>0</v>
      </c>
      <c r="AD501" s="9">
        <f>IF(C501="","",IF(OR(F501="",J501="",M501="",S501="",Y501=""),"Manual Review","Ready"))</f>
        <v>0</v>
      </c>
      <c r="AE501" s="9">
        <f>IF(C501="","",TEXTJOIN("; ",TRUE,IF(F501="","Missing url_key",""),IF(J501="","Missing classification",""),IF(M501="","Missing j_colour",""),IF(S501="","Missing hsn_code",""),IF(Y501="","Missing tax_class_id","")))</f>
        <v>0</v>
      </c>
    </row>
    <row r="502" spans="1:31">
      <c r="A502" s="9">
        <f>IF('01_Input_Raw_Products'!B502&lt;&gt;"",20,"")</f>
        <v>0</v>
      </c>
      <c r="B502" s="9" cm="1">
        <f t="array" ref="B502">IF('01_Input_Raw_Products'!M502&lt;&gt;"",'01_Input_Raw_Products'!M502,IFERROR(_xlfn.XLOOKUP('01_Input_Raw_Products'!F502,'10_Master_Gem_Types'!A:A,'10_Master_Gem_Types'!K:K),""))</f>
        <v>0</v>
      </c>
      <c r="C502" s="9">
        <f>'01_Input_Raw_Products'!B502</f>
        <v>0</v>
      </c>
      <c r="D502" s="9">
        <f>IF(C502="","",TEXT(I502,"0.00")&amp;" Ct "&amp;IF('01_Input_Raw_Products'!F502&lt;&gt;"",'01_Input_Raw_Products'!F502,'01_Input_Raw_Products'!D502)&amp;" "&amp;'01_Input_Raw_Products'!I502)</f>
        <v>0</v>
      </c>
      <c r="E502" s="9">
        <f>IF(C502="","",D502&amp;" | GemPundit")</f>
        <v>0</v>
      </c>
      <c r="F502" s="9" cm="1">
        <f t="array" ref="F502">IF('01_Input_Raw_Products'!X502&lt;&gt;"",'01_Input_Raw_Products'!X502,IFERROR(_xlfn.XLOOKUP('01_Input_Raw_Products'!F502,'10_Master_Gem_Types'!A:A,'10_Master_Gem_Types'!O:O),LOWER(SUBSTITUTE(IF('01_Input_Raw_Products'!F502&lt;&gt;"",'01_Input_Raw_Products'!F502,'01_Input_Raw_Products'!D502)," ","-"))))</f>
        <v>0</v>
      </c>
      <c r="G502" s="9">
        <f>'01_Input_Raw_Products'!C502</f>
        <v>0</v>
      </c>
      <c r="H502" s="9" cm="1">
        <f t="array" ref="H502">IF('01_Input_Raw_Products'!H502&lt;&gt;"",'01_Input_Raw_Products'!H502,IFERROR(_xlfn.XLOOKUP('01_Input_Raw_Products'!F502,'10_Master_Gem_Types'!A:A,'10_Master_Gem_Types'!D:D),""))</f>
        <v>0</v>
      </c>
      <c r="I502" s="7">
        <f>IF('01_Input_Raw_Products'!N502&lt;&gt;"",'01_Input_Raw_Products'!N502,IF('01_Input_Raw_Products'!O502&lt;&gt;"",'01_Input_Raw_Products'!O502*0.91,""))</f>
        <v>0</v>
      </c>
      <c r="J502" s="9" cm="1">
        <f t="array" ref="J502">IFERROR(_xlfn.XLOOKUP('01_Input_Raw_Products'!F502,'10_Master_Gem_Types'!A:A,'10_Master_Gem_Types'!N:N),"")</f>
        <v>0</v>
      </c>
      <c r="K502" s="9" cm="1">
        <f t="array" ref="K502">IF('01_Input_Raw_Products'!J502&lt;&gt;"",'01_Input_Raw_Products'!J502,IFERROR(_xlfn.XLOOKUP('01_Input_Raw_Products'!F502,'10_Master_Gem_Types'!A:A,'10_Master_Gem_Types'!E:E),""))</f>
        <v>0</v>
      </c>
      <c r="L502" s="9">
        <f>'01_Input_Raw_Products'!P502</f>
        <v>0</v>
      </c>
      <c r="M502" s="9" cm="1">
        <f t="array" ref="M502">IFERROR(_xlfn.XLOOKUP('01_Input_Raw_Products'!K502,'12_Color_Mapping'!A:A,'12_Color_Mapping'!B:B),IFERROR(_xlfn.XLOOKUP('01_Input_Raw_Products'!F502,'10_Master_Gem_Types'!A:A,'10_Master_Gem_Types'!F:F),""))</f>
        <v>0</v>
      </c>
      <c r="N502" s="9">
        <f>IF(C502="","",IF('01_Input_Raw_Products'!F502&lt;&gt;"",'01_Input_Raw_Products'!F502,'01_Input_Raw_Products'!D502))</f>
        <v>0</v>
      </c>
      <c r="O502" s="9">
        <f>IF(C502="","","Catalog Automation")</f>
        <v>0</v>
      </c>
      <c r="P502" s="9">
        <f>'01_Input_Raw_Products'!U502</f>
        <v>0</v>
      </c>
      <c r="Q502" s="7">
        <f>IF('01_Input_Raw_Products'!O502&lt;&gt;"",'01_Input_Raw_Products'!O502,IF('01_Input_Raw_Products'!N502&lt;&gt;"",'01_Input_Raw_Products'!N502*1.1,""))</f>
        <v>0</v>
      </c>
      <c r="R502" s="9">
        <f>'01_Input_Raw_Products'!S502</f>
        <v>0</v>
      </c>
      <c r="S502" s="9" cm="1">
        <f t="array" ref="S502">IFERROR(_xlfn.XLOOKUP('01_Input_Raw_Products'!F502,'10_Master_Gem_Types'!A:A,'10_Master_Gem_Types'!H:H),"")</f>
        <v>0</v>
      </c>
      <c r="T502" s="8">
        <f>'01_Input_Raw_Products'!Q502</f>
        <v>0</v>
      </c>
      <c r="U502" s="8">
        <f>'01_Input_Raw_Products'!R502</f>
        <v>0</v>
      </c>
      <c r="V502" s="7">
        <f>I502</f>
        <v>0</v>
      </c>
      <c r="W502" s="9" cm="1">
        <f t="array" ref="W502">IF('01_Input_Raw_Products'!G502&lt;&gt;"",'01_Input_Raw_Products'!G502,IFERROR(_xlfn.XLOOKUP('01_Input_Raw_Products'!F502,'10_Master_Gem_Types'!A:A,'10_Master_Gem_Types'!L:L),""))</f>
        <v>0</v>
      </c>
      <c r="X502" s="9" cm="1">
        <f t="array" ref="X502">IFERROR(_xlfn.XLOOKUP('01_Input_Raw_Products'!F502,'10_Master_Gem_Types'!A:A,'10_Master_Gem_Types'!J:J),"")</f>
        <v>0</v>
      </c>
      <c r="Y502" s="9" cm="1">
        <f t="array" ref="Y502">IFERROR(_xlfn.XLOOKUP('01_Input_Raw_Products'!F502,'10_Master_Gem_Types'!A:A,'10_Master_Gem_Types'!I:I),"")</f>
        <v>0</v>
      </c>
      <c r="Z502" s="9" cm="1">
        <f t="array" ref="Z502">IFERROR(_xlfn.XLOOKUP('01_Input_Raw_Products'!L502,'13_Certification_Stickers'!A:A,'13_Certification_Stickers'!C:C),"")</f>
        <v>0</v>
      </c>
      <c r="AA502" s="9" cm="1">
        <f t="array" ref="AA502">IFERROR(_xlfn.XLOOKUP('01_Input_Raw_Products'!S502,'14_Shipping_Rules'!A:A,'14_Shipping_Rules'!B:B),"")</f>
        <v>0</v>
      </c>
      <c r="AB502" s="9" cm="1">
        <f t="array" ref="AB502">IFERROR(_xlfn.XLOOKUP('01_Input_Raw_Products'!D502,'16_Astro_Flags'!A:A,'16_Astro_Flags'!B:B),"")</f>
        <v>0</v>
      </c>
      <c r="AC502" s="9">
        <f>IF(C502="","","Catalog, Search")</f>
        <v>0</v>
      </c>
      <c r="AD502" s="9">
        <f>IF(C502="","",IF(OR(F502="",J502="",M502="",S502="",Y502=""),"Manual Review","Ready"))</f>
        <v>0</v>
      </c>
      <c r="AE502" s="9">
        <f>IF(C502="","",TEXTJOIN("; ",TRUE,IF(F502="","Missing url_key",""),IF(J502="","Missing classification",""),IF(M502="","Missing j_colour",""),IF(S502="","Missing hsn_code",""),IF(Y502="","Missing tax_class_id","")))</f>
        <v>0</v>
      </c>
    </row>
    <row r="503" spans="1:31">
      <c r="A503" s="9">
        <f>IF('01_Input_Raw_Products'!B503&lt;&gt;"",20,"")</f>
        <v>0</v>
      </c>
      <c r="B503" s="9" cm="1">
        <f t="array" ref="B503">IF('01_Input_Raw_Products'!M503&lt;&gt;"",'01_Input_Raw_Products'!M503,IFERROR(_xlfn.XLOOKUP('01_Input_Raw_Products'!F503,'10_Master_Gem_Types'!A:A,'10_Master_Gem_Types'!K:K),""))</f>
        <v>0</v>
      </c>
      <c r="C503" s="9">
        <f>'01_Input_Raw_Products'!B503</f>
        <v>0</v>
      </c>
      <c r="D503" s="9">
        <f>IF(C503="","",TEXT(I503,"0.00")&amp;" Ct "&amp;IF('01_Input_Raw_Products'!F503&lt;&gt;"",'01_Input_Raw_Products'!F503,'01_Input_Raw_Products'!D503)&amp;" "&amp;'01_Input_Raw_Products'!I503)</f>
        <v>0</v>
      </c>
      <c r="E503" s="9">
        <f>IF(C503="","",D503&amp;" | GemPundit")</f>
        <v>0</v>
      </c>
      <c r="F503" s="9" cm="1">
        <f t="array" ref="F503">IF('01_Input_Raw_Products'!X503&lt;&gt;"",'01_Input_Raw_Products'!X503,IFERROR(_xlfn.XLOOKUP('01_Input_Raw_Products'!F503,'10_Master_Gem_Types'!A:A,'10_Master_Gem_Types'!O:O),LOWER(SUBSTITUTE(IF('01_Input_Raw_Products'!F503&lt;&gt;"",'01_Input_Raw_Products'!F503,'01_Input_Raw_Products'!D503)," ","-"))))</f>
        <v>0</v>
      </c>
      <c r="G503" s="9">
        <f>'01_Input_Raw_Products'!C503</f>
        <v>0</v>
      </c>
      <c r="H503" s="9" cm="1">
        <f t="array" ref="H503">IF('01_Input_Raw_Products'!H503&lt;&gt;"",'01_Input_Raw_Products'!H503,IFERROR(_xlfn.XLOOKUP('01_Input_Raw_Products'!F503,'10_Master_Gem_Types'!A:A,'10_Master_Gem_Types'!D:D),""))</f>
        <v>0</v>
      </c>
      <c r="I503" s="7">
        <f>IF('01_Input_Raw_Products'!N503&lt;&gt;"",'01_Input_Raw_Products'!N503,IF('01_Input_Raw_Products'!O503&lt;&gt;"",'01_Input_Raw_Products'!O503*0.91,""))</f>
        <v>0</v>
      </c>
      <c r="J503" s="9" cm="1">
        <f t="array" ref="J503">IFERROR(_xlfn.XLOOKUP('01_Input_Raw_Products'!F503,'10_Master_Gem_Types'!A:A,'10_Master_Gem_Types'!N:N),"")</f>
        <v>0</v>
      </c>
      <c r="K503" s="9" cm="1">
        <f t="array" ref="K503">IF('01_Input_Raw_Products'!J503&lt;&gt;"",'01_Input_Raw_Products'!J503,IFERROR(_xlfn.XLOOKUP('01_Input_Raw_Products'!F503,'10_Master_Gem_Types'!A:A,'10_Master_Gem_Types'!E:E),""))</f>
        <v>0</v>
      </c>
      <c r="L503" s="9">
        <f>'01_Input_Raw_Products'!P503</f>
        <v>0</v>
      </c>
      <c r="M503" s="9" cm="1">
        <f t="array" ref="M503">IFERROR(_xlfn.XLOOKUP('01_Input_Raw_Products'!K503,'12_Color_Mapping'!A:A,'12_Color_Mapping'!B:B),IFERROR(_xlfn.XLOOKUP('01_Input_Raw_Products'!F503,'10_Master_Gem_Types'!A:A,'10_Master_Gem_Types'!F:F),""))</f>
        <v>0</v>
      </c>
      <c r="N503" s="9">
        <f>IF(C503="","",IF('01_Input_Raw_Products'!F503&lt;&gt;"",'01_Input_Raw_Products'!F503,'01_Input_Raw_Products'!D503))</f>
        <v>0</v>
      </c>
      <c r="O503" s="9">
        <f>IF(C503="","","Catalog Automation")</f>
        <v>0</v>
      </c>
      <c r="P503" s="9">
        <f>'01_Input_Raw_Products'!U503</f>
        <v>0</v>
      </c>
      <c r="Q503" s="7">
        <f>IF('01_Input_Raw_Products'!O503&lt;&gt;"",'01_Input_Raw_Products'!O503,IF('01_Input_Raw_Products'!N503&lt;&gt;"",'01_Input_Raw_Products'!N503*1.1,""))</f>
        <v>0</v>
      </c>
      <c r="R503" s="9">
        <f>'01_Input_Raw_Products'!S503</f>
        <v>0</v>
      </c>
      <c r="S503" s="9" cm="1">
        <f t="array" ref="S503">IFERROR(_xlfn.XLOOKUP('01_Input_Raw_Products'!F503,'10_Master_Gem_Types'!A:A,'10_Master_Gem_Types'!H:H),"")</f>
        <v>0</v>
      </c>
      <c r="T503" s="8">
        <f>'01_Input_Raw_Products'!Q503</f>
        <v>0</v>
      </c>
      <c r="U503" s="8">
        <f>'01_Input_Raw_Products'!R503</f>
        <v>0</v>
      </c>
      <c r="V503" s="7">
        <f>I503</f>
        <v>0</v>
      </c>
      <c r="W503" s="9" cm="1">
        <f t="array" ref="W503">IF('01_Input_Raw_Products'!G503&lt;&gt;"",'01_Input_Raw_Products'!G503,IFERROR(_xlfn.XLOOKUP('01_Input_Raw_Products'!F503,'10_Master_Gem_Types'!A:A,'10_Master_Gem_Types'!L:L),""))</f>
        <v>0</v>
      </c>
      <c r="X503" s="9" cm="1">
        <f t="array" ref="X503">IFERROR(_xlfn.XLOOKUP('01_Input_Raw_Products'!F503,'10_Master_Gem_Types'!A:A,'10_Master_Gem_Types'!J:J),"")</f>
        <v>0</v>
      </c>
      <c r="Y503" s="9" cm="1">
        <f t="array" ref="Y503">IFERROR(_xlfn.XLOOKUP('01_Input_Raw_Products'!F503,'10_Master_Gem_Types'!A:A,'10_Master_Gem_Types'!I:I),"")</f>
        <v>0</v>
      </c>
      <c r="Z503" s="9" cm="1">
        <f t="array" ref="Z503">IFERROR(_xlfn.XLOOKUP('01_Input_Raw_Products'!L503,'13_Certification_Stickers'!A:A,'13_Certification_Stickers'!C:C),"")</f>
        <v>0</v>
      </c>
      <c r="AA503" s="9" cm="1">
        <f t="array" ref="AA503">IFERROR(_xlfn.XLOOKUP('01_Input_Raw_Products'!S503,'14_Shipping_Rules'!A:A,'14_Shipping_Rules'!B:B),"")</f>
        <v>0</v>
      </c>
      <c r="AB503" s="9" cm="1">
        <f t="array" ref="AB503">IFERROR(_xlfn.XLOOKUP('01_Input_Raw_Products'!D503,'16_Astro_Flags'!A:A,'16_Astro_Flags'!B:B),"")</f>
        <v>0</v>
      </c>
      <c r="AC503" s="9">
        <f>IF(C503="","","Catalog, Search")</f>
        <v>0</v>
      </c>
      <c r="AD503" s="9">
        <f>IF(C503="","",IF(OR(F503="",J503="",M503="",S503="",Y503=""),"Manual Review","Ready"))</f>
        <v>0</v>
      </c>
      <c r="AE503" s="9">
        <f>IF(C503="","",TEXTJOIN("; ",TRUE,IF(F503="","Missing url_key",""),IF(J503="","Missing classification",""),IF(M503="","Missing j_colour",""),IF(S503="","Missing hsn_code",""),IF(Y503="","Missing tax_class_id","")))</f>
        <v>0</v>
      </c>
    </row>
  </sheetData>
  <mergeCells count="2">
    <mergeCell ref="A1:AE1"/>
    <mergeCell ref="A2:AE2"/>
  </mergeCells>
  <conditionalFormatting sqref="AD4:AD503">
    <cfRule type="containsText" dxfId="1" priority="1" operator="containsText" text="Ready">
      <formula>NOT(ISERROR(SEARCH("Ready",AD4)))</formula>
    </cfRule>
    <cfRule type="containsText" dxfId="0" priority="2" operator="containsText" text="Manual Review">
      <formula>NOT(ISERROR(SEARCH("Manual Review",AD4)))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showGridLines="0" workbookViewId="0"/>
  </sheetViews>
  <sheetFormatPr defaultRowHeight="15"/>
  <cols>
    <col min="1" max="1" width="8.7109375" customWidth="1"/>
    <col min="2" max="2" width="18.7109375" customWidth="1"/>
    <col min="3" max="3" width="12.7109375" customWidth="1"/>
    <col min="4" max="4" width="20.7109375" customWidth="1"/>
    <col min="5" max="6" width="42.7109375" customWidth="1"/>
    <col min="7" max="10" width="18.7109375" customWidth="1"/>
  </cols>
  <sheetData>
    <row r="1" spans="1:10" ht="30" customHeight="1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t="s">
        <v>46</v>
      </c>
      <c r="B3" t="s">
        <v>47</v>
      </c>
      <c r="C3" t="s">
        <v>144</v>
      </c>
      <c r="D3" t="s">
        <v>145</v>
      </c>
      <c r="E3" t="s">
        <v>146</v>
      </c>
      <c r="F3" t="s">
        <v>147</v>
      </c>
      <c r="G3" t="s">
        <v>148</v>
      </c>
      <c r="H3" t="s">
        <v>149</v>
      </c>
      <c r="I3" t="s">
        <v>150</v>
      </c>
      <c r="J3" t="s">
        <v>70</v>
      </c>
    </row>
    <row r="4" spans="1:10">
      <c r="A4" s="5">
        <v>1</v>
      </c>
      <c r="B4" s="5" t="s">
        <v>71</v>
      </c>
      <c r="C4" s="5" t="s">
        <v>151</v>
      </c>
      <c r="D4" s="5" t="s">
        <v>152</v>
      </c>
      <c r="E4" s="5" t="s">
        <v>153</v>
      </c>
      <c r="F4" s="5" t="s">
        <v>154</v>
      </c>
      <c r="G4" s="6" t="s">
        <v>155</v>
      </c>
      <c r="H4" s="6"/>
      <c r="I4" s="6"/>
      <c r="J4" s="6" t="s">
        <v>156</v>
      </c>
    </row>
    <row r="5" spans="1:10">
      <c r="A5" s="5">
        <v>2</v>
      </c>
      <c r="B5" s="5" t="s">
        <v>88</v>
      </c>
      <c r="C5" s="5" t="s">
        <v>157</v>
      </c>
      <c r="D5" s="5" t="s">
        <v>59</v>
      </c>
      <c r="E5" s="5" t="s">
        <v>158</v>
      </c>
      <c r="F5" s="5" t="s">
        <v>159</v>
      </c>
      <c r="G5" s="6" t="s">
        <v>155</v>
      </c>
      <c r="H5" s="6"/>
      <c r="I5" s="6"/>
      <c r="J5" s="6" t="s">
        <v>160</v>
      </c>
    </row>
    <row r="6" spans="1:10">
      <c r="A6" s="5">
        <v>3</v>
      </c>
      <c r="B6" s="5" t="s">
        <v>102</v>
      </c>
      <c r="C6" s="5" t="s">
        <v>157</v>
      </c>
      <c r="D6" s="5" t="s">
        <v>64</v>
      </c>
      <c r="E6" s="5" t="s">
        <v>161</v>
      </c>
      <c r="F6" s="5" t="s">
        <v>162</v>
      </c>
      <c r="G6" s="6" t="s">
        <v>155</v>
      </c>
      <c r="H6" s="6"/>
      <c r="I6" s="6"/>
      <c r="J6" s="6" t="s">
        <v>163</v>
      </c>
    </row>
  </sheetData>
  <mergeCells count="2">
    <mergeCell ref="A1:J1"/>
    <mergeCell ref="A2:J2"/>
  </mergeCells>
  <conditionalFormatting sqref="C4:C503">
    <cfRule type="containsText" dxfId="0" priority="1" operator="containsText" text="Error">
      <formula>NOT(ISERROR(SEARCH("Error",C4)))</formula>
    </cfRule>
    <cfRule type="containsText" dxfId="0" priority="2" operator="containsText" text="Blocker">
      <formula>NOT(ISERROR(SEARCH("Blocker",C4)))</formula>
    </cfRule>
    <cfRule type="containsText" dxfId="2" priority="3" operator="containsText" text="Warning">
      <formula>NOT(ISERROR(SEARCH("Warning",C4)))</formula>
    </cfRule>
  </conditionalFormatting>
  <dataValidations count="2">
    <dataValidation type="list" allowBlank="1" showInputMessage="1" showErrorMessage="1" sqref="C4:C503">
      <formula1>"Info,Warning,Error,Blocker"</formula1>
    </dataValidation>
    <dataValidation type="list" allowBlank="1" showInputMessage="1" showErrorMessage="1" sqref="G4:G503">
      <formula1>"Open,Fixed,Ignored,Needs Owner"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R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  <col min="3" max="3" width="14.7109375" customWidth="1"/>
    <col min="4" max="4" width="15.7109375" customWidth="1"/>
    <col min="5" max="5" width="19.7109375" customWidth="1"/>
    <col min="6" max="6" width="14.7109375" customWidth="1"/>
    <col min="7" max="7" width="23.7109375" customWidth="1"/>
    <col min="8" max="8" width="14.7109375" customWidth="1"/>
    <col min="9" max="9" width="18.7109375" customWidth="1"/>
    <col min="10" max="10" width="21.7109375" customWidth="1"/>
    <col min="11" max="11" width="18.7109375" customWidth="1"/>
    <col min="12" max="12" width="12.7109375" customWidth="1"/>
    <col min="13" max="14" width="20.7109375" customWidth="1"/>
    <col min="15" max="15" width="13.7109375" customWidth="1"/>
    <col min="16" max="16" width="15.7109375" customWidth="1"/>
    <col min="17" max="17" width="14.7109375" customWidth="1"/>
    <col min="18" max="18" width="12.7109375" customWidth="1"/>
  </cols>
  <sheetData>
    <row r="1" spans="1:18" ht="30" customHeight="1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6" customHeight="1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t="s">
        <v>166</v>
      </c>
      <c r="B3" t="s">
        <v>167</v>
      </c>
      <c r="C3" t="s">
        <v>168</v>
      </c>
      <c r="D3" t="s">
        <v>124</v>
      </c>
      <c r="E3" t="s">
        <v>126</v>
      </c>
      <c r="F3" t="s">
        <v>127</v>
      </c>
      <c r="G3" t="s">
        <v>169</v>
      </c>
      <c r="H3" t="s">
        <v>131</v>
      </c>
      <c r="I3" t="s">
        <v>135</v>
      </c>
      <c r="J3" t="s">
        <v>134</v>
      </c>
      <c r="K3" t="s">
        <v>58</v>
      </c>
      <c r="L3" t="s">
        <v>133</v>
      </c>
      <c r="M3" t="s">
        <v>170</v>
      </c>
      <c r="N3" t="s">
        <v>125</v>
      </c>
      <c r="O3" t="s">
        <v>122</v>
      </c>
      <c r="P3" t="s">
        <v>171</v>
      </c>
      <c r="Q3" t="s">
        <v>172</v>
      </c>
      <c r="R3" t="s">
        <v>70</v>
      </c>
    </row>
    <row r="4" spans="1:18">
      <c r="A4" s="5" t="s">
        <v>74</v>
      </c>
      <c r="B4" s="5" t="s">
        <v>74</v>
      </c>
      <c r="C4" s="5" t="s">
        <v>73</v>
      </c>
      <c r="D4" s="5" t="s">
        <v>76</v>
      </c>
      <c r="E4" s="5" t="s">
        <v>78</v>
      </c>
      <c r="F4" s="5" t="s">
        <v>79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81</v>
      </c>
      <c r="L4" s="5" t="s">
        <v>75</v>
      </c>
      <c r="M4" s="5" t="s">
        <v>177</v>
      </c>
      <c r="N4" s="5" t="s">
        <v>178</v>
      </c>
      <c r="O4" s="5" t="s">
        <v>178</v>
      </c>
      <c r="P4" s="5" t="s">
        <v>179</v>
      </c>
      <c r="Q4" s="5">
        <v>10</v>
      </c>
      <c r="R4" s="5" t="s">
        <v>180</v>
      </c>
    </row>
    <row r="5" spans="1:18">
      <c r="A5" s="5" t="s">
        <v>92</v>
      </c>
      <c r="B5" s="5" t="s">
        <v>91</v>
      </c>
      <c r="C5" s="5" t="s">
        <v>90</v>
      </c>
      <c r="D5" s="5" t="s">
        <v>76</v>
      </c>
      <c r="E5" s="5" t="s">
        <v>78</v>
      </c>
      <c r="F5" s="5" t="s">
        <v>181</v>
      </c>
      <c r="G5" s="5" t="s">
        <v>182</v>
      </c>
      <c r="H5" s="5" t="s">
        <v>174</v>
      </c>
      <c r="I5" s="5" t="s">
        <v>175</v>
      </c>
      <c r="J5" s="5" t="s">
        <v>176</v>
      </c>
      <c r="K5" s="5" t="s">
        <v>81</v>
      </c>
      <c r="L5" s="5" t="s">
        <v>93</v>
      </c>
      <c r="M5" s="5" t="s">
        <v>177</v>
      </c>
      <c r="N5" s="5" t="s">
        <v>183</v>
      </c>
      <c r="O5" s="5" t="s">
        <v>184</v>
      </c>
      <c r="P5" s="5" t="s">
        <v>179</v>
      </c>
      <c r="Q5" s="5">
        <v>10</v>
      </c>
      <c r="R5" s="5" t="s">
        <v>180</v>
      </c>
    </row>
    <row r="6" spans="1:18">
      <c r="A6" s="5" t="s">
        <v>106</v>
      </c>
      <c r="B6" s="5" t="s">
        <v>105</v>
      </c>
      <c r="C6" s="5" t="s">
        <v>104</v>
      </c>
      <c r="D6" s="5" t="s">
        <v>108</v>
      </c>
      <c r="E6" s="5" t="s">
        <v>78</v>
      </c>
      <c r="F6" s="5" t="s">
        <v>110</v>
      </c>
      <c r="G6" s="5" t="s">
        <v>182</v>
      </c>
      <c r="H6" s="5" t="s">
        <v>174</v>
      </c>
      <c r="I6" s="5" t="s">
        <v>175</v>
      </c>
      <c r="J6" s="5" t="s">
        <v>176</v>
      </c>
      <c r="K6" s="5" t="s">
        <v>81</v>
      </c>
      <c r="L6" s="5" t="s">
        <v>107</v>
      </c>
      <c r="M6" s="5" t="s">
        <v>177</v>
      </c>
      <c r="N6" s="5" t="s">
        <v>185</v>
      </c>
      <c r="O6" s="5" t="s">
        <v>186</v>
      </c>
      <c r="P6" s="5" t="s">
        <v>179</v>
      </c>
      <c r="Q6" s="5">
        <v>10</v>
      </c>
      <c r="R6" s="5" t="s">
        <v>180</v>
      </c>
    </row>
    <row r="7" spans="1:18">
      <c r="A7" s="5" t="s">
        <v>187</v>
      </c>
      <c r="B7" s="5" t="s">
        <v>187</v>
      </c>
      <c r="C7" s="5" t="s">
        <v>188</v>
      </c>
      <c r="D7" s="5" t="s">
        <v>189</v>
      </c>
      <c r="E7" s="5" t="s">
        <v>78</v>
      </c>
      <c r="F7" s="5" t="s">
        <v>190</v>
      </c>
      <c r="G7" s="5" t="s">
        <v>191</v>
      </c>
      <c r="H7" s="5" t="s">
        <v>192</v>
      </c>
      <c r="I7" s="5" t="s">
        <v>175</v>
      </c>
      <c r="J7" s="5" t="s">
        <v>176</v>
      </c>
      <c r="K7" s="5" t="s">
        <v>81</v>
      </c>
      <c r="L7" s="5" t="s">
        <v>193</v>
      </c>
      <c r="M7" s="5" t="s">
        <v>194</v>
      </c>
      <c r="N7" s="5" t="s">
        <v>195</v>
      </c>
      <c r="O7" s="5" t="s">
        <v>195</v>
      </c>
      <c r="P7" s="5" t="s">
        <v>179</v>
      </c>
      <c r="Q7" s="5">
        <v>20</v>
      </c>
      <c r="R7" s="5" t="s">
        <v>180</v>
      </c>
    </row>
    <row r="8" spans="1:18">
      <c r="A8" s="5" t="s">
        <v>196</v>
      </c>
      <c r="B8" s="5" t="s">
        <v>197</v>
      </c>
      <c r="C8" s="5" t="s">
        <v>196</v>
      </c>
      <c r="D8" s="5" t="s">
        <v>198</v>
      </c>
      <c r="E8" s="5" t="s">
        <v>199</v>
      </c>
      <c r="F8" s="5" t="s">
        <v>200</v>
      </c>
      <c r="G8" s="5" t="s">
        <v>201</v>
      </c>
      <c r="H8" s="5" t="s">
        <v>192</v>
      </c>
      <c r="I8" s="5" t="s">
        <v>175</v>
      </c>
      <c r="J8" s="5" t="s">
        <v>176</v>
      </c>
      <c r="K8" s="5" t="s">
        <v>81</v>
      </c>
      <c r="L8" s="5" t="s">
        <v>202</v>
      </c>
      <c r="M8" s="5" t="s">
        <v>194</v>
      </c>
      <c r="N8" s="5" t="s">
        <v>203</v>
      </c>
      <c r="O8" s="5" t="s">
        <v>203</v>
      </c>
      <c r="P8" s="5" t="s">
        <v>179</v>
      </c>
      <c r="Q8" s="5">
        <v>20</v>
      </c>
      <c r="R8" s="5" t="s">
        <v>180</v>
      </c>
    </row>
  </sheetData>
  <mergeCells count="2">
    <mergeCell ref="A1:R1"/>
    <mergeCell ref="A2:R2"/>
  </mergeCells>
  <conditionalFormatting sqref="A4:R504">
    <cfRule type="expression" dxfId="2" priority="1">
      <formula>$P4="FALSE"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2" width="14.7109375" customWidth="1"/>
    <col min="3" max="3" width="23.7109375" customWidth="1"/>
    <col min="4" max="4" width="27.7109375" customWidth="1"/>
    <col min="5" max="5" width="22.7109375" customWidth="1"/>
    <col min="6" max="6" width="26.7109375" customWidth="1"/>
    <col min="7" max="7" width="25.7109375" customWidth="1"/>
    <col min="8" max="8" width="28.7109375" customWidth="1"/>
    <col min="9" max="9" width="21.7109375" customWidth="1"/>
    <col min="10" max="11" width="20.7109375" customWidth="1"/>
    <col min="12" max="12" width="26.7109375" customWidth="1"/>
    <col min="13" max="13" width="12.7109375" customWidth="1"/>
  </cols>
  <sheetData>
    <row r="1" spans="1:13" ht="30" customHeight="1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t="s">
        <v>167</v>
      </c>
      <c r="B3" t="s">
        <v>168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170</v>
      </c>
      <c r="K3" t="s">
        <v>212</v>
      </c>
      <c r="L3" t="s">
        <v>213</v>
      </c>
      <c r="M3" t="s">
        <v>70</v>
      </c>
    </row>
    <row r="4" spans="1:13">
      <c r="A4" s="5" t="s">
        <v>74</v>
      </c>
      <c r="B4" s="5" t="s">
        <v>73</v>
      </c>
      <c r="C4" s="5" t="s">
        <v>76</v>
      </c>
      <c r="D4" s="5" t="s">
        <v>78</v>
      </c>
      <c r="E4" s="5" t="s">
        <v>174</v>
      </c>
      <c r="F4" s="5" t="s">
        <v>175</v>
      </c>
      <c r="G4" s="5" t="s">
        <v>176</v>
      </c>
      <c r="H4" s="5" t="s">
        <v>178</v>
      </c>
      <c r="I4" s="5" t="s">
        <v>178</v>
      </c>
      <c r="J4" s="5" t="s">
        <v>177</v>
      </c>
      <c r="K4" s="5" t="s">
        <v>75</v>
      </c>
      <c r="L4" s="5" t="s">
        <v>81</v>
      </c>
      <c r="M4" s="5" t="s">
        <v>214</v>
      </c>
    </row>
    <row r="5" spans="1:13">
      <c r="A5" s="5" t="s">
        <v>91</v>
      </c>
      <c r="B5" s="5" t="s">
        <v>90</v>
      </c>
      <c r="C5" s="5" t="s">
        <v>76</v>
      </c>
      <c r="D5" s="5" t="s">
        <v>78</v>
      </c>
      <c r="E5" s="5" t="s">
        <v>174</v>
      </c>
      <c r="F5" s="5" t="s">
        <v>175</v>
      </c>
      <c r="G5" s="5" t="s">
        <v>176</v>
      </c>
      <c r="H5" s="5" t="s">
        <v>183</v>
      </c>
      <c r="I5" s="5" t="s">
        <v>184</v>
      </c>
      <c r="J5" s="5" t="s">
        <v>177</v>
      </c>
      <c r="K5" s="5" t="s">
        <v>93</v>
      </c>
      <c r="L5" s="5" t="s">
        <v>81</v>
      </c>
      <c r="M5" s="5" t="s">
        <v>215</v>
      </c>
    </row>
    <row r="6" spans="1:13">
      <c r="A6" s="5" t="s">
        <v>105</v>
      </c>
      <c r="B6" s="5" t="s">
        <v>104</v>
      </c>
      <c r="C6" s="5" t="s">
        <v>108</v>
      </c>
      <c r="D6" s="5" t="s">
        <v>78</v>
      </c>
      <c r="E6" s="5" t="s">
        <v>174</v>
      </c>
      <c r="F6" s="5" t="s">
        <v>175</v>
      </c>
      <c r="G6" s="5" t="s">
        <v>176</v>
      </c>
      <c r="H6" s="5" t="s">
        <v>185</v>
      </c>
      <c r="I6" s="5" t="s">
        <v>186</v>
      </c>
      <c r="J6" s="5" t="s">
        <v>177</v>
      </c>
      <c r="K6" s="5" t="s">
        <v>107</v>
      </c>
      <c r="L6" s="5" t="s">
        <v>81</v>
      </c>
      <c r="M6" s="5" t="s">
        <v>215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14.7109375" customWidth="1"/>
    <col min="3" max="3" width="20.7109375" customWidth="1"/>
    <col min="4" max="4" width="19.7109375" customWidth="1"/>
    <col min="5" max="5" width="22.7109375" customWidth="1"/>
    <col min="6" max="6" width="25.7109375" customWidth="1"/>
    <col min="7" max="7" width="14.7109375" customWidth="1"/>
    <col min="8" max="8" width="15.7109375" customWidth="1"/>
    <col min="9" max="9" width="12.7109375" customWidth="1"/>
  </cols>
  <sheetData>
    <row r="1" spans="1:9" ht="30" customHeight="1">
      <c r="A1" s="1" t="s">
        <v>216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165</v>
      </c>
      <c r="B2" s="2"/>
      <c r="C2" s="2"/>
      <c r="D2" s="2"/>
      <c r="E2" s="2"/>
      <c r="F2" s="2"/>
      <c r="G2" s="2"/>
      <c r="H2" s="2"/>
      <c r="I2" s="2"/>
    </row>
    <row r="3" spans="1:9">
      <c r="A3" t="s">
        <v>56</v>
      </c>
      <c r="B3" t="s">
        <v>127</v>
      </c>
      <c r="C3" t="s">
        <v>217</v>
      </c>
      <c r="D3" t="s">
        <v>218</v>
      </c>
      <c r="E3" t="s">
        <v>219</v>
      </c>
      <c r="F3" t="s">
        <v>220</v>
      </c>
      <c r="G3" t="s">
        <v>172</v>
      </c>
      <c r="H3" t="s">
        <v>171</v>
      </c>
      <c r="I3" t="s">
        <v>70</v>
      </c>
    </row>
    <row r="4" spans="1:9">
      <c r="A4" s="5" t="s">
        <v>79</v>
      </c>
      <c r="B4" s="5" t="s">
        <v>221</v>
      </c>
      <c r="C4" s="5" t="s">
        <v>222</v>
      </c>
      <c r="D4" s="5" t="s">
        <v>223</v>
      </c>
      <c r="E4" s="5" t="s">
        <v>79</v>
      </c>
      <c r="F4" s="5" t="s">
        <v>222</v>
      </c>
      <c r="G4" s="5">
        <v>1</v>
      </c>
      <c r="H4" s="5" t="s">
        <v>179</v>
      </c>
      <c r="I4" s="5" t="s">
        <v>224</v>
      </c>
    </row>
    <row r="5" spans="1:9">
      <c r="A5" s="5" t="s">
        <v>95</v>
      </c>
      <c r="B5" s="5" t="s">
        <v>181</v>
      </c>
      <c r="C5" s="5" t="s">
        <v>95</v>
      </c>
      <c r="D5" s="5" t="s">
        <v>225</v>
      </c>
      <c r="E5" s="5" t="s">
        <v>95</v>
      </c>
      <c r="F5" s="5" t="s">
        <v>95</v>
      </c>
      <c r="G5" s="5">
        <v>1</v>
      </c>
      <c r="H5" s="5" t="s">
        <v>179</v>
      </c>
      <c r="I5" s="5" t="s">
        <v>226</v>
      </c>
    </row>
    <row r="6" spans="1:9">
      <c r="A6" s="5" t="s">
        <v>110</v>
      </c>
      <c r="B6" s="5" t="s">
        <v>110</v>
      </c>
      <c r="C6" s="5" t="s">
        <v>110</v>
      </c>
      <c r="D6" s="5" t="s">
        <v>110</v>
      </c>
      <c r="E6" s="5"/>
      <c r="F6" s="5"/>
      <c r="G6" s="5">
        <v>10</v>
      </c>
      <c r="H6" s="5" t="s">
        <v>179</v>
      </c>
      <c r="I6" s="5" t="s">
        <v>227</v>
      </c>
    </row>
    <row r="7" spans="1:9">
      <c r="A7" s="5" t="s">
        <v>228</v>
      </c>
      <c r="B7" s="5" t="s">
        <v>229</v>
      </c>
      <c r="C7" s="5" t="s">
        <v>230</v>
      </c>
      <c r="D7" s="5" t="s">
        <v>225</v>
      </c>
      <c r="E7" s="5" t="s">
        <v>228</v>
      </c>
      <c r="F7" s="5" t="s">
        <v>95</v>
      </c>
      <c r="G7" s="5">
        <v>2</v>
      </c>
      <c r="H7" s="5" t="s">
        <v>179</v>
      </c>
      <c r="I7" s="5"/>
    </row>
    <row r="8" spans="1:9">
      <c r="A8" s="5" t="s">
        <v>231</v>
      </c>
      <c r="B8" s="5" t="s">
        <v>231</v>
      </c>
      <c r="C8" s="5" t="s">
        <v>231</v>
      </c>
      <c r="D8" s="5" t="s">
        <v>232</v>
      </c>
      <c r="E8" s="5" t="s">
        <v>231</v>
      </c>
      <c r="F8" s="5"/>
      <c r="G8" s="5">
        <v>2</v>
      </c>
      <c r="H8" s="5" t="s">
        <v>179</v>
      </c>
      <c r="I8" s="5"/>
    </row>
  </sheetData>
  <mergeCells count="2">
    <mergeCell ref="A1:I1"/>
    <mergeCell ref="A2:I2"/>
  </mergeCells>
  <conditionalFormatting sqref="A4:I504">
    <cfRule type="expression" dxfId="2" priority="1">
      <formula>$H4="FALSE"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3.7109375" customWidth="1"/>
    <col min="2" max="2" width="22.7109375" customWidth="1"/>
    <col min="3" max="4" width="18.7109375" customWidth="1"/>
    <col min="5" max="5" width="15.7109375" customWidth="1"/>
    <col min="6" max="6" width="12.7109375" customWidth="1"/>
  </cols>
  <sheetData>
    <row r="1" spans="1:6" ht="30" customHeight="1">
      <c r="A1" s="1" t="s">
        <v>233</v>
      </c>
      <c r="B1" s="1"/>
      <c r="C1" s="1"/>
      <c r="D1" s="1"/>
      <c r="E1" s="1"/>
      <c r="F1" s="1"/>
    </row>
    <row r="2" spans="1:6" ht="36" customHeight="1">
      <c r="A2" s="2" t="s">
        <v>165</v>
      </c>
      <c r="B2" s="2"/>
      <c r="C2" s="2"/>
      <c r="D2" s="2"/>
      <c r="E2" s="2"/>
      <c r="F2" s="2"/>
    </row>
    <row r="3" spans="1:6">
      <c r="A3" t="s">
        <v>57</v>
      </c>
      <c r="B3" t="s">
        <v>234</v>
      </c>
      <c r="C3" t="s">
        <v>235</v>
      </c>
      <c r="D3" t="s">
        <v>236</v>
      </c>
      <c r="E3" t="s">
        <v>171</v>
      </c>
      <c r="F3" t="s">
        <v>70</v>
      </c>
    </row>
    <row r="4" spans="1:6">
      <c r="A4" s="5" t="s">
        <v>80</v>
      </c>
      <c r="B4" s="5" t="s">
        <v>237</v>
      </c>
      <c r="C4" s="5" t="s">
        <v>238</v>
      </c>
      <c r="D4" s="5" t="s">
        <v>80</v>
      </c>
      <c r="E4" s="5" t="s">
        <v>179</v>
      </c>
      <c r="F4" s="5"/>
    </row>
    <row r="5" spans="1:6">
      <c r="A5" s="5" t="s">
        <v>96</v>
      </c>
      <c r="B5" s="5" t="s">
        <v>237</v>
      </c>
      <c r="C5" s="5" t="s">
        <v>239</v>
      </c>
      <c r="D5" s="5" t="s">
        <v>96</v>
      </c>
      <c r="E5" s="5" t="s">
        <v>179</v>
      </c>
      <c r="F5" s="5"/>
    </row>
    <row r="6" spans="1:6">
      <c r="A6" s="5" t="s">
        <v>111</v>
      </c>
      <c r="B6" s="5" t="s">
        <v>237</v>
      </c>
      <c r="C6" s="5" t="s">
        <v>240</v>
      </c>
      <c r="D6" s="5" t="s">
        <v>111</v>
      </c>
      <c r="E6" s="5" t="s">
        <v>179</v>
      </c>
      <c r="F6" s="5"/>
    </row>
    <row r="7" spans="1:6">
      <c r="A7" s="5" t="s">
        <v>241</v>
      </c>
      <c r="B7" s="5" t="s">
        <v>237</v>
      </c>
      <c r="C7" s="5" t="s">
        <v>242</v>
      </c>
      <c r="D7" s="5" t="s">
        <v>241</v>
      </c>
      <c r="E7" s="5" t="s">
        <v>179</v>
      </c>
      <c r="F7" s="5" t="s">
        <v>243</v>
      </c>
    </row>
    <row r="8" spans="1:6">
      <c r="A8" s="5" t="s">
        <v>244</v>
      </c>
      <c r="B8" s="5" t="s">
        <v>245</v>
      </c>
      <c r="C8" s="5"/>
      <c r="D8" s="5" t="s">
        <v>244</v>
      </c>
      <c r="E8" s="5" t="s">
        <v>179</v>
      </c>
      <c r="F8" s="5"/>
    </row>
  </sheetData>
  <mergeCells count="2">
    <mergeCell ref="A1:F1"/>
    <mergeCell ref="A2:F2"/>
  </mergeCells>
  <conditionalFormatting sqref="A4:F504">
    <cfRule type="expression" dxfId="2" priority="1">
      <formula>$E4="FALSE"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9.7109375" customWidth="1"/>
    <col min="3" max="3" width="24.7109375" customWidth="1"/>
    <col min="4" max="4" width="30.7109375" customWidth="1"/>
    <col min="5" max="5" width="14.7109375" customWidth="1"/>
    <col min="6" max="6" width="15.7109375" customWidth="1"/>
    <col min="7" max="7" width="12.7109375" customWidth="1"/>
  </cols>
  <sheetData>
    <row r="1" spans="1:7" ht="30" customHeight="1">
      <c r="A1" s="1" t="s">
        <v>246</v>
      </c>
      <c r="B1" s="1"/>
      <c r="C1" s="1"/>
      <c r="D1" s="1"/>
      <c r="E1" s="1"/>
      <c r="F1" s="1"/>
      <c r="G1" s="1"/>
    </row>
    <row r="2" spans="1:7" ht="36" customHeight="1">
      <c r="A2" s="2" t="s">
        <v>165</v>
      </c>
      <c r="B2" s="2"/>
      <c r="C2" s="2"/>
      <c r="D2" s="2"/>
      <c r="E2" s="2"/>
      <c r="F2" s="2"/>
      <c r="G2" s="2"/>
    </row>
    <row r="3" spans="1:7">
      <c r="A3" t="s">
        <v>64</v>
      </c>
      <c r="B3" t="s">
        <v>247</v>
      </c>
      <c r="C3" t="s">
        <v>248</v>
      </c>
      <c r="D3" t="s">
        <v>249</v>
      </c>
      <c r="E3" t="s">
        <v>172</v>
      </c>
      <c r="F3" t="s">
        <v>171</v>
      </c>
      <c r="G3" t="s">
        <v>70</v>
      </c>
    </row>
    <row r="4" spans="1:7">
      <c r="A4" s="5">
        <v>0</v>
      </c>
      <c r="B4" s="5" t="s">
        <v>250</v>
      </c>
      <c r="C4" s="5" t="s">
        <v>251</v>
      </c>
      <c r="D4" s="5" t="s">
        <v>252</v>
      </c>
      <c r="E4" s="5">
        <v>1</v>
      </c>
      <c r="F4" s="5" t="s">
        <v>179</v>
      </c>
      <c r="G4" s="5"/>
    </row>
    <row r="5" spans="1:7">
      <c r="A5" s="5">
        <v>3</v>
      </c>
      <c r="B5" s="5" t="s">
        <v>253</v>
      </c>
      <c r="C5" s="5" t="s">
        <v>251</v>
      </c>
      <c r="D5" s="5" t="s">
        <v>252</v>
      </c>
      <c r="E5" s="5">
        <v>1</v>
      </c>
      <c r="F5" s="5" t="s">
        <v>179</v>
      </c>
      <c r="G5" s="5"/>
    </row>
    <row r="6" spans="1:7">
      <c r="A6" s="5">
        <v>7</v>
      </c>
      <c r="B6" s="5" t="s">
        <v>254</v>
      </c>
      <c r="C6" s="5" t="s">
        <v>251</v>
      </c>
      <c r="D6" s="5" t="s">
        <v>252</v>
      </c>
      <c r="E6" s="5">
        <v>1</v>
      </c>
      <c r="F6" s="5" t="s">
        <v>179</v>
      </c>
      <c r="G6" s="5"/>
    </row>
    <row r="7" spans="1:7">
      <c r="A7" s="5">
        <v>9</v>
      </c>
      <c r="B7" s="5" t="s">
        <v>255</v>
      </c>
      <c r="C7" s="5" t="s">
        <v>251</v>
      </c>
      <c r="D7" s="5" t="s">
        <v>252</v>
      </c>
      <c r="E7" s="5">
        <v>1</v>
      </c>
      <c r="F7" s="5" t="s">
        <v>179</v>
      </c>
      <c r="G7" s="5"/>
    </row>
    <row r="8" spans="1:7">
      <c r="A8" s="5">
        <v>14</v>
      </c>
      <c r="B8" s="5" t="s">
        <v>255</v>
      </c>
      <c r="C8" s="5" t="s">
        <v>251</v>
      </c>
      <c r="D8" s="5" t="s">
        <v>252</v>
      </c>
      <c r="E8" s="5">
        <v>99</v>
      </c>
      <c r="F8" s="5" t="s">
        <v>179</v>
      </c>
      <c r="G8" s="5" t="s">
        <v>256</v>
      </c>
    </row>
  </sheetData>
  <mergeCells count="2">
    <mergeCell ref="A1:G1"/>
    <mergeCell ref="A2:G2"/>
  </mergeCells>
  <conditionalFormatting sqref="A4:G504">
    <cfRule type="expression" dxfId="2" priority="1">
      <formula>$F4="FALSE"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2" width="23.7109375" customWidth="1"/>
    <col min="3" max="4" width="19.7109375" customWidth="1"/>
    <col min="5" max="6" width="18.7109375" customWidth="1"/>
    <col min="7" max="7" width="22.7109375" customWidth="1"/>
    <col min="8" max="8" width="15.7109375" customWidth="1"/>
    <col min="9" max="9" width="12.7109375" customWidth="1"/>
  </cols>
  <sheetData>
    <row r="1" spans="1:9" ht="30" customHeight="1">
      <c r="A1" s="1" t="s">
        <v>257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165</v>
      </c>
      <c r="B2" s="2"/>
      <c r="C2" s="2"/>
      <c r="D2" s="2"/>
      <c r="E2" s="2"/>
      <c r="F2" s="2"/>
      <c r="G2" s="2"/>
      <c r="H2" s="2"/>
      <c r="I2" s="2"/>
    </row>
    <row r="3" spans="1:9">
      <c r="A3" t="s">
        <v>54</v>
      </c>
      <c r="B3" t="s">
        <v>258</v>
      </c>
      <c r="C3" t="s">
        <v>259</v>
      </c>
      <c r="D3" t="s">
        <v>260</v>
      </c>
      <c r="E3" t="s">
        <v>261</v>
      </c>
      <c r="F3" t="s">
        <v>262</v>
      </c>
      <c r="G3" t="s">
        <v>263</v>
      </c>
      <c r="H3" t="s">
        <v>171</v>
      </c>
      <c r="I3" t="s">
        <v>70</v>
      </c>
    </row>
    <row r="4" spans="1:9">
      <c r="A4" s="5" t="s">
        <v>77</v>
      </c>
      <c r="B4" s="5" t="s">
        <v>264</v>
      </c>
      <c r="C4" s="5">
        <v>3</v>
      </c>
      <c r="D4" s="5">
        <v>20</v>
      </c>
      <c r="E4" s="5">
        <v>3</v>
      </c>
      <c r="F4" s="5">
        <v>15</v>
      </c>
      <c r="G4" s="5" t="s">
        <v>265</v>
      </c>
      <c r="H4" s="5" t="s">
        <v>179</v>
      </c>
      <c r="I4" s="5"/>
    </row>
    <row r="5" spans="1:9">
      <c r="A5" s="5" t="s">
        <v>94</v>
      </c>
      <c r="B5" s="5" t="s">
        <v>264</v>
      </c>
      <c r="C5" s="5">
        <v>3</v>
      </c>
      <c r="D5" s="5">
        <v>20</v>
      </c>
      <c r="E5" s="5">
        <v>3</v>
      </c>
      <c r="F5" s="5">
        <v>15</v>
      </c>
      <c r="G5" s="5" t="s">
        <v>265</v>
      </c>
      <c r="H5" s="5" t="s">
        <v>179</v>
      </c>
      <c r="I5" s="5"/>
    </row>
    <row r="6" spans="1:9">
      <c r="A6" s="5" t="s">
        <v>109</v>
      </c>
      <c r="B6" s="5" t="s">
        <v>264</v>
      </c>
      <c r="C6" s="5">
        <v>3</v>
      </c>
      <c r="D6" s="5">
        <v>20</v>
      </c>
      <c r="E6" s="5">
        <v>3</v>
      </c>
      <c r="F6" s="5">
        <v>15</v>
      </c>
      <c r="G6" s="5" t="s">
        <v>265</v>
      </c>
      <c r="H6" s="5" t="s">
        <v>179</v>
      </c>
      <c r="I6" s="5"/>
    </row>
    <row r="7" spans="1:9">
      <c r="A7" s="5" t="s">
        <v>266</v>
      </c>
      <c r="B7" s="5" t="s">
        <v>267</v>
      </c>
      <c r="C7" s="5">
        <v>2</v>
      </c>
      <c r="D7" s="5">
        <v>15</v>
      </c>
      <c r="E7" s="5">
        <v>2</v>
      </c>
      <c r="F7" s="5">
        <v>15</v>
      </c>
      <c r="G7" s="5" t="s">
        <v>268</v>
      </c>
      <c r="H7" s="5" t="s">
        <v>179</v>
      </c>
      <c r="I7" s="5" t="s">
        <v>269</v>
      </c>
    </row>
    <row r="8" spans="1:9">
      <c r="A8" s="5" t="s">
        <v>270</v>
      </c>
      <c r="B8" s="5" t="s">
        <v>270</v>
      </c>
      <c r="C8" s="5">
        <v>3</v>
      </c>
      <c r="D8" s="5">
        <v>20</v>
      </c>
      <c r="E8" s="5">
        <v>2</v>
      </c>
      <c r="F8" s="5">
        <v>15</v>
      </c>
      <c r="G8" s="5" t="s">
        <v>271</v>
      </c>
      <c r="H8" s="5" t="s">
        <v>179</v>
      </c>
      <c r="I8" s="5"/>
    </row>
    <row r="9" spans="1:9">
      <c r="A9" s="5" t="s">
        <v>272</v>
      </c>
      <c r="B9" s="5" t="s">
        <v>273</v>
      </c>
      <c r="C9" s="5">
        <v>3</v>
      </c>
      <c r="D9" s="5">
        <v>25</v>
      </c>
      <c r="E9" s="5">
        <v>1</v>
      </c>
      <c r="F9" s="5">
        <v>10</v>
      </c>
      <c r="G9" s="5" t="s">
        <v>274</v>
      </c>
      <c r="H9" s="5" t="s">
        <v>179</v>
      </c>
      <c r="I9" s="5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27.7109375" customWidth="1"/>
    <col min="4" max="4" width="19.7109375" customWidth="1"/>
    <col min="5" max="5" width="12.7109375" customWidth="1"/>
  </cols>
  <sheetData>
    <row r="1" spans="1:5" ht="30" customHeight="1">
      <c r="A1" s="1" t="s">
        <v>275</v>
      </c>
      <c r="B1" s="1"/>
      <c r="C1" s="1"/>
      <c r="D1" s="1"/>
      <c r="E1" s="1"/>
    </row>
    <row r="2" spans="1:5" ht="36" customHeight="1">
      <c r="A2" s="2" t="s">
        <v>165</v>
      </c>
      <c r="B2" s="2"/>
      <c r="C2" s="2"/>
      <c r="D2" s="2"/>
      <c r="E2" s="2"/>
    </row>
    <row r="3" spans="1:5">
      <c r="A3" t="s">
        <v>168</v>
      </c>
      <c r="B3" t="s">
        <v>138</v>
      </c>
      <c r="C3" t="s">
        <v>276</v>
      </c>
      <c r="D3" t="s">
        <v>277</v>
      </c>
      <c r="E3" t="s">
        <v>70</v>
      </c>
    </row>
    <row r="4" spans="1:5">
      <c r="A4" s="5" t="s">
        <v>73</v>
      </c>
      <c r="B4" s="5" t="s">
        <v>278</v>
      </c>
      <c r="C4" s="5" t="s">
        <v>279</v>
      </c>
      <c r="D4" s="5" t="s">
        <v>280</v>
      </c>
      <c r="E4" s="5" t="s">
        <v>281</v>
      </c>
    </row>
    <row r="5" spans="1:5">
      <c r="A5" s="5" t="s">
        <v>90</v>
      </c>
      <c r="B5" s="5" t="s">
        <v>278</v>
      </c>
      <c r="C5" s="5" t="s">
        <v>279</v>
      </c>
      <c r="D5" s="5" t="s">
        <v>282</v>
      </c>
      <c r="E5" s="5" t="s">
        <v>281</v>
      </c>
    </row>
    <row r="6" spans="1:5">
      <c r="A6" s="5" t="s">
        <v>104</v>
      </c>
      <c r="B6" s="5" t="s">
        <v>278</v>
      </c>
      <c r="C6" s="5" t="s">
        <v>279</v>
      </c>
      <c r="D6" s="5" t="s">
        <v>283</v>
      </c>
      <c r="E6" s="5" t="s">
        <v>281</v>
      </c>
    </row>
    <row r="7" spans="1:5">
      <c r="A7" s="5" t="s">
        <v>188</v>
      </c>
      <c r="B7" s="5" t="s">
        <v>278</v>
      </c>
      <c r="C7" s="5" t="s">
        <v>284</v>
      </c>
      <c r="D7" s="5" t="s">
        <v>285</v>
      </c>
      <c r="E7" s="5" t="s">
        <v>286</v>
      </c>
    </row>
    <row r="8" spans="1:5">
      <c r="A8" s="5" t="s">
        <v>287</v>
      </c>
      <c r="B8" s="5" t="s">
        <v>288</v>
      </c>
      <c r="C8" s="5" t="s">
        <v>289</v>
      </c>
      <c r="D8" s="5" t="s">
        <v>290</v>
      </c>
      <c r="E8" s="5" t="s">
        <v>291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5" width="26.7109375" customWidth="1"/>
    <col min="6" max="6" width="19.7109375" customWidth="1"/>
    <col min="7" max="7" width="12.7109375" customWidth="1"/>
  </cols>
  <sheetData>
    <row r="1" spans="1:7" ht="30" customHeight="1">
      <c r="A1" s="1" t="s">
        <v>292</v>
      </c>
      <c r="B1" s="1"/>
      <c r="C1" s="1"/>
      <c r="D1" s="1"/>
      <c r="E1" s="1"/>
      <c r="F1" s="1"/>
      <c r="G1" s="1"/>
    </row>
    <row r="2" spans="1:7" ht="36" customHeight="1">
      <c r="A2" s="2" t="s">
        <v>165</v>
      </c>
      <c r="B2" s="2"/>
      <c r="C2" s="2"/>
      <c r="D2" s="2"/>
      <c r="E2" s="2"/>
      <c r="F2" s="2"/>
      <c r="G2" s="2"/>
    </row>
    <row r="3" spans="1:7">
      <c r="A3" t="s">
        <v>168</v>
      </c>
      <c r="B3" t="s">
        <v>293</v>
      </c>
      <c r="C3" t="s">
        <v>294</v>
      </c>
      <c r="D3" t="s">
        <v>295</v>
      </c>
      <c r="E3" t="s">
        <v>296</v>
      </c>
      <c r="F3" t="s">
        <v>297</v>
      </c>
      <c r="G3" t="s">
        <v>70</v>
      </c>
    </row>
    <row r="4" spans="1:7">
      <c r="A4" s="5" t="s">
        <v>73</v>
      </c>
      <c r="B4" s="5">
        <v>3.95</v>
      </c>
      <c r="C4" s="5">
        <v>4.05</v>
      </c>
      <c r="D4" s="5">
        <v>1.762</v>
      </c>
      <c r="E4" s="5">
        <v>1.77</v>
      </c>
      <c r="F4" s="5">
        <v>9</v>
      </c>
      <c r="G4" s="5" t="s">
        <v>298</v>
      </c>
    </row>
    <row r="5" spans="1:7">
      <c r="A5" s="5" t="s">
        <v>90</v>
      </c>
      <c r="B5" s="5">
        <v>3.95</v>
      </c>
      <c r="C5" s="5">
        <v>4.05</v>
      </c>
      <c r="D5" s="5">
        <v>1.762</v>
      </c>
      <c r="E5" s="5">
        <v>1.77</v>
      </c>
      <c r="F5" s="5">
        <v>9</v>
      </c>
      <c r="G5" s="5" t="s">
        <v>299</v>
      </c>
    </row>
    <row r="6" spans="1:7">
      <c r="A6" s="5" t="s">
        <v>104</v>
      </c>
      <c r="B6" s="5">
        <v>2.67</v>
      </c>
      <c r="C6" s="5">
        <v>2.78</v>
      </c>
      <c r="D6" s="5">
        <v>1.565</v>
      </c>
      <c r="E6" s="5">
        <v>1.602</v>
      </c>
      <c r="F6" s="5">
        <v>7.5</v>
      </c>
      <c r="G6" s="5" t="s">
        <v>300</v>
      </c>
    </row>
    <row r="7" spans="1:7">
      <c r="A7" s="5" t="s">
        <v>188</v>
      </c>
      <c r="B7" s="5">
        <v>2.63</v>
      </c>
      <c r="C7" s="5">
        <v>2.65</v>
      </c>
      <c r="D7" s="5">
        <v>1.544</v>
      </c>
      <c r="E7" s="5">
        <v>1.553</v>
      </c>
      <c r="F7" s="5">
        <v>7</v>
      </c>
      <c r="G7" s="5" t="s">
        <v>301</v>
      </c>
    </row>
    <row r="8" spans="1:7">
      <c r="A8" s="5" t="s">
        <v>196</v>
      </c>
      <c r="B8" s="5">
        <v>1.98</v>
      </c>
      <c r="C8" s="5">
        <v>2.25</v>
      </c>
      <c r="D8" s="5">
        <v>1.37</v>
      </c>
      <c r="E8" s="5">
        <v>1.47</v>
      </c>
      <c r="F8" s="5">
        <v>6</v>
      </c>
      <c r="G8" s="5" t="s">
        <v>302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5.7109375" customWidth="1"/>
    <col min="4" max="4" width="12.7109375" customWidth="1"/>
  </cols>
  <sheetData>
    <row r="1" spans="1:4" ht="30" customHeight="1">
      <c r="A1" s="1" t="s">
        <v>303</v>
      </c>
      <c r="B1" s="1"/>
      <c r="C1" s="1"/>
      <c r="D1" s="1"/>
    </row>
    <row r="2" spans="1:4" ht="36" customHeight="1">
      <c r="A2" s="2" t="s">
        <v>165</v>
      </c>
      <c r="B2" s="2"/>
      <c r="C2" s="2"/>
      <c r="D2" s="2"/>
    </row>
    <row r="3" spans="1:4">
      <c r="A3" t="s">
        <v>304</v>
      </c>
      <c r="B3" t="s">
        <v>305</v>
      </c>
      <c r="C3" t="s">
        <v>171</v>
      </c>
      <c r="D3" t="s">
        <v>70</v>
      </c>
    </row>
    <row r="4" spans="1:4">
      <c r="A4" s="5" t="s">
        <v>58</v>
      </c>
      <c r="B4" s="5" t="s">
        <v>81</v>
      </c>
      <c r="C4" s="5" t="s">
        <v>179</v>
      </c>
      <c r="D4" s="5"/>
    </row>
    <row r="5" spans="1:4">
      <c r="A5" s="5" t="s">
        <v>58</v>
      </c>
      <c r="B5" s="5" t="s">
        <v>306</v>
      </c>
      <c r="C5" s="5" t="s">
        <v>179</v>
      </c>
      <c r="D5" s="5"/>
    </row>
    <row r="6" spans="1:4">
      <c r="A6" s="5" t="s">
        <v>58</v>
      </c>
      <c r="B6" s="5" t="s">
        <v>307</v>
      </c>
      <c r="C6" s="5" t="s">
        <v>179</v>
      </c>
      <c r="D6" s="5"/>
    </row>
    <row r="7" spans="1:4">
      <c r="A7" s="5" t="s">
        <v>58</v>
      </c>
      <c r="B7" s="5" t="s">
        <v>308</v>
      </c>
      <c r="C7" s="5" t="s">
        <v>179</v>
      </c>
      <c r="D7" s="5"/>
    </row>
    <row r="8" spans="1:4">
      <c r="A8" s="5" t="s">
        <v>58</v>
      </c>
      <c r="B8" s="5" t="s">
        <v>309</v>
      </c>
      <c r="C8" s="5" t="s">
        <v>179</v>
      </c>
      <c r="D8" s="5"/>
    </row>
    <row r="9" spans="1:4">
      <c r="A9" s="5" t="s">
        <v>58</v>
      </c>
      <c r="B9" s="5" t="s">
        <v>310</v>
      </c>
      <c r="C9" s="5" t="s">
        <v>179</v>
      </c>
      <c r="D9" s="5"/>
    </row>
    <row r="10" spans="1:4">
      <c r="A10" s="5" t="s">
        <v>58</v>
      </c>
      <c r="B10" s="5" t="s">
        <v>311</v>
      </c>
      <c r="C10" s="5" t="s">
        <v>179</v>
      </c>
      <c r="D10" s="5"/>
    </row>
    <row r="11" spans="1:4">
      <c r="A11" s="5" t="s">
        <v>65</v>
      </c>
      <c r="B11" s="5" t="s">
        <v>83</v>
      </c>
      <c r="C11" s="5" t="s">
        <v>179</v>
      </c>
      <c r="D11" s="5"/>
    </row>
    <row r="12" spans="1:4">
      <c r="A12" s="5" t="s">
        <v>65</v>
      </c>
      <c r="B12" s="5" t="s">
        <v>312</v>
      </c>
      <c r="C12" s="5" t="s">
        <v>179</v>
      </c>
      <c r="D12" s="5"/>
    </row>
    <row r="13" spans="1:4">
      <c r="A13" s="5" t="s">
        <v>65</v>
      </c>
      <c r="B13" s="5" t="s">
        <v>313</v>
      </c>
      <c r="C13" s="5" t="s">
        <v>179</v>
      </c>
      <c r="D13" s="5"/>
    </row>
    <row r="14" spans="1:4">
      <c r="A14" s="5" t="s">
        <v>65</v>
      </c>
      <c r="B14" s="5" t="s">
        <v>314</v>
      </c>
      <c r="C14" s="5" t="s">
        <v>179</v>
      </c>
      <c r="D14" s="5"/>
    </row>
    <row r="15" spans="1:4">
      <c r="A15" s="5" t="s">
        <v>65</v>
      </c>
      <c r="B15" s="5" t="s">
        <v>315</v>
      </c>
      <c r="C15" s="5" t="s">
        <v>179</v>
      </c>
      <c r="D15" s="5"/>
    </row>
    <row r="16" spans="1:4">
      <c r="A16" s="5" t="s">
        <v>170</v>
      </c>
      <c r="B16" s="5" t="s">
        <v>177</v>
      </c>
      <c r="C16" s="5" t="s">
        <v>179</v>
      </c>
      <c r="D16" s="5"/>
    </row>
    <row r="17" spans="1:4">
      <c r="A17" s="5" t="s">
        <v>170</v>
      </c>
      <c r="B17" s="5" t="s">
        <v>316</v>
      </c>
      <c r="C17" s="5" t="s">
        <v>179</v>
      </c>
      <c r="D17" s="5"/>
    </row>
    <row r="18" spans="1:4">
      <c r="A18" s="5" t="s">
        <v>170</v>
      </c>
      <c r="B18" s="5" t="s">
        <v>194</v>
      </c>
      <c r="C18" s="5" t="s">
        <v>179</v>
      </c>
      <c r="D18" s="5"/>
    </row>
    <row r="19" spans="1:4">
      <c r="A19" s="5" t="s">
        <v>170</v>
      </c>
      <c r="B19" s="5" t="s">
        <v>317</v>
      </c>
      <c r="C19" s="5" t="s">
        <v>179</v>
      </c>
      <c r="D19" s="5"/>
    </row>
    <row r="20" spans="1:4">
      <c r="A20" s="5" t="s">
        <v>134</v>
      </c>
      <c r="B20" s="5" t="s">
        <v>176</v>
      </c>
      <c r="C20" s="5" t="s">
        <v>179</v>
      </c>
      <c r="D20" s="5"/>
    </row>
    <row r="21" spans="1:4">
      <c r="A21" s="5" t="s">
        <v>134</v>
      </c>
      <c r="B21" s="5" t="s">
        <v>318</v>
      </c>
      <c r="C21" s="5" t="s">
        <v>179</v>
      </c>
      <c r="D21" s="5"/>
    </row>
    <row r="22" spans="1:4">
      <c r="A22" s="5" t="s">
        <v>134</v>
      </c>
      <c r="B22" s="5" t="s">
        <v>319</v>
      </c>
      <c r="C22" s="5" t="s">
        <v>179</v>
      </c>
      <c r="D22" s="5"/>
    </row>
    <row r="23" spans="1:4">
      <c r="A23" s="5" t="s">
        <v>134</v>
      </c>
      <c r="B23" s="5" t="s">
        <v>320</v>
      </c>
      <c r="C23" s="5" t="s">
        <v>179</v>
      </c>
      <c r="D23" s="5"/>
    </row>
    <row r="24" spans="1:4">
      <c r="A24" s="5" t="s">
        <v>126</v>
      </c>
      <c r="B24" s="5" t="s">
        <v>78</v>
      </c>
      <c r="C24" s="5" t="s">
        <v>179</v>
      </c>
      <c r="D24" s="5"/>
    </row>
    <row r="25" spans="1:4">
      <c r="A25" s="5" t="s">
        <v>126</v>
      </c>
      <c r="B25" s="5" t="s">
        <v>199</v>
      </c>
      <c r="C25" s="5" t="s">
        <v>179</v>
      </c>
      <c r="D25" s="5"/>
    </row>
    <row r="26" spans="1:4">
      <c r="A26" s="5" t="s">
        <v>126</v>
      </c>
      <c r="B26" s="5" t="s">
        <v>321</v>
      </c>
      <c r="C26" s="5" t="s">
        <v>179</v>
      </c>
      <c r="D26" s="5"/>
    </row>
    <row r="27" spans="1:4">
      <c r="A27" s="5" t="s">
        <v>126</v>
      </c>
      <c r="B27" s="5" t="s">
        <v>308</v>
      </c>
      <c r="C27" s="5" t="s">
        <v>179</v>
      </c>
      <c r="D27" s="5"/>
    </row>
    <row r="28" spans="1:4">
      <c r="A28" s="5" t="s">
        <v>126</v>
      </c>
      <c r="B28" s="5" t="s">
        <v>310</v>
      </c>
      <c r="C28" s="5" t="s">
        <v>179</v>
      </c>
      <c r="D28" s="5"/>
    </row>
    <row r="29" spans="1:4">
      <c r="A29" s="5" t="s">
        <v>124</v>
      </c>
      <c r="B29" s="5" t="s">
        <v>76</v>
      </c>
      <c r="C29" s="5" t="s">
        <v>179</v>
      </c>
      <c r="D29" s="5"/>
    </row>
    <row r="30" spans="1:4">
      <c r="A30" s="5" t="s">
        <v>124</v>
      </c>
      <c r="B30" s="5" t="s">
        <v>189</v>
      </c>
      <c r="C30" s="5" t="s">
        <v>179</v>
      </c>
      <c r="D30" s="5"/>
    </row>
    <row r="31" spans="1:4">
      <c r="A31" s="5" t="s">
        <v>124</v>
      </c>
      <c r="B31" s="5" t="s">
        <v>198</v>
      </c>
      <c r="C31" s="5" t="s">
        <v>179</v>
      </c>
      <c r="D31" s="5"/>
    </row>
    <row r="32" spans="1:4">
      <c r="A32" s="5" t="s">
        <v>124</v>
      </c>
      <c r="B32" s="5" t="s">
        <v>108</v>
      </c>
      <c r="C32" s="5" t="s">
        <v>179</v>
      </c>
      <c r="D32" s="5"/>
    </row>
    <row r="33" spans="1:4">
      <c r="A33" s="5" t="s">
        <v>124</v>
      </c>
      <c r="B33" s="5" t="s">
        <v>322</v>
      </c>
      <c r="C33" s="5" t="s">
        <v>179</v>
      </c>
      <c r="D33" s="5"/>
    </row>
    <row r="34" spans="1:4">
      <c r="A34" s="5" t="s">
        <v>124</v>
      </c>
      <c r="B34" s="5" t="s">
        <v>323</v>
      </c>
      <c r="C34" s="5" t="s">
        <v>179</v>
      </c>
      <c r="D34" s="5"/>
    </row>
    <row r="35" spans="1:4">
      <c r="A35" s="5" t="s">
        <v>124</v>
      </c>
      <c r="B35" s="5" t="s">
        <v>324</v>
      </c>
      <c r="C35" s="5" t="s">
        <v>179</v>
      </c>
      <c r="D35" s="5"/>
    </row>
    <row r="36" spans="1:4">
      <c r="A36" s="5" t="s">
        <v>138</v>
      </c>
      <c r="B36" s="5" t="s">
        <v>278</v>
      </c>
      <c r="C36" s="5" t="s">
        <v>179</v>
      </c>
      <c r="D36" s="5"/>
    </row>
    <row r="37" spans="1:4">
      <c r="A37" s="5" t="s">
        <v>138</v>
      </c>
      <c r="B37" s="5" t="s">
        <v>288</v>
      </c>
      <c r="C37" s="5" t="s">
        <v>179</v>
      </c>
      <c r="D37" s="5"/>
    </row>
    <row r="38" spans="1:4">
      <c r="A38" s="5" t="s">
        <v>138</v>
      </c>
      <c r="B38" s="5" t="s">
        <v>284</v>
      </c>
      <c r="C38" s="5" t="s">
        <v>179</v>
      </c>
      <c r="D38" s="5"/>
    </row>
    <row r="39" spans="1:4">
      <c r="A39" s="5" t="s">
        <v>325</v>
      </c>
      <c r="B39" s="5" t="s">
        <v>326</v>
      </c>
      <c r="C39" s="5" t="s">
        <v>179</v>
      </c>
      <c r="D39" s="5"/>
    </row>
    <row r="40" spans="1:4">
      <c r="A40" s="5" t="s">
        <v>325</v>
      </c>
      <c r="B40" s="5" t="s">
        <v>327</v>
      </c>
      <c r="C40" s="5" t="s">
        <v>179</v>
      </c>
      <c r="D40" s="5"/>
    </row>
    <row r="41" spans="1:4">
      <c r="A41" s="5" t="s">
        <v>325</v>
      </c>
      <c r="B41" s="5" t="s">
        <v>328</v>
      </c>
      <c r="C41" s="5" t="s">
        <v>179</v>
      </c>
      <c r="D41" s="5"/>
    </row>
    <row r="42" spans="1:4">
      <c r="A42" s="5" t="s">
        <v>325</v>
      </c>
      <c r="B42" s="5" t="s">
        <v>329</v>
      </c>
      <c r="C42" s="5" t="s">
        <v>179</v>
      </c>
      <c r="D42" s="5"/>
    </row>
    <row r="43" spans="1:4">
      <c r="A43" s="5" t="s">
        <v>325</v>
      </c>
      <c r="B43" s="5" t="s">
        <v>330</v>
      </c>
      <c r="C43" s="5" t="s">
        <v>179</v>
      </c>
      <c r="D43" s="5"/>
    </row>
    <row r="44" spans="1:4">
      <c r="A44" s="5" t="s">
        <v>325</v>
      </c>
      <c r="B44" s="5" t="s">
        <v>331</v>
      </c>
      <c r="C44" s="5" t="s">
        <v>179</v>
      </c>
      <c r="D44" s="5"/>
    </row>
    <row r="45" spans="1:4">
      <c r="A45" s="5" t="s">
        <v>325</v>
      </c>
      <c r="B45" s="5" t="s">
        <v>332</v>
      </c>
      <c r="C45" s="5" t="s">
        <v>179</v>
      </c>
      <c r="D45" s="5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3.7109375" customWidth="1"/>
    <col min="2" max="3" width="21.7109375" customWidth="1"/>
    <col min="4" max="4" width="19.7109375" customWidth="1"/>
    <col min="5" max="5" width="25.7109375" customWidth="1"/>
    <col min="6" max="6" width="31.7109375" customWidth="1"/>
    <col min="7" max="7" width="14.7109375" customWidth="1"/>
    <col min="8" max="8" width="15.7109375" customWidth="1"/>
    <col min="9" max="9" width="12.7109375" customWidth="1"/>
  </cols>
  <sheetData>
    <row r="1" spans="1:9" ht="30" customHeight="1">
      <c r="A1" s="1" t="s">
        <v>333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165</v>
      </c>
      <c r="B2" s="2"/>
      <c r="C2" s="2"/>
      <c r="D2" s="2"/>
      <c r="E2" s="2"/>
      <c r="F2" s="2"/>
      <c r="G2" s="2"/>
      <c r="H2" s="2"/>
      <c r="I2" s="2"/>
    </row>
    <row r="3" spans="1:9">
      <c r="A3" t="s">
        <v>334</v>
      </c>
      <c r="B3" t="s">
        <v>335</v>
      </c>
      <c r="C3" t="s">
        <v>336</v>
      </c>
      <c r="D3" t="s">
        <v>337</v>
      </c>
      <c r="E3" t="s">
        <v>338</v>
      </c>
      <c r="F3" t="s">
        <v>339</v>
      </c>
      <c r="G3" t="s">
        <v>172</v>
      </c>
      <c r="H3" t="s">
        <v>171</v>
      </c>
      <c r="I3" t="s">
        <v>70</v>
      </c>
    </row>
    <row r="4" spans="1:9">
      <c r="A4" s="5" t="s">
        <v>340</v>
      </c>
      <c r="B4" s="5" t="s">
        <v>58</v>
      </c>
      <c r="C4" s="5" t="s">
        <v>81</v>
      </c>
      <c r="D4" s="5" t="s">
        <v>341</v>
      </c>
      <c r="E4" s="5" t="s">
        <v>342</v>
      </c>
      <c r="F4" s="5" t="s">
        <v>343</v>
      </c>
      <c r="G4" s="5">
        <v>10</v>
      </c>
      <c r="H4" s="5" t="s">
        <v>179</v>
      </c>
      <c r="I4" s="5"/>
    </row>
    <row r="5" spans="1:9">
      <c r="A5" s="5" t="s">
        <v>344</v>
      </c>
      <c r="B5" s="5" t="s">
        <v>58</v>
      </c>
      <c r="C5" s="5" t="s">
        <v>306</v>
      </c>
      <c r="D5" s="5" t="s">
        <v>345</v>
      </c>
      <c r="E5" s="5" t="s">
        <v>346</v>
      </c>
      <c r="F5" s="5" t="s">
        <v>347</v>
      </c>
      <c r="G5" s="5">
        <v>20</v>
      </c>
      <c r="H5" s="5" t="s">
        <v>179</v>
      </c>
      <c r="I5" s="5"/>
    </row>
    <row r="6" spans="1:9">
      <c r="A6" s="5" t="s">
        <v>348</v>
      </c>
      <c r="B6" s="5" t="s">
        <v>58</v>
      </c>
      <c r="C6" s="5" t="s">
        <v>308</v>
      </c>
      <c r="D6" s="5" t="s">
        <v>349</v>
      </c>
      <c r="E6" s="5" t="s">
        <v>350</v>
      </c>
      <c r="F6" s="5" t="s">
        <v>351</v>
      </c>
      <c r="G6" s="5">
        <v>30</v>
      </c>
      <c r="H6" s="5" t="s">
        <v>179</v>
      </c>
      <c r="I6" s="5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7.7109375" customWidth="1"/>
  </cols>
  <sheetData>
    <row r="1" spans="1:3" ht="30" customHeight="1">
      <c r="A1" s="1" t="s">
        <v>352</v>
      </c>
      <c r="B1" s="1"/>
      <c r="C1" s="1"/>
    </row>
    <row r="2" spans="1:3" ht="36" customHeight="1">
      <c r="A2" s="2" t="s">
        <v>165</v>
      </c>
      <c r="B2" s="2"/>
      <c r="C2" s="2"/>
    </row>
    <row r="3" spans="1:3">
      <c r="A3" t="s">
        <v>353</v>
      </c>
      <c r="B3" t="s">
        <v>305</v>
      </c>
      <c r="C3" t="s">
        <v>354</v>
      </c>
    </row>
    <row r="4" spans="1:3">
      <c r="A4" s="5" t="s">
        <v>355</v>
      </c>
      <c r="B4" s="5" t="s">
        <v>356</v>
      </c>
      <c r="C4" s="5" t="s">
        <v>357</v>
      </c>
    </row>
    <row r="5" spans="1:3">
      <c r="A5" s="5" t="s">
        <v>358</v>
      </c>
      <c r="B5" s="5" t="s">
        <v>359</v>
      </c>
      <c r="C5" s="5" t="s">
        <v>360</v>
      </c>
    </row>
    <row r="6" spans="1:3">
      <c r="A6" s="5" t="s">
        <v>361</v>
      </c>
      <c r="B6" s="5" t="s">
        <v>362</v>
      </c>
      <c r="C6" s="5" t="s">
        <v>160</v>
      </c>
    </row>
    <row r="7" spans="1:3">
      <c r="A7" s="5" t="s">
        <v>363</v>
      </c>
      <c r="B7" s="5" t="s">
        <v>364</v>
      </c>
      <c r="C7" s="5" t="s">
        <v>365</v>
      </c>
    </row>
    <row r="8" spans="1:3">
      <c r="A8" s="5" t="s">
        <v>208</v>
      </c>
      <c r="B8" s="5" t="s">
        <v>175</v>
      </c>
      <c r="C8" s="5" t="s">
        <v>366</v>
      </c>
    </row>
    <row r="9" spans="1:3">
      <c r="A9" s="5" t="s">
        <v>367</v>
      </c>
      <c r="B9" s="5" t="s">
        <v>179</v>
      </c>
      <c r="C9" s="5" t="s">
        <v>368</v>
      </c>
    </row>
    <row r="10" spans="1:3">
      <c r="A10" s="5" t="s">
        <v>369</v>
      </c>
      <c r="B10" s="5"/>
      <c r="C10" s="5" t="s">
        <v>370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5.7109375" customWidth="1"/>
    <col min="2" max="2" width="22.7109375" customWidth="1"/>
    <col min="3" max="3" width="19.7109375" customWidth="1"/>
    <col min="4" max="4" width="17.7109375" customWidth="1"/>
    <col min="5" max="5" width="18.7109375" customWidth="1"/>
    <col min="6" max="6" width="14.7109375" customWidth="1"/>
    <col min="7" max="7" width="12.7109375" customWidth="1"/>
    <col min="8" max="8" width="19.7109375" customWidth="1"/>
    <col min="9" max="9" width="12.7109375" customWidth="1"/>
  </cols>
  <sheetData>
    <row r="1" spans="1:9" ht="30" customHeight="1">
      <c r="A1" s="1" t="s">
        <v>371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165</v>
      </c>
      <c r="B2" s="2"/>
      <c r="C2" s="2"/>
      <c r="D2" s="2"/>
      <c r="E2" s="2"/>
      <c r="F2" s="2"/>
      <c r="G2" s="2"/>
      <c r="H2" s="2"/>
      <c r="I2" s="2"/>
    </row>
    <row r="3" spans="1:9">
      <c r="A3" t="s">
        <v>372</v>
      </c>
      <c r="B3" t="s">
        <v>373</v>
      </c>
      <c r="C3" t="s">
        <v>374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 t="s">
        <v>70</v>
      </c>
    </row>
    <row r="4" spans="1:9">
      <c r="A4" s="5" t="s">
        <v>47</v>
      </c>
      <c r="B4" s="5" t="s">
        <v>47</v>
      </c>
      <c r="C4" s="5" t="s">
        <v>47</v>
      </c>
      <c r="D4" s="5" t="s">
        <v>380</v>
      </c>
      <c r="E4" s="5" t="s">
        <v>44</v>
      </c>
      <c r="F4" s="5" t="s">
        <v>279</v>
      </c>
      <c r="G4" s="5" t="s">
        <v>381</v>
      </c>
      <c r="H4" s="5"/>
      <c r="I4" s="5" t="s">
        <v>382</v>
      </c>
    </row>
    <row r="5" spans="1:9">
      <c r="A5" s="5" t="s">
        <v>51</v>
      </c>
      <c r="B5" s="5" t="s">
        <v>166</v>
      </c>
      <c r="C5" s="5" t="s">
        <v>125</v>
      </c>
      <c r="D5" s="5" t="s">
        <v>383</v>
      </c>
      <c r="E5" s="5" t="s">
        <v>164</v>
      </c>
      <c r="F5" s="5" t="s">
        <v>279</v>
      </c>
      <c r="G5" s="5" t="s">
        <v>384</v>
      </c>
      <c r="H5" s="5"/>
      <c r="I5" s="5" t="s">
        <v>385</v>
      </c>
    </row>
    <row r="6" spans="1:9">
      <c r="A6" s="5" t="s">
        <v>56</v>
      </c>
      <c r="B6" s="5" t="s">
        <v>127</v>
      </c>
      <c r="C6" s="5" t="s">
        <v>127</v>
      </c>
      <c r="D6" s="5" t="s">
        <v>383</v>
      </c>
      <c r="E6" s="5" t="s">
        <v>216</v>
      </c>
      <c r="F6" s="5" t="s">
        <v>279</v>
      </c>
      <c r="G6" s="5" t="s">
        <v>386</v>
      </c>
      <c r="H6" s="5"/>
      <c r="I6" s="5"/>
    </row>
    <row r="7" spans="1:9">
      <c r="A7" s="5" t="s">
        <v>64</v>
      </c>
      <c r="B7" s="5" t="s">
        <v>137</v>
      </c>
      <c r="C7" s="5" t="s">
        <v>64</v>
      </c>
      <c r="D7" s="5" t="s">
        <v>383</v>
      </c>
      <c r="E7" s="5" t="s">
        <v>246</v>
      </c>
      <c r="F7" s="5" t="s">
        <v>279</v>
      </c>
      <c r="G7" s="5" t="s">
        <v>387</v>
      </c>
      <c r="H7" s="5"/>
      <c r="I7" s="5"/>
    </row>
    <row r="8" spans="1:9">
      <c r="A8" s="5" t="s">
        <v>57</v>
      </c>
      <c r="B8" s="5" t="s">
        <v>235</v>
      </c>
      <c r="C8" s="5" t="s">
        <v>136</v>
      </c>
      <c r="D8" s="5" t="s">
        <v>383</v>
      </c>
      <c r="E8" s="5" t="s">
        <v>233</v>
      </c>
      <c r="F8" s="5" t="s">
        <v>289</v>
      </c>
      <c r="G8" s="5" t="s">
        <v>388</v>
      </c>
      <c r="H8" s="5"/>
      <c r="I8" s="5"/>
    </row>
    <row r="9" spans="1:9">
      <c r="A9" s="5" t="s">
        <v>389</v>
      </c>
      <c r="B9" s="5" t="s">
        <v>390</v>
      </c>
      <c r="C9" s="5" t="s">
        <v>391</v>
      </c>
      <c r="D9" s="5" t="s">
        <v>392</v>
      </c>
      <c r="E9" s="5" t="s">
        <v>352</v>
      </c>
      <c r="F9" s="5" t="s">
        <v>279</v>
      </c>
      <c r="G9" s="5" t="s">
        <v>393</v>
      </c>
      <c r="H9" s="5"/>
      <c r="I9" s="5"/>
    </row>
    <row r="10" spans="1:9">
      <c r="A10" s="5" t="s">
        <v>69</v>
      </c>
      <c r="B10" s="5" t="s">
        <v>122</v>
      </c>
      <c r="C10" s="5" t="s">
        <v>122</v>
      </c>
      <c r="D10" s="5" t="s">
        <v>394</v>
      </c>
      <c r="E10" s="5" t="s">
        <v>44</v>
      </c>
      <c r="F10" s="5" t="s">
        <v>289</v>
      </c>
      <c r="G10" s="5" t="s">
        <v>395</v>
      </c>
      <c r="H10" s="5"/>
      <c r="I10" s="5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4.7109375" customWidth="1"/>
    <col min="5" max="7" width="12.7109375" customWidth="1"/>
  </cols>
  <sheetData>
    <row r="1" spans="1:7" ht="30" customHeight="1">
      <c r="A1" s="1" t="s">
        <v>396</v>
      </c>
      <c r="B1" s="1"/>
      <c r="C1" s="1"/>
      <c r="D1" s="1"/>
      <c r="E1" s="1"/>
      <c r="F1" s="1"/>
      <c r="G1" s="1"/>
    </row>
    <row r="2" spans="1:7" ht="36" customHeight="1">
      <c r="A2" s="2" t="s">
        <v>165</v>
      </c>
      <c r="B2" s="2"/>
      <c r="C2" s="2"/>
      <c r="D2" s="2"/>
      <c r="E2" s="2"/>
      <c r="F2" s="2"/>
      <c r="G2" s="2"/>
    </row>
    <row r="3" spans="1:7">
      <c r="A3" t="s">
        <v>397</v>
      </c>
      <c r="B3" t="s">
        <v>398</v>
      </c>
      <c r="C3" t="s">
        <v>399</v>
      </c>
      <c r="D3" t="s">
        <v>144</v>
      </c>
      <c r="E3" t="s">
        <v>149</v>
      </c>
      <c r="F3" t="s">
        <v>148</v>
      </c>
      <c r="G3" t="s">
        <v>70</v>
      </c>
    </row>
    <row r="4" spans="1:7">
      <c r="A4" s="5" t="s">
        <v>400</v>
      </c>
      <c r="B4" s="5" t="s">
        <v>401</v>
      </c>
      <c r="C4" s="5" t="s">
        <v>402</v>
      </c>
      <c r="D4" s="5" t="s">
        <v>403</v>
      </c>
      <c r="E4" s="5"/>
      <c r="F4" s="5" t="s">
        <v>155</v>
      </c>
      <c r="G4" s="5"/>
    </row>
    <row r="5" spans="1:7">
      <c r="A5" s="5" t="s">
        <v>404</v>
      </c>
      <c r="B5" s="5" t="s">
        <v>405</v>
      </c>
      <c r="C5" s="5" t="s">
        <v>406</v>
      </c>
      <c r="D5" s="5" t="s">
        <v>403</v>
      </c>
      <c r="E5" s="5"/>
      <c r="F5" s="5" t="s">
        <v>155</v>
      </c>
      <c r="G5" s="5"/>
    </row>
    <row r="6" spans="1:7">
      <c r="A6" s="5" t="s">
        <v>407</v>
      </c>
      <c r="B6" s="5" t="s">
        <v>408</v>
      </c>
      <c r="C6" s="5" t="s">
        <v>409</v>
      </c>
      <c r="D6" s="5" t="s">
        <v>403</v>
      </c>
      <c r="E6" s="5"/>
      <c r="F6" s="5" t="s">
        <v>155</v>
      </c>
      <c r="G6" s="5"/>
    </row>
    <row r="7" spans="1:7">
      <c r="A7" s="5" t="s">
        <v>410</v>
      </c>
      <c r="B7" s="5" t="s">
        <v>411</v>
      </c>
      <c r="C7" s="5" t="s">
        <v>412</v>
      </c>
      <c r="D7" s="5" t="s">
        <v>413</v>
      </c>
      <c r="E7" s="5"/>
      <c r="F7" s="5" t="s">
        <v>155</v>
      </c>
      <c r="G7" s="5"/>
    </row>
    <row r="8" spans="1:7">
      <c r="A8" s="5" t="s">
        <v>414</v>
      </c>
      <c r="B8" s="5" t="s">
        <v>415</v>
      </c>
      <c r="C8" s="5" t="s">
        <v>416</v>
      </c>
      <c r="D8" s="5" t="s">
        <v>413</v>
      </c>
      <c r="E8" s="5"/>
      <c r="F8" s="5" t="s">
        <v>155</v>
      </c>
      <c r="G8" s="5"/>
    </row>
    <row r="9" spans="1:7">
      <c r="A9" s="5" t="s">
        <v>417</v>
      </c>
      <c r="B9" s="5" t="s">
        <v>418</v>
      </c>
      <c r="C9" s="5" t="s">
        <v>419</v>
      </c>
      <c r="D9" s="5" t="s">
        <v>403</v>
      </c>
      <c r="E9" s="5"/>
      <c r="F9" s="5" t="s">
        <v>155</v>
      </c>
      <c r="G9" s="5"/>
    </row>
    <row r="10" spans="1:7">
      <c r="A10" s="5" t="s">
        <v>420</v>
      </c>
      <c r="B10" s="5" t="s">
        <v>421</v>
      </c>
      <c r="C10" s="5" t="s">
        <v>422</v>
      </c>
      <c r="D10" s="5" t="s">
        <v>157</v>
      </c>
      <c r="E10" s="5"/>
      <c r="F10" s="5" t="s">
        <v>155</v>
      </c>
      <c r="G10" s="5"/>
    </row>
    <row r="11" spans="1:7">
      <c r="A11" s="5" t="s">
        <v>423</v>
      </c>
      <c r="B11" s="5" t="s">
        <v>424</v>
      </c>
      <c r="C11" s="5" t="s">
        <v>425</v>
      </c>
      <c r="D11" s="5" t="s">
        <v>157</v>
      </c>
      <c r="E11" s="5"/>
      <c r="F11" s="5" t="s">
        <v>155</v>
      </c>
      <c r="G11" s="5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00_README</vt:lpstr>
      <vt:lpstr>01_Input_Raw_Products</vt:lpstr>
      <vt:lpstr>02_Output_Magento_Import</vt:lpstr>
      <vt:lpstr>03_Validation_Report</vt:lpstr>
      <vt:lpstr>10_Master_Gem_Types</vt:lpstr>
      <vt:lpstr>11_Master_Gemstone2</vt:lpstr>
      <vt:lpstr>12_Color_Mapping</vt:lpstr>
      <vt:lpstr>13_Certification_Stickers</vt:lpstr>
      <vt:lpstr>14_Shipping_Rules</vt:lpstr>
      <vt:lpstr>15_Calibration_Rules</vt:lpstr>
      <vt:lpstr>16_Astro_Flags</vt:lpstr>
      <vt:lpstr>17_Physical_Properties</vt:lpstr>
      <vt:lpstr>18_Valid_Values</vt:lpstr>
      <vt:lpstr>19_Naming_Rules</vt:lpstr>
      <vt:lpstr>20_Admin_Config</vt:lpstr>
      <vt:lpstr>21_Field_Map</vt:lpstr>
      <vt:lpstr>22_QA_Checklist</vt:lpstr>
    </vt:vector>
  </TitlesOfParts>
  <Company>GemPundit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GemPundit Magento Catalog Automation Structure</dc:title>
  <dc:subject>Normalized Excel structure for loose gemstone Magento imports</dc:subject>
  <dc:creator>OpenAI</dc:creator>
  <dc:description>Generated catalog automation starter workbook</dc:description>
  <cp:lastModifiedBy>OpenAI</cp:lastModifiedBy>
  <dcterms:created xsi:type="dcterms:W3CDTF">2026-04-27T06:19:42Z</dcterms:created>
  <dcterms:modified xsi:type="dcterms:W3CDTF">2026-04-27T06:19:42Z</dcterms:modified>
</cp:coreProperties>
</file>